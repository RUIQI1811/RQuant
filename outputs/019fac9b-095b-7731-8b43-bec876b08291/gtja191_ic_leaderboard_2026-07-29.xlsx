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cdea5d0535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e63bf8c2afdd40f3"/>
    <x:sheet xmlns:r="http://schemas.openxmlformats.org/officeDocument/2006/relationships" name="Factor Leaderboard" sheetId="2" r:id="R2fb90238b43a4c37"/>
    <x:sheet xmlns:r="http://schemas.openxmlformats.org/officeDocument/2006/relationships" name="Window Leaderboard" sheetId="3" r:id="R7001344e3b9a4676"/>
    <x:sheet xmlns:r="http://schemas.openxmlformats.org/officeDocument/2006/relationships" name="Raw IC" sheetId="4" r:id="R26fc4048ac5c45b6"/>
    <x:sheet xmlns:r="http://schemas.openxmlformats.org/officeDocument/2006/relationships" name="Audit" sheetId="5" r:id="Rf108da3b923d44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00"/>
    <x:numFmt numFmtId="202" formatCode="0"/>
    <x:numFmt numFmtId="203" formatCode="yyyy-mm-dd hh:mm"/>
  </x:numFmts>
  <x:fonts count="7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375623"/>
      <x:name val="Carlito"/>
    </x:font>
    <x:font>
      <x:b/>
      <x:sz val="11"/>
      <x:color rgb="FF9C65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5">
    <x:border/>
    <x:border>
      <x:right style="thin">
        <x:color rgb="FFB4C6E7"/>
      </x:right>
    </x:border>
    <x:border>
      <x:left style="thin">
        <x:color rgb="FFB4C6E7"/>
      </x:left>
    </x:border>
    <x:border>
      <x:left style="thin">
        <x:color rgb="FF9EADBA"/>
      </x:left>
      <x:right style="thin">
        <x:color rgb="FFB4C6E7"/>
      </x:right>
      <x:top style="thin">
        <x:color rgb="FF9EADBA"/>
      </x:top>
    </x:border>
    <x:border>
      <x:left style="thin">
        <x:color rgb="FFB4C6E7"/>
      </x:left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B4C6E7"/>
      </x:left>
      <x:right style="thin">
        <x:color rgb="FFB4C6E7"/>
      </x:right>
    </x:border>
    <x:border>
      <x:left style="thin">
        <x:color rgb="FFB4C6E7"/>
      </x:left>
      <x:right style="thin">
        <x:color rgb="FFB4C6E7"/>
      </x:right>
      <x:top style="thin">
        <x:color rgb="FF9EADBA"/>
      </x:top>
    </x:border>
    <x:border>
      <x:bottom style="thin">
        <x:color rgb="FF9EADBA"/>
      </x:bottom>
    </x:border>
    <x:border>
      <x:left style="thin">
        <x:color rgb="FF9EADBA"/>
      </x:left>
      <x:top style="thin">
        <x:color rgb="FF9EADBA"/>
      </x:top>
    </x:border>
    <x:border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</x:borders>
  <x:cellStyleXfs count="1">
    <x:xf numFmtId="0" fontId="0" fillId="0" borderId="0"/>
  </x:cellStyleXfs>
  <x:cellXfs count="7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4" fillId="0" borderId="5" xfId="0" applyNumberFormat="1" applyFont="1" applyFill="1" applyBorder="1"/>
    <x:xf numFmtId="200" fontId="0" fillId="0" borderId="6" xfId="0" applyNumberFormat="1" applyFont="1" applyFill="1" applyBorder="1"/>
    <x:xf numFmtId="0" fontId="4" fillId="0" borderId="7" xfId="0" applyNumberFormat="1" applyFont="1" applyFill="1" applyBorder="1"/>
    <x:xf numFmtId="0" fontId="0" fillId="0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201" fontId="0" fillId="0" borderId="0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4" fillId="3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4" fillId="3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/>
    <x:xf numFmtId="202" fontId="0" fillId="5" borderId="0" xfId="0" applyNumberFormat="1" applyFont="1" applyFill="1" applyBorder="1"/>
    <x:xf numFmtId="202" fontId="5" fillId="5" borderId="0" xfId="0" applyNumberFormat="1" applyFont="1" applyFill="1" applyBorder="1"/>
    <x:xf numFmtId="202" fontId="0" fillId="6" borderId="0" xfId="0" applyNumberFormat="1" applyFont="1" applyFill="1" applyBorder="1"/>
    <x:xf numFmtId="0" fontId="0" fillId="6" borderId="0" xfId="0" applyNumberFormat="1" applyFont="1" applyFill="1" applyBorder="1"/>
    <x:xf numFmtId="201" fontId="0" fillId="6" borderId="0" xfId="0" applyNumberFormat="1" applyFont="1" applyFill="1" applyBorder="1"/>
    <x:xf numFmtId="200" fontId="0" fillId="6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6" fillId="6" borderId="0" xfId="0" applyNumberFormat="1" applyFont="1" applyFill="1" applyBorder="1" applyAlignment="1">
      <x:alignment horizont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203" fontId="0" fillId="6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568469166544a5" /><Relationship Type="http://schemas.openxmlformats.org/officeDocument/2006/relationships/theme" Target="/xl/theme/theme1.xml" Id="R367a785c1f424e78" /><Relationship Type="http://schemas.openxmlformats.org/officeDocument/2006/relationships/sharedStrings" Target="/xl/sharedStrings.xml" Id="R3fe8b6bff12a47c5" /><Relationship Type="http://schemas.openxmlformats.org/officeDocument/2006/relationships/worksheet" Target="/xl/worksheets/sheet1.xml" Id="Re63bf8c2afdd40f3" /><Relationship Type="http://schemas.openxmlformats.org/officeDocument/2006/relationships/worksheet" Target="/xl/worksheets/sheet2.xml" Id="R2fb90238b43a4c37" /><Relationship Type="http://schemas.openxmlformats.org/officeDocument/2006/relationships/worksheet" Target="/xl/worksheets/sheet3.xml" Id="R7001344e3b9a4676" /><Relationship Type="http://schemas.openxmlformats.org/officeDocument/2006/relationships/worksheet" Target="/xl/worksheets/sheet4.xml" Id="R26fc4048ac5c45b6" /><Relationship Type="http://schemas.openxmlformats.org/officeDocument/2006/relationships/worksheet" Target="/xl/worksheets/sheet5.xml" Id="Rf108da3b923d4480" /></Relationships>
</file>

<file path=xl/tables/table1.xml><?xml version="1.0" encoding="utf-8"?>
<x:table xmlns:x="http://schemas.openxmlformats.org/spreadsheetml/2006/main" id="1" name="FactorLeaderboardTable" displayName="FactorLeaderboardTable" ref="A4:Q190" headerRowCount="1" totalsRowCount="0" totalsRowShown="0">
  <x:tableColumns count="17">
    <x:tableColumn id="1" name="Overall Rank"/>
    <x:tableColumn id="2" name="Factor"/>
    <x:tableColumn id="3" name="Comparison Status"/>
    <x:tableColumn id="4" name="1D Rank IC"/>
    <x:tableColumn id="5" name="1D Rank ICIR"/>
    <x:tableColumn id="6" name="5D Rank IC"/>
    <x:tableColumn id="7" name="5D Rank ICIR"/>
    <x:tableColumn id="8" name="10D Rank IC"/>
    <x:tableColumn id="9" name="10D Rank ICIR"/>
    <x:tableColumn id="10" name="20D Rank IC"/>
    <x:tableColumn id="11" name="20D Rank ICIR"/>
    <x:tableColumn id="12" name="Avg |Rank ICIR| 10/20"/>
    <x:tableColumn id="13" name="Direction 10/20"/>
    <x:tableColumn id="14" name="Completed At"/>
    <x:tableColumn id="15" name="Source Row Count"/>
    <x:tableColumn id="16" name="Fingerprint"/>
    <x:tableColumn id="17" name="Source Fold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indowLeaderboardTable" displayName="WindowLeaderboardTable" ref="A4:T546" headerRowCount="1" totalsRowCount="0" totalsRowShown="0">
  <x:tableColumns count="20">
    <x:tableColumn id="1" name="Window Rank"/>
    <x:tableColumn id="2" name="Factor"/>
    <x:tableColumn id="3" name="Window Days"/>
    <x:tableColumn id="4" name="Direction"/>
    <x:tableColumn id="5" name="Rank IC Mean"/>
    <x:tableColumn id="6" name="Abs Rank IC Mean"/>
    <x:tableColumn id="7" name="Rank IC Std"/>
    <x:tableColumn id="8" name="Rank ICIR"/>
    <x:tableColumn id="9" name="Abs Rank ICIR"/>
    <x:tableColumn id="10" name="Rank IC Win Rate"/>
    <x:tableColumn id="11" name="Pearson IC Mean"/>
    <x:tableColumn id="12" name="Pearson ICIR"/>
    <x:tableColumn id="13" name="IC Win Rate"/>
    <x:tableColumn id="14" name="Observation Count"/>
    <x:tableColumn id="15" name="Rank Eligible"/>
    <x:tableColumn id="16" name="Comparison Cohort"/>
    <x:tableColumn id="17" name="Completed At"/>
    <x:tableColumn id="18" name="Source Row Count"/>
    <x:tableColumn id="19" name="Fingerprint"/>
    <x:tableColumn id="20" name="Source Fil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IcTable" displayName="RawIcTable" ref="A4:P546" headerRowCount="1" totalsRowCount="0" totalsRowShown="0">
  <x:tableColumns count="16">
    <x:tableColumn id="1" name="Factor"/>
    <x:tableColumn id="2" name="Window Days"/>
    <x:tableColumn id="3" name="IC Mean"/>
    <x:tableColumn id="4" name="IC Std"/>
    <x:tableColumn id="5" name="ICIR"/>
    <x:tableColumn id="6" name="Rank IC Mean"/>
    <x:tableColumn id="7" name="Rank IC Std"/>
    <x:tableColumn id="8" name="Rank ICIR"/>
    <x:tableColumn id="9" name="Rank IC Win Rate"/>
    <x:tableColumn id="10" name="IC Win Rate"/>
    <x:tableColumn id="11" name="Observation Count"/>
    <x:tableColumn id="12" name="Completed At"/>
    <x:tableColumn id="13" name="Source Row Count"/>
    <x:tableColumn id="14" name="Fingerprint"/>
    <x:tableColumn id="15" name="Comparison Cohort"/>
    <x:tableColumn id="16" name="Source 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d7f420a85e4bf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ad3d3d827ae4a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b747c52ae384f6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4" hidden="0" customWidth="1"/>
    <x:col min="3" max="3" width="3" hidden="0" customWidth="1"/>
    <x:col min="4" max="4" width="13" hidden="0" customWidth="1"/>
    <x:col min="5" max="5" width="14" hidden="0" customWidth="1"/>
    <x:col min="6" max="6" width="21" hidden="0" customWidth="1"/>
    <x:col min="7" max="7" width="14" hidden="0" customWidth="1"/>
    <x:col min="8" max="8" width="18" hidden="0" customWidth="1"/>
  </x:cols>
  <x:sheetData>
    <x:row r="1" ht="30" customHeight="1">
      <x:c r="A1" s="3" t="str">
        <x:v>GTJA191 IC Leaderboard</x:v>
      </x:c>
      <x:c r="B1" s="3"/>
      <x:c r="C1" s="3"/>
      <x:c r="D1" s="3"/>
      <x:c r="E1" s="3"/>
      <x:c r="F1" s="3"/>
      <x:c r="G1" s="3"/>
      <x:c r="H1" s="3"/>
    </x:row>
    <x:row r="2" ht="34" customHeight="1">
      <x:c r="A2" s="7" t="str">
        <x:v>Rebuilt directly from each factor's ic_summary.csv. Ranking is diagnostic only and does not imply tradable profitability.</x:v>
      </x:c>
      <x:c r="B2" s="7"/>
      <x:c r="C2" s="7"/>
      <x:c r="D2" s="7"/>
      <x:c r="E2" s="7"/>
      <x:c r="F2" s="7"/>
      <x:c r="G2" s="7"/>
      <x:c r="H2" s="7"/>
    </x:row>
    <x:row r="4" ht="32" customHeight="1">
      <x:c r="A4" s="20" t="str">
        <x:v>Metric</x:v>
      </x:c>
      <x:c r="B4" s="21" t="str">
        <x:v>Value</x:v>
      </x:c>
      <x:c r="D4" s="20" t="str">
        <x:v>Overall Rank</x:v>
      </x:c>
      <x:c r="E4" s="31" t="str">
        <x:v>Factor</x:v>
      </x:c>
      <x:c r="F4" s="31" t="str">
        <x:v>Avg |Rank ICIR| 10/20</x:v>
      </x:c>
      <x:c r="G4" s="31" t="str">
        <x:v>Direction</x:v>
      </x:c>
      <x:c r="H4" s="21" t="str">
        <x:v>Comparison Status</x:v>
      </x:c>
    </x:row>
    <x:row r="5" ht="28" customHeight="1">
      <x:c r="A5" s="71" t="str">
        <x:v>Available factor summaries</x:v>
      </x:c>
      <x:c r="B5" s="72" t="n">
        <x:f>COUNTA('Factor Leaderboard'!$B$5:$B$190)</x:f>
        <x:v>186</x:v>
      </x:c>
      <x:c r="D5" s="32" t="n">
        <x:f>'Factor Leaderboard'!A5</x:f>
        <x:v>1</x:v>
      </x:c>
      <x:c r="E5" s="33" t="str">
        <x:f>'Factor Leaderboard'!B5</x:f>
        <x:v>gtja_099</x:v>
      </x:c>
      <x:c r="F5" s="30" t="n">
        <x:f>'Factor Leaderboard'!L5</x:f>
        <x:v>0.8413435750077979</x:v>
      </x:c>
      <x:c r="G5" s="33" t="str">
        <x:f>'Factor Leaderboard'!M5</x:f>
        <x:v>positive</x:v>
      </x:c>
      <x:c r="H5" s="34" t="str">
        <x:f>'Factor Leaderboard'!C5</x:f>
        <x:v>ranked</x:v>
      </x:c>
    </x:row>
    <x:row r="6" ht="28" customHeight="1">
      <x:c r="A6" s="71" t="str">
        <x:v>Ranked comparable factors</x:v>
      </x:c>
      <x:c r="B6" s="72" t="n">
        <x:f>COUNTIF('Factor Leaderboard'!$C$5:$C$190,"ranked")</x:f>
        <x:v>182</x:v>
      </x:c>
      <x:c r="D6" s="32" t="n">
        <x:f>'Factor Leaderboard'!A6</x:f>
        <x:v>2</x:v>
      </x:c>
      <x:c r="E6" s="33" t="str">
        <x:f>'Factor Leaderboard'!B6</x:f>
        <x:v>gtja_083</x:v>
      </x:c>
      <x:c r="F6" s="30" t="n">
        <x:f>'Factor Leaderboard'!L6</x:f>
        <x:v>0.835742901305421</x:v>
      </x:c>
      <x:c r="G6" s="33" t="str">
        <x:f>'Factor Leaderboard'!M6</x:f>
        <x:v>positive</x:v>
      </x:c>
      <x:c r="H6" s="34" t="str">
        <x:f>'Factor Leaderboard'!C6</x:f>
        <x:v>ranked</x:v>
      </x:c>
    </x:row>
    <x:row r="7" ht="28" customHeight="1">
      <x:c r="A7" s="71" t="str">
        <x:v>Different-source factors (not ranked)</x:v>
      </x:c>
      <x:c r="B7" s="72" t="n">
        <x:f>COUNTIF('Factor Leaderboard'!$C$5:$C$190,"not comparable")</x:f>
        <x:v>4</x:v>
      </x:c>
      <x:c r="D7" s="32" t="n">
        <x:f>'Factor Leaderboard'!A7</x:f>
        <x:v>3</x:v>
      </x:c>
      <x:c r="E7" s="33" t="str">
        <x:f>'Factor Leaderboard'!B7</x:f>
        <x:v>gtja_062</x:v>
      </x:c>
      <x:c r="F7" s="30" t="n">
        <x:f>'Factor Leaderboard'!L7</x:f>
        <x:v>0.7704965106852678</x:v>
      </x:c>
      <x:c r="G7" s="33" t="str">
        <x:f>'Factor Leaderboard'!M7</x:f>
        <x:v>positive</x:v>
      </x:c>
      <x:c r="H7" s="34" t="str">
        <x:f>'Factor Leaderboard'!C7</x:f>
        <x:v>ranked</x:v>
      </x:c>
    </x:row>
    <x:row r="8" ht="28" customHeight="1">
      <x:c r="A8" s="71" t="str">
        <x:v>Missing factor summaries</x:v>
      </x:c>
      <x:c r="B8" s="72" t="n">
        <x:f>191-B5</x:f>
        <x:v>5</x:v>
      </x:c>
      <x:c r="D8" s="32" t="n">
        <x:f>'Factor Leaderboard'!A8</x:f>
        <x:v>4</x:v>
      </x:c>
      <x:c r="E8" s="33" t="str">
        <x:f>'Factor Leaderboard'!B8</x:f>
        <x:v>gtja_016</x:v>
      </x:c>
      <x:c r="F8" s="30" t="n">
        <x:f>'Factor Leaderboard'!L8</x:f>
        <x:v>0.7472618603487486</x:v>
      </x:c>
      <x:c r="G8" s="33" t="str">
        <x:f>'Factor Leaderboard'!M8</x:f>
        <x:v>positive</x:v>
      </x:c>
      <x:c r="H8" s="34" t="str">
        <x:f>'Factor Leaderboard'!C8</x:f>
        <x:v>ranked</x:v>
      </x:c>
    </x:row>
    <x:row r="9" ht="28" customHeight="1">
      <x:c r="A9" s="71" t="str">
        <x:v>Raw factor-window rows</x:v>
      </x:c>
      <x:c r="B9" s="72" t="n">
        <x:f>COUNTA('Raw IC'!$A$5:$A$546)</x:f>
        <x:v>542</x:v>
      </x:c>
      <x:c r="D9" s="32" t="n">
        <x:f>'Factor Leaderboard'!A9</x:f>
        <x:v>5</x:v>
      </x:c>
      <x:c r="E9" s="33" t="str">
        <x:f>'Factor Leaderboard'!B9</x:f>
        <x:v>gtja_090</x:v>
      </x:c>
      <x:c r="F9" s="30" t="n">
        <x:f>'Factor Leaderboard'!L9</x:f>
        <x:v>0.7408964319715228</x:v>
      </x:c>
      <x:c r="G9" s="33" t="str">
        <x:f>'Factor Leaderboard'!M9</x:f>
        <x:v>positive</x:v>
      </x:c>
      <x:c r="H9" s="34" t="str">
        <x:f>'Factor Leaderboard'!C9</x:f>
        <x:v>ranked</x:v>
      </x:c>
    </x:row>
    <x:row r="10" ht="28" customHeight="1">
      <x:c r="A10" s="73" t="str">
        <x:v>Manifest state / live process</x:v>
      </x:c>
      <x:c r="B10" s="70" t="str">
        <x:v>running / no matching live process found</x:v>
      </x:c>
      <x:c r="D10" s="32" t="n">
        <x:f>'Factor Leaderboard'!A10</x:f>
        <x:v>6</x:v>
      </x:c>
      <x:c r="E10" s="33" t="str">
        <x:f>'Factor Leaderboard'!B10</x:f>
        <x:v>gtja_176</x:v>
      </x:c>
      <x:c r="F10" s="30" t="n">
        <x:f>'Factor Leaderboard'!L10</x:f>
        <x:v>0.737107925857782</x:v>
      </x:c>
      <x:c r="G10" s="33" t="str">
        <x:f>'Factor Leaderboard'!M10</x:f>
        <x:v>negative</x:v>
      </x:c>
      <x:c r="H10" s="34" t="str">
        <x:f>'Factor Leaderboard'!C10</x:f>
        <x:v>ranked</x:v>
      </x:c>
    </x:row>
    <x:row r="11">
      <x:c r="D11" s="32" t="n">
        <x:f>'Factor Leaderboard'!A11</x:f>
        <x:v>7</x:v>
      </x:c>
      <x:c r="E11" s="33" t="str">
        <x:f>'Factor Leaderboard'!B11</x:f>
        <x:v>gtja_036</x:v>
      </x:c>
      <x:c r="F11" s="30" t="n">
        <x:f>'Factor Leaderboard'!L11</x:f>
        <x:v>0.7328840404641718</x:v>
      </x:c>
      <x:c r="G11" s="33" t="str">
        <x:f>'Factor Leaderboard'!M11</x:f>
        <x:v>negative</x:v>
      </x:c>
      <x:c r="H11" s="34" t="str">
        <x:f>'Factor Leaderboard'!C11</x:f>
        <x:v>ranked</x:v>
      </x:c>
    </x:row>
    <x:row r="12">
      <x:c r="D12" s="32" t="n">
        <x:f>'Factor Leaderboard'!A12</x:f>
        <x:v>8</x:v>
      </x:c>
      <x:c r="E12" s="33" t="str">
        <x:f>'Factor Leaderboard'!B12</x:f>
        <x:v>gtja_064</x:v>
      </x:c>
      <x:c r="F12" s="30" t="n">
        <x:f>'Factor Leaderboard'!L12</x:f>
        <x:v>0.7266847210919942</x:v>
      </x:c>
      <x:c r="G12" s="33" t="str">
        <x:f>'Factor Leaderboard'!M12</x:f>
        <x:v>positive</x:v>
      </x:c>
      <x:c r="H12" s="34" t="str">
        <x:f>'Factor Leaderboard'!C12</x:f>
        <x:v>ranked</x:v>
      </x:c>
    </x:row>
    <x:row r="13">
      <x:c r="D13" s="32" t="n">
        <x:f>'Factor Leaderboard'!A13</x:f>
        <x:v>9</x:v>
      </x:c>
      <x:c r="E13" s="33" t="str">
        <x:f>'Factor Leaderboard'!B13</x:f>
        <x:v>gtja_032</x:v>
      </x:c>
      <x:c r="F13" s="30" t="n">
        <x:f>'Factor Leaderboard'!L13</x:f>
        <x:v>0.7203287855344356</x:v>
      </x:c>
      <x:c r="G13" s="33" t="str">
        <x:f>'Factor Leaderboard'!M13</x:f>
        <x:v>positive</x:v>
      </x:c>
      <x:c r="H13" s="34" t="str">
        <x:f>'Factor Leaderboard'!C13</x:f>
        <x:v>ranked</x:v>
      </x:c>
    </x:row>
    <x:row r="14">
      <x:c r="D14" s="35" t="n">
        <x:f>'Factor Leaderboard'!A14</x:f>
        <x:v>10</x:v>
      </x:c>
      <x:c r="E14" s="36" t="str">
        <x:f>'Factor Leaderboard'!B14</x:f>
        <x:v>gtja_105</x:v>
      </x:c>
      <x:c r="F14" s="37" t="n">
        <x:f>'Factor Leaderboard'!L14</x:f>
        <x:v>0.7103556231426154</x:v>
      </x:c>
      <x:c r="G14" s="36" t="str">
        <x:f>'Factor Leaderboard'!M14</x:f>
        <x:v>positive</x:v>
      </x:c>
      <x:c r="H14" s="25" t="str">
        <x:f>'Factor Leaderboard'!C14</x:f>
        <x:v>ranked</x:v>
      </x:c>
    </x:row>
    <x:row r="17">
      <x:c r="A17" s="42" t="str">
        <x:v>Methodology and limitations</x:v>
      </x:c>
      <x:c r="B17" s="43"/>
      <x:c r="C17" s="43"/>
      <x:c r="D17" s="43"/>
      <x:c r="E17" s="43"/>
      <x:c r="F17" s="43"/>
      <x:c r="G17" s="43"/>
      <x:c r="H17" s="44"/>
    </x:row>
    <x:row r="18" ht="31" customHeight="1">
      <x:c r="A18" s="45" t="str">
        <x:v>Primary ranking metric</x:v>
      </x:c>
      <x:c r="B18" s="41" t="str">
        <x:v>Mean of absolute 10-day and 20-day Rank ICIR</x:v>
      </x:c>
      <x:c r="C18" s="41"/>
      <x:c r="D18" s="41"/>
      <x:c r="E18" s="41"/>
      <x:c r="F18" s="41"/>
      <x:c r="G18" s="41"/>
      <x:c r="H18" s="46"/>
    </x:row>
    <x:row r="19" ht="31" customHeight="1">
      <x:c r="A19" s="45" t="str">
        <x:v>Why absolute ICIR</x:v>
      </x:c>
      <x:c r="B19" s="41" t="str">
        <x:v>Stable negative factors can be inverted; sign remains visible in the Direction column</x:v>
      </x:c>
      <x:c r="C19" s="41"/>
      <x:c r="D19" s="41"/>
      <x:c r="E19" s="41"/>
      <x:c r="F19" s="41"/>
      <x:c r="G19" s="41"/>
      <x:c r="H19" s="46"/>
    </x:row>
    <x:row r="20" ht="31" customHeight="1">
      <x:c r="A20" s="45" t="str">
        <x:v>Comparable cohort</x:v>
      </x:c>
      <x:c r="B20" s="41" t="str">
        <x:v>182 legacy results with source_row_count=8,902,245; identical settings except whether 1/5-day windows were also run</x:v>
      </x:c>
      <x:c r="C20" s="41"/>
      <x:c r="D20" s="41"/>
      <x:c r="E20" s="41"/>
      <x:c r="F20" s="41"/>
      <x:c r="G20" s="41"/>
      <x:c r="H20" s="46"/>
    </x:row>
    <x:row r="21" ht="31" customHeight="1">
      <x:c r="A21" s="45" t="str">
        <x:v>Excluded from ranking</x:v>
      </x:c>
      <x:c r="B21" s="41" t="str">
        <x:v>gtja_005, gtja_007, gtja_012, gtja_015 use a newer 13,231,952-row context sample</x:v>
      </x:c>
      <x:c r="C21" s="41"/>
      <x:c r="D21" s="41"/>
      <x:c r="E21" s="41"/>
      <x:c r="F21" s="41"/>
      <x:c r="G21" s="41"/>
      <x:c r="H21" s="46"/>
    </x:row>
    <x:row r="22" ht="31" customHeight="1">
      <x:c r="A22" s="45" t="str">
        <x:v>Missing summaries</x:v>
      </x:c>
      <x:c r="B22" s="41" t="str">
        <x:v>gtja_030, gtja_075, gtja_149, gtja_181, gtja_182</x:v>
      </x:c>
      <x:c r="C22" s="41"/>
      <x:c r="D22" s="41"/>
      <x:c r="E22" s="41"/>
      <x:c r="F22" s="41"/>
      <x:c r="G22" s="41"/>
      <x:c r="H22" s="46"/>
    </x:row>
    <x:row r="23" ht="31" customHeight="1">
      <x:c r="A23" s="47" t="str">
        <x:v>Trading interpretation</x:v>
      </x:c>
      <x:c r="B23" s="48" t="str">
        <x:v>Use Rank IC only for predictive diagnostics; long-only TopN/Top Quantile backtests are required for A-share tradability</x:v>
      </x:c>
      <x:c r="C23" s="48"/>
      <x:c r="D23" s="48"/>
      <x:c r="E23" s="48"/>
      <x:c r="F23" s="48"/>
      <x:c r="G23" s="48"/>
      <x:c r="H23" s="49"/>
    </x:row>
  </x:sheetData>
  <x:mergeCells>
    <x:mergeCell ref="A1:H1"/>
    <x:mergeCell ref="A2:H2"/>
    <x:mergeCell ref="A17:H17"/>
    <x:mergeCell ref="B18:H18"/>
    <x:mergeCell ref="B19:H19"/>
    <x:mergeCell ref="B20:H20"/>
    <x:mergeCell ref="B21:H21"/>
    <x:mergeCell ref="B22:H22"/>
    <x:mergeCell ref="B23:H2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3" hidden="0" customWidth="1"/>
    <x:col min="6" max="6" width="12" hidden="0" customWidth="1"/>
    <x:col min="7" max="7" width="13" hidden="0" customWidth="1"/>
    <x:col min="8" max="8" width="13" hidden="0" customWidth="1"/>
    <x:col min="9" max="9" width="14" hidden="0" customWidth="1"/>
    <x:col min="10" max="10" width="13" hidden="0" customWidth="1"/>
    <x:col min="11" max="11" width="14" hidden="0" customWidth="1"/>
    <x:col min="12" max="12" width="19" hidden="0" customWidth="1"/>
    <x:col min="13" max="13" width="16" hidden="0" customWidth="1"/>
    <x:col min="14" max="14" width="20" hidden="0" customWidth="1"/>
    <x:col min="15" max="15" width="18" hidden="0" customWidth="1"/>
    <x:col min="16" max="16" width="24" hidden="0" customWidth="1"/>
    <x:col min="17" max="17" width="36" hidden="0" customWidth="1"/>
  </x:cols>
  <x:sheetData>
    <x:row r="1" ht="30" customHeight="1">
      <x:c r="A1" s="3" t="str">
        <x:v>Factor-level IC Leaderboard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 ht="34" customHeight="1">
      <x:c r="A2" s="7" t="str">
        <x:v>One row per factor. Overall rank uses the mean absolute Rank ICIR across the common 10-day and 20-day horizons.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</x:row>
    <x:row r="4" ht="32" customHeight="1">
      <x:c r="A4" s="16" t="str">
        <x:v>Overall Rank</x:v>
      </x:c>
      <x:c r="B4" s="29" t="str">
        <x:v>Factor</x:v>
      </x:c>
      <x:c r="C4" s="29" t="str">
        <x:v>Comparison Status</x:v>
      </x:c>
      <x:c r="D4" s="29" t="str">
        <x:v>1D Rank IC</x:v>
      </x:c>
      <x:c r="E4" s="29" t="str">
        <x:v>1D Rank ICIR</x:v>
      </x:c>
      <x:c r="F4" s="29" t="str">
        <x:v>5D Rank IC</x:v>
      </x:c>
      <x:c r="G4" s="29" t="str">
        <x:v>5D Rank ICIR</x:v>
      </x:c>
      <x:c r="H4" s="29" t="str">
        <x:v>10D Rank IC</x:v>
      </x:c>
      <x:c r="I4" s="29" t="str">
        <x:v>10D Rank ICIR</x:v>
      </x:c>
      <x:c r="J4" s="29" t="str">
        <x:v>20D Rank IC</x:v>
      </x:c>
      <x:c r="K4" s="29" t="str">
        <x:v>20D Rank ICIR</x:v>
      </x:c>
      <x:c r="L4" s="29" t="str">
        <x:v>Avg |Rank ICIR| 10/20</x:v>
      </x:c>
      <x:c r="M4" s="29" t="str">
        <x:v>Direction 10/20</x:v>
      </x:c>
      <x:c r="N4" s="29" t="str">
        <x:v>Completed At</x:v>
      </x:c>
      <x:c r="O4" s="29" t="str">
        <x:v>Source Row Count</x:v>
      </x:c>
      <x:c r="P4" s="29" t="str">
        <x:v>Fingerprint</x:v>
      </x:c>
      <x:c r="Q4" s="17" t="str">
        <x:v>Source Folder</x:v>
      </x:c>
    </x:row>
    <x:row r="5">
      <x:c r="A5" s="52" t="n">
        <x:f>IF($C5="ranked",1+COUNTIFS($C$5:$C$190,"ranked",$L$5:$L$190,"&gt;"&amp;$L5),"")</x:f>
        <x:v>1</x:v>
      </x:c>
      <x:c r="B5" t="str">
        <x:v>gtja_099</x:v>
      </x:c>
      <x:c r="C5" t="str">
        <x:v>ranked</x:v>
      </x:c>
      <x:c r="D5" s="30" t="str">
        <x:f>IF(COUNTIFS('Raw IC'!$A$5:$A$546,$B5,'Raw IC'!$B$5:$B$546,1)=0,"",SUMIFS('Raw IC'!$F$5:$F$546,'Raw IC'!$A$5:$A$546,$B5,'Raw IC'!$B$5:$B$546,1))</x:f>
      </x:c>
      <x:c r="E5" s="30" t="str">
        <x:f>IF(COUNTIFS('Raw IC'!$A$5:$A$546,$B5,'Raw IC'!$B$5:$B$546,1)=0,"",SUMIFS('Raw IC'!$H$5:$H$546,'Raw IC'!$A$5:$A$546,$B5,'Raw IC'!$B$5:$B$546,1))</x:f>
      </x:c>
      <x:c r="F5" s="30" t="str">
        <x:f>IF(COUNTIFS('Raw IC'!$A$5:$A$546,$B5,'Raw IC'!$B$5:$B$546,5)=0,"",SUMIFS('Raw IC'!$F$5:$F$546,'Raw IC'!$A$5:$A$546,$B5,'Raw IC'!$B$5:$B$546,5))</x:f>
      </x:c>
      <x:c r="G5" s="30" t="str">
        <x:f>IF(COUNTIFS('Raw IC'!$A$5:$A$546,$B5,'Raw IC'!$B$5:$B$546,5)=0,"",SUMIFS('Raw IC'!$H$5:$H$546,'Raw IC'!$A$5:$A$546,$B5,'Raw IC'!$B$5:$B$546,5))</x:f>
      </x:c>
      <x:c r="H5" s="30" t="n">
        <x:f>IF(COUNTIFS('Raw IC'!$A$5:$A$546,$B5,'Raw IC'!$B$5:$B$546,10)=0,"",SUMIFS('Raw IC'!$F$5:$F$546,'Raw IC'!$A$5:$A$546,$B5,'Raw IC'!$B$5:$B$546,10))</x:f>
        <x:v>0.05085190347772375</x:v>
      </x:c>
      <x:c r="I5" s="30" t="n">
        <x:f>IF(COUNTIFS('Raw IC'!$A$5:$A$546,$B5,'Raw IC'!$B$5:$B$546,10)=0,"",SUMIFS('Raw IC'!$H$5:$H$546,'Raw IC'!$A$5:$A$546,$B5,'Raw IC'!$B$5:$B$546,10))</x:f>
        <x:v>0.799220976806927</x:v>
      </x:c>
      <x:c r="J5" s="30" t="n">
        <x:f>IF(COUNTIFS('Raw IC'!$A$5:$A$546,$B5,'Raw IC'!$B$5:$B$546,20)=0,"",SUMIFS('Raw IC'!$F$5:$F$546,'Raw IC'!$A$5:$A$546,$B5,'Raw IC'!$B$5:$B$546,20))</x:f>
        <x:v>0.05377091383717746</x:v>
      </x:c>
      <x:c r="K5" s="30" t="n">
        <x:f>IF(COUNTIFS('Raw IC'!$A$5:$A$546,$B5,'Raw IC'!$B$5:$B$546,20)=0,"",SUMIFS('Raw IC'!$H$5:$H$546,'Raw IC'!$A$5:$A$546,$B5,'Raw IC'!$B$5:$B$546,20))</x:f>
        <x:v>0.8834661732086687</x:v>
      </x:c>
      <x:c r="L5" s="30" t="n">
        <x:f>IF(COUNT(I5,K5)&lt;2,"",AVERAGE(ABS(I5),ABS(K5)))</x:f>
        <x:v>0.8413435750077979</x:v>
      </x:c>
      <x:c r="M5" t="str">
        <x:f>IF(COUNT(H5,J5)&lt;2,"",IF(H5*J5&gt;=0,IF(H5&gt;=0,"positive","negative"),"mixed"))</x:f>
        <x:v>positive</x:v>
      </x:c>
      <x:c r="N5" s="74" t="n">
        <x:v>46211.34822918982</x:v>
      </x:c>
      <x:c r="O5" s="19" t="n">
        <x:v>8902245</x:v>
      </x:c>
      <x:c r="P5" t="str">
        <x:v>8f7e606554926462248cbcc654181861438ca768a0063f6b317223ede37d16fb</x:v>
      </x:c>
      <x:c r="Q5" t="str">
        <x:v>factor_report/gtja191_batch/gtja_099</x:v>
      </x:c>
    </x:row>
    <x:row r="6">
      <x:c r="A6" s="52" t="n">
        <x:f>IF($C6="ranked",1+COUNTIFS($C$5:$C$190,"ranked",$L$5:$L$190,"&gt;"&amp;$L6),"")</x:f>
        <x:v>2</x:v>
      </x:c>
      <x:c r="B6" t="str">
        <x:v>gtja_083</x:v>
      </x:c>
      <x:c r="C6" t="str">
        <x:v>ranked</x:v>
      </x:c>
      <x:c r="D6" s="30" t="str">
        <x:f>IF(COUNTIFS('Raw IC'!$A$5:$A$546,$B6,'Raw IC'!$B$5:$B$546,1)=0,"",SUMIFS('Raw IC'!$F$5:$F$546,'Raw IC'!$A$5:$A$546,$B6,'Raw IC'!$B$5:$B$546,1))</x:f>
      </x:c>
      <x:c r="E6" s="30" t="str">
        <x:f>IF(COUNTIFS('Raw IC'!$A$5:$A$546,$B6,'Raw IC'!$B$5:$B$546,1)=0,"",SUMIFS('Raw IC'!$H$5:$H$546,'Raw IC'!$A$5:$A$546,$B6,'Raw IC'!$B$5:$B$546,1))</x:f>
      </x:c>
      <x:c r="F6" s="30" t="str">
        <x:f>IF(COUNTIFS('Raw IC'!$A$5:$A$546,$B6,'Raw IC'!$B$5:$B$546,5)=0,"",SUMIFS('Raw IC'!$F$5:$F$546,'Raw IC'!$A$5:$A$546,$B6,'Raw IC'!$B$5:$B$546,5))</x:f>
      </x:c>
      <x:c r="G6" s="30" t="str">
        <x:f>IF(COUNTIFS('Raw IC'!$A$5:$A$546,$B6,'Raw IC'!$B$5:$B$546,5)=0,"",SUMIFS('Raw IC'!$H$5:$H$546,'Raw IC'!$A$5:$A$546,$B6,'Raw IC'!$B$5:$B$546,5))</x:f>
      </x:c>
      <x:c r="H6" s="30" t="n">
        <x:f>IF(COUNTIFS('Raw IC'!$A$5:$A$546,$B6,'Raw IC'!$B$5:$B$546,10)=0,"",SUMIFS('Raw IC'!$F$5:$F$546,'Raw IC'!$A$5:$A$546,$B6,'Raw IC'!$B$5:$B$546,10))</x:f>
        <x:v>0.050828634987576136</x:v>
      </x:c>
      <x:c r="I6" s="30" t="n">
        <x:f>IF(COUNTIFS('Raw IC'!$A$5:$A$546,$B6,'Raw IC'!$B$5:$B$546,10)=0,"",SUMIFS('Raw IC'!$H$5:$H$546,'Raw IC'!$A$5:$A$546,$B6,'Raw IC'!$B$5:$B$546,10))</x:f>
        <x:v>0.7982301867364805</x:v>
      </x:c>
      <x:c r="J6" s="30" t="n">
        <x:f>IF(COUNTIFS('Raw IC'!$A$5:$A$546,$B6,'Raw IC'!$B$5:$B$546,20)=0,"",SUMIFS('Raw IC'!$F$5:$F$546,'Raw IC'!$A$5:$A$546,$B6,'Raw IC'!$B$5:$B$546,20))</x:f>
        <x:v>0.05278327687859521</x:v>
      </x:c>
      <x:c r="K6" s="30" t="n">
        <x:f>IF(COUNTIFS('Raw IC'!$A$5:$A$546,$B6,'Raw IC'!$B$5:$B$546,20)=0,"",SUMIFS('Raw IC'!$H$5:$H$546,'Raw IC'!$A$5:$A$546,$B6,'Raw IC'!$B$5:$B$546,20))</x:f>
        <x:v>0.8732556158743613</x:v>
      </x:c>
      <x:c r="L6" s="30" t="n">
        <x:f>IF(COUNT(I6,K6)&lt;2,"",AVERAGE(ABS(I6),ABS(K6)))</x:f>
        <x:v>0.835742901305421</x:v>
      </x:c>
      <x:c r="M6" t="str">
        <x:f>IF(COUNT(H6,J6)&lt;2,"",IF(H6*J6&gt;=0,IF(H6&gt;=0,"positive","negative"),"mixed"))</x:f>
        <x:v>positive</x:v>
      </x:c>
      <x:c r="N6" s="74" t="n">
        <x:v>46211.31746125</x:v>
      </x:c>
      <x:c r="O6" s="19" t="n">
        <x:v>8902245</x:v>
      </x:c>
      <x:c r="P6" t="str">
        <x:v>8f7e606554926462248cbcc654181861438ca768a0063f6b317223ede37d16fb</x:v>
      </x:c>
      <x:c r="Q6" t="str">
        <x:v>factor_report/gtja191_batch/gtja_083</x:v>
      </x:c>
    </x:row>
    <x:row r="7">
      <x:c r="A7" s="52" t="n">
        <x:f>IF($C7="ranked",1+COUNTIFS($C$5:$C$190,"ranked",$L$5:$L$190,"&gt;"&amp;$L7),"")</x:f>
        <x:v>3</x:v>
      </x:c>
      <x:c r="B7" t="str">
        <x:v>gtja_062</x:v>
      </x:c>
      <x:c r="C7" t="str">
        <x:v>ranked</x:v>
      </x:c>
      <x:c r="D7" s="30" t="str">
        <x:f>IF(COUNTIFS('Raw IC'!$A$5:$A$546,$B7,'Raw IC'!$B$5:$B$546,1)=0,"",SUMIFS('Raw IC'!$F$5:$F$546,'Raw IC'!$A$5:$A$546,$B7,'Raw IC'!$B$5:$B$546,1))</x:f>
      </x:c>
      <x:c r="E7" s="30" t="str">
        <x:f>IF(COUNTIFS('Raw IC'!$A$5:$A$546,$B7,'Raw IC'!$B$5:$B$546,1)=0,"",SUMIFS('Raw IC'!$H$5:$H$546,'Raw IC'!$A$5:$A$546,$B7,'Raw IC'!$B$5:$B$546,1))</x:f>
      </x:c>
      <x:c r="F7" s="30" t="str">
        <x:f>IF(COUNTIFS('Raw IC'!$A$5:$A$546,$B7,'Raw IC'!$B$5:$B$546,5)=0,"",SUMIFS('Raw IC'!$F$5:$F$546,'Raw IC'!$A$5:$A$546,$B7,'Raw IC'!$B$5:$B$546,5))</x:f>
      </x:c>
      <x:c r="G7" s="30" t="str">
        <x:f>IF(COUNTIFS('Raw IC'!$A$5:$A$546,$B7,'Raw IC'!$B$5:$B$546,5)=0,"",SUMIFS('Raw IC'!$H$5:$H$546,'Raw IC'!$A$5:$A$546,$B7,'Raw IC'!$B$5:$B$546,5))</x:f>
      </x:c>
      <x:c r="H7" s="30" t="n">
        <x:f>IF(COUNTIFS('Raw IC'!$A$5:$A$546,$B7,'Raw IC'!$B$5:$B$546,10)=0,"",SUMIFS('Raw IC'!$F$5:$F$546,'Raw IC'!$A$5:$A$546,$B7,'Raw IC'!$B$5:$B$546,10))</x:f>
        <x:v>0.045392270522241325</x:v>
      </x:c>
      <x:c r="I7" s="30" t="n">
        <x:f>IF(COUNTIFS('Raw IC'!$A$5:$A$546,$B7,'Raw IC'!$B$5:$B$546,10)=0,"",SUMIFS('Raw IC'!$H$5:$H$546,'Raw IC'!$A$5:$A$546,$B7,'Raw IC'!$B$5:$B$546,10))</x:f>
        <x:v>0.7095485572074162</x:v>
      </x:c>
      <x:c r="J7" s="30" t="n">
        <x:f>IF(COUNTIFS('Raw IC'!$A$5:$A$546,$B7,'Raw IC'!$B$5:$B$546,20)=0,"",SUMIFS('Raw IC'!$F$5:$F$546,'Raw IC'!$A$5:$A$546,$B7,'Raw IC'!$B$5:$B$546,20))</x:f>
        <x:v>0.04954705953979472</x:v>
      </x:c>
      <x:c r="K7" s="30" t="n">
        <x:f>IF(COUNTIFS('Raw IC'!$A$5:$A$546,$B7,'Raw IC'!$B$5:$B$546,20)=0,"",SUMIFS('Raw IC'!$H$5:$H$546,'Raw IC'!$A$5:$A$546,$B7,'Raw IC'!$B$5:$B$546,20))</x:f>
        <x:v>0.8314444641631195</x:v>
      </x:c>
      <x:c r="L7" s="30" t="n">
        <x:f>IF(COUNT(I7,K7)&lt;2,"",AVERAGE(ABS(I7),ABS(K7)))</x:f>
        <x:v>0.7704965106852678</x:v>
      </x:c>
      <x:c r="M7" t="str">
        <x:f>IF(COUNT(H7,J7)&lt;2,"",IF(H7*J7&gt;=0,IF(H7&gt;=0,"positive","negative"),"mixed"))</x:f>
        <x:v>positive</x:v>
      </x:c>
      <x:c r="N7" s="74" t="n">
        <x:v>46211.290294004626</x:v>
      </x:c>
      <x:c r="O7" s="19" t="n">
        <x:v>8902245</x:v>
      </x:c>
      <x:c r="P7" t="str">
        <x:v>8f7e606554926462248cbcc654181861438ca768a0063f6b317223ede37d16fb</x:v>
      </x:c>
      <x:c r="Q7" t="str">
        <x:v>factor_report/gtja191_batch/gtja_062</x:v>
      </x:c>
    </x:row>
    <x:row r="8">
      <x:c r="A8" s="52" t="n">
        <x:f>IF($C8="ranked",1+COUNTIFS($C$5:$C$190,"ranked",$L$5:$L$190,"&gt;"&amp;$L8),"")</x:f>
        <x:v>4</x:v>
      </x:c>
      <x:c r="B8" t="str">
        <x:v>gtja_016</x:v>
      </x:c>
      <x:c r="C8" t="str">
        <x:v>ranked</x:v>
      </x:c>
      <x:c r="D8" s="30" t="str">
        <x:f>IF(COUNTIFS('Raw IC'!$A$5:$A$546,$B8,'Raw IC'!$B$5:$B$546,1)=0,"",SUMIFS('Raw IC'!$F$5:$F$546,'Raw IC'!$A$5:$A$546,$B8,'Raw IC'!$B$5:$B$546,1))</x:f>
      </x:c>
      <x:c r="E8" s="30" t="str">
        <x:f>IF(COUNTIFS('Raw IC'!$A$5:$A$546,$B8,'Raw IC'!$B$5:$B$546,1)=0,"",SUMIFS('Raw IC'!$H$5:$H$546,'Raw IC'!$A$5:$A$546,$B8,'Raw IC'!$B$5:$B$546,1))</x:f>
      </x:c>
      <x:c r="F8" s="30" t="str">
        <x:f>IF(COUNTIFS('Raw IC'!$A$5:$A$546,$B8,'Raw IC'!$B$5:$B$546,5)=0,"",SUMIFS('Raw IC'!$F$5:$F$546,'Raw IC'!$A$5:$A$546,$B8,'Raw IC'!$B$5:$B$546,5))</x:f>
      </x:c>
      <x:c r="G8" s="30" t="str">
        <x:f>IF(COUNTIFS('Raw IC'!$A$5:$A$546,$B8,'Raw IC'!$B$5:$B$546,5)=0,"",SUMIFS('Raw IC'!$H$5:$H$546,'Raw IC'!$A$5:$A$546,$B8,'Raw IC'!$B$5:$B$546,5))</x:f>
      </x:c>
      <x:c r="H8" s="30" t="n">
        <x:f>IF(COUNTIFS('Raw IC'!$A$5:$A$546,$B8,'Raw IC'!$B$5:$B$546,10)=0,"",SUMIFS('Raw IC'!$F$5:$F$546,'Raw IC'!$A$5:$A$546,$B8,'Raw IC'!$B$5:$B$546,10))</x:f>
        <x:v>0.04278155068223139</x:v>
      </x:c>
      <x:c r="I8" s="30" t="n">
        <x:f>IF(COUNTIFS('Raw IC'!$A$5:$A$546,$B8,'Raw IC'!$B$5:$B$546,10)=0,"",SUMIFS('Raw IC'!$H$5:$H$546,'Raw IC'!$A$5:$A$546,$B8,'Raw IC'!$B$5:$B$546,10))</x:f>
        <x:v>0.712787819073243</x:v>
      </x:c>
      <x:c r="J8" s="30" t="n">
        <x:f>IF(COUNTIFS('Raw IC'!$A$5:$A$546,$B8,'Raw IC'!$B$5:$B$546,20)=0,"",SUMIFS('Raw IC'!$F$5:$F$546,'Raw IC'!$A$5:$A$546,$B8,'Raw IC'!$B$5:$B$546,20))</x:f>
        <x:v>0.045956893896997295</x:v>
      </x:c>
      <x:c r="K8" s="30" t="n">
        <x:f>IF(COUNTIFS('Raw IC'!$A$5:$A$546,$B8,'Raw IC'!$B$5:$B$546,20)=0,"",SUMIFS('Raw IC'!$H$5:$H$546,'Raw IC'!$A$5:$A$546,$B8,'Raw IC'!$B$5:$B$546,20))</x:f>
        <x:v>0.7817359016242542</x:v>
      </x:c>
      <x:c r="L8" s="30" t="n">
        <x:f>IF(COUNT(I8,K8)&lt;2,"",AVERAGE(ABS(I8),ABS(K8)))</x:f>
        <x:v>0.7472618603487486</x:v>
      </x:c>
      <x:c r="M8" t="str">
        <x:f>IF(COUNT(H8,J8)&lt;2,"",IF(H8*J8&gt;=0,IF(H8&gt;=0,"positive","negative"),"mixed"))</x:f>
        <x:v>positive</x:v>
      </x:c>
      <x:c r="N8" s="74" t="n">
        <x:v>46211.19679032407</x:v>
      </x:c>
      <x:c r="O8" s="19" t="n">
        <x:v>8902245</x:v>
      </x:c>
      <x:c r="P8" t="str">
        <x:v>8f7e606554926462248cbcc654181861438ca768a0063f6b317223ede37d16fb</x:v>
      </x:c>
      <x:c r="Q8" t="str">
        <x:v>factor_report/gtja191_batch/gtja_016</x:v>
      </x:c>
    </x:row>
    <x:row r="9">
      <x:c r="A9" s="52" t="n">
        <x:f>IF($C9="ranked",1+COUNTIFS($C$5:$C$190,"ranked",$L$5:$L$190,"&gt;"&amp;$L9),"")</x:f>
        <x:v>5</x:v>
      </x:c>
      <x:c r="B9" t="str">
        <x:v>gtja_090</x:v>
      </x:c>
      <x:c r="C9" t="str">
        <x:v>ranked</x:v>
      </x:c>
      <x:c r="D9" s="30" t="str">
        <x:f>IF(COUNTIFS('Raw IC'!$A$5:$A$546,$B9,'Raw IC'!$B$5:$B$546,1)=0,"",SUMIFS('Raw IC'!$F$5:$F$546,'Raw IC'!$A$5:$A$546,$B9,'Raw IC'!$B$5:$B$546,1))</x:f>
      </x:c>
      <x:c r="E9" s="30" t="str">
        <x:f>IF(COUNTIFS('Raw IC'!$A$5:$A$546,$B9,'Raw IC'!$B$5:$B$546,1)=0,"",SUMIFS('Raw IC'!$H$5:$H$546,'Raw IC'!$A$5:$A$546,$B9,'Raw IC'!$B$5:$B$546,1))</x:f>
      </x:c>
      <x:c r="F9" s="30" t="str">
        <x:f>IF(COUNTIFS('Raw IC'!$A$5:$A$546,$B9,'Raw IC'!$B$5:$B$546,5)=0,"",SUMIFS('Raw IC'!$F$5:$F$546,'Raw IC'!$A$5:$A$546,$B9,'Raw IC'!$B$5:$B$546,5))</x:f>
      </x:c>
      <x:c r="G9" s="30" t="str">
        <x:f>IF(COUNTIFS('Raw IC'!$A$5:$A$546,$B9,'Raw IC'!$B$5:$B$546,5)=0,"",SUMIFS('Raw IC'!$H$5:$H$546,'Raw IC'!$A$5:$A$546,$B9,'Raw IC'!$B$5:$B$546,5))</x:f>
      </x:c>
      <x:c r="H9" s="30" t="n">
        <x:f>IF(COUNTIFS('Raw IC'!$A$5:$A$546,$B9,'Raw IC'!$B$5:$B$546,10)=0,"",SUMIFS('Raw IC'!$F$5:$F$546,'Raw IC'!$A$5:$A$546,$B9,'Raw IC'!$B$5:$B$546,10))</x:f>
        <x:v>0.04144801085758182</x:v>
      </x:c>
      <x:c r="I9" s="30" t="n">
        <x:f>IF(COUNTIFS('Raw IC'!$A$5:$A$546,$B9,'Raw IC'!$B$5:$B$546,10)=0,"",SUMIFS('Raw IC'!$H$5:$H$546,'Raw IC'!$A$5:$A$546,$B9,'Raw IC'!$B$5:$B$546,10))</x:f>
        <x:v>0.700385179515233</x:v>
      </x:c>
      <x:c r="J9" s="30" t="n">
        <x:f>IF(COUNTIFS('Raw IC'!$A$5:$A$546,$B9,'Raw IC'!$B$5:$B$546,20)=0,"",SUMIFS('Raw IC'!$F$5:$F$546,'Raw IC'!$A$5:$A$546,$B9,'Raw IC'!$B$5:$B$546,20))</x:f>
        <x:v>0.043954812384740215</x:v>
      </x:c>
      <x:c r="K9" s="30" t="n">
        <x:f>IF(COUNTIFS('Raw IC'!$A$5:$A$546,$B9,'Raw IC'!$B$5:$B$546,20)=0,"",SUMIFS('Raw IC'!$H$5:$H$546,'Raw IC'!$A$5:$A$546,$B9,'Raw IC'!$B$5:$B$546,20))</x:f>
        <x:v>0.7814076844278124</x:v>
      </x:c>
      <x:c r="L9" s="30" t="n">
        <x:f>IF(COUNT(I9,K9)&lt;2,"",AVERAGE(ABS(I9),ABS(K9)))</x:f>
        <x:v>0.7408964319715228</x:v>
      </x:c>
      <x:c r="M9" t="str">
        <x:f>IF(COUNT(H9,J9)&lt;2,"",IF(H9*J9&gt;=0,IF(H9&gt;=0,"positive","negative"),"mixed"))</x:f>
        <x:v>positive</x:v>
      </x:c>
      <x:c r="N9" s="74" t="n">
        <x:v>46211.33284847222</x:v>
      </x:c>
      <x:c r="O9" s="19" t="n">
        <x:v>8902245</x:v>
      </x:c>
      <x:c r="P9" t="str">
        <x:v>8f7e606554926462248cbcc654181861438ca768a0063f6b317223ede37d16fb</x:v>
      </x:c>
      <x:c r="Q9" t="str">
        <x:v>factor_report/gtja191_batch/gtja_090</x:v>
      </x:c>
    </x:row>
    <x:row r="10">
      <x:c r="A10" s="52" t="n">
        <x:f>IF($C10="ranked",1+COUNTIFS($C$5:$C$190,"ranked",$L$5:$L$190,"&gt;"&amp;$L10),"")</x:f>
        <x:v>6</x:v>
      </x:c>
      <x:c r="B10" t="str">
        <x:v>gtja_176</x:v>
      </x:c>
      <x:c r="C10" t="str">
        <x:v>ranked</x:v>
      </x:c>
      <x:c r="D10" s="30" t="n">
        <x:f>IF(COUNTIFS('Raw IC'!$A$5:$A$546,$B10,'Raw IC'!$B$5:$B$546,1)=0,"",SUMIFS('Raw IC'!$F$5:$F$546,'Raw IC'!$A$5:$A$546,$B10,'Raw IC'!$B$5:$B$546,1))</x:f>
        <x:v>-0.024133419582179818</x:v>
      </x:c>
      <x:c r="E10" s="30" t="n">
        <x:f>IF(COUNTIFS('Raw IC'!$A$5:$A$546,$B10,'Raw IC'!$B$5:$B$546,1)=0,"",SUMIFS('Raw IC'!$H$5:$H$546,'Raw IC'!$A$5:$A$546,$B10,'Raw IC'!$B$5:$B$546,1))</x:f>
        <x:v>-0.4495036541444343</x:v>
      </x:c>
      <x:c r="F10" s="30" t="n">
        <x:f>IF(COUNTIFS('Raw IC'!$A$5:$A$546,$B10,'Raw IC'!$B$5:$B$546,5)=0,"",SUMIFS('Raw IC'!$F$5:$F$546,'Raw IC'!$A$5:$A$546,$B10,'Raw IC'!$B$5:$B$546,5))</x:f>
        <x:v>-0.030987803007717876</x:v>
      </x:c>
      <x:c r="G10" s="30" t="n">
        <x:f>IF(COUNTIFS('Raw IC'!$A$5:$A$546,$B10,'Raw IC'!$B$5:$B$546,5)=0,"",SUMIFS('Raw IC'!$H$5:$H$546,'Raw IC'!$A$5:$A$546,$B10,'Raw IC'!$B$5:$B$546,5))</x:f>
        <x:v>-0.6056168758377467</x:v>
      </x:c>
      <x:c r="H10" s="30" t="n">
        <x:f>IF(COUNTIFS('Raw IC'!$A$5:$A$546,$B10,'Raw IC'!$B$5:$B$546,10)=0,"",SUMIFS('Raw IC'!$F$5:$F$546,'Raw IC'!$A$5:$A$546,$B10,'Raw IC'!$B$5:$B$546,10))</x:f>
        <x:v>-0.035213922106757604</x:v>
      </x:c>
      <x:c r="I10" s="30" t="n">
        <x:f>IF(COUNTIFS('Raw IC'!$A$5:$A$546,$B10,'Raw IC'!$B$5:$B$546,10)=0,"",SUMIFS('Raw IC'!$H$5:$H$546,'Raw IC'!$A$5:$A$546,$B10,'Raw IC'!$B$5:$B$546,10))</x:f>
        <x:v>-0.6752883489384616</x:v>
      </x:c>
      <x:c r="J10" s="30" t="n">
        <x:f>IF(COUNTIFS('Raw IC'!$A$5:$A$546,$B10,'Raw IC'!$B$5:$B$546,20)=0,"",SUMIFS('Raw IC'!$F$5:$F$546,'Raw IC'!$A$5:$A$546,$B10,'Raw IC'!$B$5:$B$546,20))</x:f>
        <x:v>-0.039441726766842995</x:v>
      </x:c>
      <x:c r="K10" s="30" t="n">
        <x:f>IF(COUNTIFS('Raw IC'!$A$5:$A$546,$B10,'Raw IC'!$B$5:$B$546,20)=0,"",SUMIFS('Raw IC'!$H$5:$H$546,'Raw IC'!$A$5:$A$546,$B10,'Raw IC'!$B$5:$B$546,20))</x:f>
        <x:v>-0.7989275027771024</x:v>
      </x:c>
      <x:c r="L10" s="30" t="n">
        <x:f>IF(COUNT(I10,K10)&lt;2,"",AVERAGE(ABS(I10),ABS(K10)))</x:f>
        <x:v>0.737107925857782</x:v>
      </x:c>
      <x:c r="M10" t="str">
        <x:f>IF(COUNT(H10,J10)&lt;2,"",IF(H10*J10&gt;=0,IF(H10&gt;=0,"positive","negative"),"mixed"))</x:f>
        <x:v>negative</x:v>
      </x:c>
      <x:c r="N10" s="74" t="n">
        <x:v>46210.92925570602</x:v>
      </x:c>
      <x:c r="O10" s="19" t="n">
        <x:v>8902245</x:v>
      </x:c>
      <x:c r="P10" t="str">
        <x:v>40355b29bce094aef0e99358bdfd4011b92e72a54440a67760de4afae4883c33</x:v>
      </x:c>
      <x:c r="Q10" t="str">
        <x:v>factor_report/gtja191_batch/gtja_176</x:v>
      </x:c>
    </x:row>
    <x:row r="11">
      <x:c r="A11" s="52" t="n">
        <x:f>IF($C11="ranked",1+COUNTIFS($C$5:$C$190,"ranked",$L$5:$L$190,"&gt;"&amp;$L11),"")</x:f>
        <x:v>7</x:v>
      </x:c>
      <x:c r="B11" t="str">
        <x:v>gtja_036</x:v>
      </x:c>
      <x:c r="C11" t="str">
        <x:v>ranked</x:v>
      </x:c>
      <x:c r="D11" s="30" t="n">
        <x:f>IF(COUNTIFS('Raw IC'!$A$5:$A$546,$B11,'Raw IC'!$B$5:$B$546,1)=0,"",SUMIFS('Raw IC'!$F$5:$F$546,'Raw IC'!$A$5:$A$546,$B11,'Raw IC'!$B$5:$B$546,1))</x:f>
        <x:v>-0.028994801088092843</x:v>
      </x:c>
      <x:c r="E11" s="30" t="n">
        <x:f>IF(COUNTIFS('Raw IC'!$A$5:$A$546,$B11,'Raw IC'!$B$5:$B$546,1)=0,"",SUMIFS('Raw IC'!$H$5:$H$546,'Raw IC'!$A$5:$A$546,$B11,'Raw IC'!$B$5:$B$546,1))</x:f>
        <x:v>-0.40796037089666204</x:v>
      </x:c>
      <x:c r="F11" s="30" t="n">
        <x:f>IF(COUNTIFS('Raw IC'!$A$5:$A$546,$B11,'Raw IC'!$B$5:$B$546,5)=0,"",SUMIFS('Raw IC'!$F$5:$F$546,'Raw IC'!$A$5:$A$546,$B11,'Raw IC'!$B$5:$B$546,5))</x:f>
        <x:v>-0.03964438279450235</x:v>
      </x:c>
      <x:c r="G11" s="30" t="n">
        <x:f>IF(COUNTIFS('Raw IC'!$A$5:$A$546,$B11,'Raw IC'!$B$5:$B$546,5)=0,"",SUMIFS('Raw IC'!$H$5:$H$546,'Raw IC'!$A$5:$A$546,$B11,'Raw IC'!$B$5:$B$546,5))</x:f>
        <x:v>-0.600798766061139</x:v>
      </x:c>
      <x:c r="H11" s="30" t="n">
        <x:f>IF(COUNTIFS('Raw IC'!$A$5:$A$546,$B11,'Raw IC'!$B$5:$B$546,10)=0,"",SUMIFS('Raw IC'!$F$5:$F$546,'Raw IC'!$A$5:$A$546,$B11,'Raw IC'!$B$5:$B$546,10))</x:f>
        <x:v>-0.044762888764742104</x:v>
      </x:c>
      <x:c r="I11" s="30" t="n">
        <x:f>IF(COUNTIFS('Raw IC'!$A$5:$A$546,$B11,'Raw IC'!$B$5:$B$546,10)=0,"",SUMIFS('Raw IC'!$H$5:$H$546,'Raw IC'!$A$5:$A$546,$B11,'Raw IC'!$B$5:$B$546,10))</x:f>
        <x:v>-0.6867805827527537</x:v>
      </x:c>
      <x:c r="J11" s="30" t="n">
        <x:f>IF(COUNTIFS('Raw IC'!$A$5:$A$546,$B11,'Raw IC'!$B$5:$B$546,20)=0,"",SUMIFS('Raw IC'!$F$5:$F$546,'Raw IC'!$A$5:$A$546,$B11,'Raw IC'!$B$5:$B$546,20))</x:f>
        <x:v>-0.048413869320567675</x:v>
      </x:c>
      <x:c r="K11" s="30" t="n">
        <x:f>IF(COUNTIFS('Raw IC'!$A$5:$A$546,$B11,'Raw IC'!$B$5:$B$546,20)=0,"",SUMIFS('Raw IC'!$H$5:$H$546,'Raw IC'!$A$5:$A$546,$B11,'Raw IC'!$B$5:$B$546,20))</x:f>
        <x:v>-0.7789874981755899</x:v>
      </x:c>
      <x:c r="L11" s="30" t="n">
        <x:f>IF(COUNT(I11,K11)&lt;2,"",AVERAGE(ABS(I11),ABS(K11)))</x:f>
        <x:v>0.7328840404641718</x:v>
      </x:c>
      <x:c r="M11" t="str">
        <x:f>IF(COUNT(H11,J11)&lt;2,"",IF(H11*J11&gt;=0,IF(H11&gt;=0,"positive","negative"),"mixed"))</x:f>
        <x:v>negative</x:v>
      </x:c>
      <x:c r="N11" s="74" t="n">
        <x:v>46210.26318543981</x:v>
      </x:c>
      <x:c r="O11" s="19" t="n">
        <x:v>8902245</x:v>
      </x:c>
      <x:c r="P11" t="str">
        <x:v>40355b29bce094aef0e99358bdfd4011b92e72a54440a67760de4afae4883c33</x:v>
      </x:c>
      <x:c r="Q11" t="str">
        <x:v>factor_report/gtja191_batch/gtja_036</x:v>
      </x:c>
    </x:row>
    <x:row r="12">
      <x:c r="A12" s="52" t="n">
        <x:f>IF($C12="ranked",1+COUNTIFS($C$5:$C$190,"ranked",$L$5:$L$190,"&gt;"&amp;$L12),"")</x:f>
        <x:v>8</x:v>
      </x:c>
      <x:c r="B12" t="str">
        <x:v>gtja_064</x:v>
      </x:c>
      <x:c r="C12" t="str">
        <x:v>ranked</x:v>
      </x:c>
      <x:c r="D12" s="30" t="str">
        <x:f>IF(COUNTIFS('Raw IC'!$A$5:$A$546,$B12,'Raw IC'!$B$5:$B$546,1)=0,"",SUMIFS('Raw IC'!$F$5:$F$546,'Raw IC'!$A$5:$A$546,$B12,'Raw IC'!$B$5:$B$546,1))</x:f>
      </x:c>
      <x:c r="E12" s="30" t="str">
        <x:f>IF(COUNTIFS('Raw IC'!$A$5:$A$546,$B12,'Raw IC'!$B$5:$B$546,1)=0,"",SUMIFS('Raw IC'!$H$5:$H$546,'Raw IC'!$A$5:$A$546,$B12,'Raw IC'!$B$5:$B$546,1))</x:f>
      </x:c>
      <x:c r="F12" s="30" t="str">
        <x:f>IF(COUNTIFS('Raw IC'!$A$5:$A$546,$B12,'Raw IC'!$B$5:$B$546,5)=0,"",SUMIFS('Raw IC'!$F$5:$F$546,'Raw IC'!$A$5:$A$546,$B12,'Raw IC'!$B$5:$B$546,5))</x:f>
      </x:c>
      <x:c r="G12" s="30" t="str">
        <x:f>IF(COUNTIFS('Raw IC'!$A$5:$A$546,$B12,'Raw IC'!$B$5:$B$546,5)=0,"",SUMIFS('Raw IC'!$H$5:$H$546,'Raw IC'!$A$5:$A$546,$B12,'Raw IC'!$B$5:$B$546,5))</x:f>
      </x:c>
      <x:c r="H12" s="30" t="n">
        <x:f>IF(COUNTIFS('Raw IC'!$A$5:$A$546,$B12,'Raw IC'!$B$5:$B$546,10)=0,"",SUMIFS('Raw IC'!$F$5:$F$546,'Raw IC'!$A$5:$A$546,$B12,'Raw IC'!$B$5:$B$546,10))</x:f>
        <x:v>0.035302286603448786</x:v>
      </x:c>
      <x:c r="I12" s="30" t="n">
        <x:f>IF(COUNTIFS('Raw IC'!$A$5:$A$546,$B12,'Raw IC'!$B$5:$B$546,10)=0,"",SUMIFS('Raw IC'!$H$5:$H$546,'Raw IC'!$A$5:$A$546,$B12,'Raw IC'!$B$5:$B$546,10))</x:f>
        <x:v>0.699238699911684</x:v>
      </x:c>
      <x:c r="J12" s="30" t="n">
        <x:f>IF(COUNTIFS('Raw IC'!$A$5:$A$546,$B12,'Raw IC'!$B$5:$B$546,20)=0,"",SUMIFS('Raw IC'!$F$5:$F$546,'Raw IC'!$A$5:$A$546,$B12,'Raw IC'!$B$5:$B$546,20))</x:f>
        <x:v>0.03708133958236362</x:v>
      </x:c>
      <x:c r="K12" s="30" t="n">
        <x:f>IF(COUNTIFS('Raw IC'!$A$5:$A$546,$B12,'Raw IC'!$B$5:$B$546,20)=0,"",SUMIFS('Raw IC'!$H$5:$H$546,'Raw IC'!$A$5:$A$546,$B12,'Raw IC'!$B$5:$B$546,20))</x:f>
        <x:v>0.7541307422723045</x:v>
      </x:c>
      <x:c r="L12" s="30" t="n">
        <x:f>IF(COUNT(I12,K12)&lt;2,"",AVERAGE(ABS(I12),ABS(K12)))</x:f>
        <x:v>0.7266847210919942</x:v>
      </x:c>
      <x:c r="M12" t="str">
        <x:f>IF(COUNT(H12,J12)&lt;2,"",IF(H12*J12&gt;=0,IF(H12&gt;=0,"positive","negative"),"mixed"))</x:f>
        <x:v>positive</x:v>
      </x:c>
      <x:c r="N12" s="74" t="n">
        <x:v>46211.2933559838</x:v>
      </x:c>
      <x:c r="O12" s="19" t="n">
        <x:v>8902245</x:v>
      </x:c>
      <x:c r="P12" t="str">
        <x:v>8f7e606554926462248cbcc654181861438ca768a0063f6b317223ede37d16fb</x:v>
      </x:c>
      <x:c r="Q12" t="str">
        <x:v>factor_report/gtja191_batch/gtja_064</x:v>
      </x:c>
    </x:row>
    <x:row r="13">
      <x:c r="A13" s="52" t="n">
        <x:f>IF($C13="ranked",1+COUNTIFS($C$5:$C$190,"ranked",$L$5:$L$190,"&gt;"&amp;$L13),"")</x:f>
        <x:v>9</x:v>
      </x:c>
      <x:c r="B13" t="str">
        <x:v>gtja_032</x:v>
      </x:c>
      <x:c r="C13" t="str">
        <x:v>ranked</x:v>
      </x:c>
      <x:c r="D13" s="30" t="str">
        <x:f>IF(COUNTIFS('Raw IC'!$A$5:$A$546,$B13,'Raw IC'!$B$5:$B$546,1)=0,"",SUMIFS('Raw IC'!$F$5:$F$546,'Raw IC'!$A$5:$A$546,$B13,'Raw IC'!$B$5:$B$546,1))</x:f>
      </x:c>
      <x:c r="E13" s="30" t="str">
        <x:f>IF(COUNTIFS('Raw IC'!$A$5:$A$546,$B13,'Raw IC'!$B$5:$B$546,1)=0,"",SUMIFS('Raw IC'!$H$5:$H$546,'Raw IC'!$A$5:$A$546,$B13,'Raw IC'!$B$5:$B$546,1))</x:f>
      </x:c>
      <x:c r="F13" s="30" t="str">
        <x:f>IF(COUNTIFS('Raw IC'!$A$5:$A$546,$B13,'Raw IC'!$B$5:$B$546,5)=0,"",SUMIFS('Raw IC'!$F$5:$F$546,'Raw IC'!$A$5:$A$546,$B13,'Raw IC'!$B$5:$B$546,5))</x:f>
      </x:c>
      <x:c r="G13" s="30" t="str">
        <x:f>IF(COUNTIFS('Raw IC'!$A$5:$A$546,$B13,'Raw IC'!$B$5:$B$546,5)=0,"",SUMIFS('Raw IC'!$H$5:$H$546,'Raw IC'!$A$5:$A$546,$B13,'Raw IC'!$B$5:$B$546,5))</x:f>
      </x:c>
      <x:c r="H13" s="30" t="n">
        <x:f>IF(COUNTIFS('Raw IC'!$A$5:$A$546,$B13,'Raw IC'!$B$5:$B$546,10)=0,"",SUMIFS('Raw IC'!$F$5:$F$546,'Raw IC'!$A$5:$A$546,$B13,'Raw IC'!$B$5:$B$546,10))</x:f>
        <x:v>0.03607090076309309</x:v>
      </x:c>
      <x:c r="I13" s="30" t="n">
        <x:f>IF(COUNTIFS('Raw IC'!$A$5:$A$546,$B13,'Raw IC'!$B$5:$B$546,10)=0,"",SUMIFS('Raw IC'!$H$5:$H$546,'Raw IC'!$A$5:$A$546,$B13,'Raw IC'!$B$5:$B$546,10))</x:f>
        <x:v>0.6908398510206074</x:v>
      </x:c>
      <x:c r="J13" s="30" t="n">
        <x:f>IF(COUNTIFS('Raw IC'!$A$5:$A$546,$B13,'Raw IC'!$B$5:$B$546,20)=0,"",SUMIFS('Raw IC'!$F$5:$F$546,'Raw IC'!$A$5:$A$546,$B13,'Raw IC'!$B$5:$B$546,20))</x:f>
        <x:v>0.03773642741915077</x:v>
      </x:c>
      <x:c r="K13" s="30" t="n">
        <x:f>IF(COUNTIFS('Raw IC'!$A$5:$A$546,$B13,'Raw IC'!$B$5:$B$546,20)=0,"",SUMIFS('Raw IC'!$H$5:$H$546,'Raw IC'!$A$5:$A$546,$B13,'Raw IC'!$B$5:$B$546,20))</x:f>
        <x:v>0.7498177200482639</x:v>
      </x:c>
      <x:c r="L13" s="30" t="n">
        <x:f>IF(COUNT(I13,K13)&lt;2,"",AVERAGE(ABS(I13),ABS(K13)))</x:f>
        <x:v>0.7203287855344356</x:v>
      </x:c>
      <x:c r="M13" t="str">
        <x:f>IF(COUNT(H13,J13)&lt;2,"",IF(H13*J13&gt;=0,IF(H13&gt;=0,"positive","negative"),"mixed"))</x:f>
        <x:v>positive</x:v>
      </x:c>
      <x:c r="N13" s="74" t="n">
        <x:v>46211.2231158912</x:v>
      </x:c>
      <x:c r="O13" s="19" t="n">
        <x:v>8902245</x:v>
      </x:c>
      <x:c r="P13" t="str">
        <x:v>8f7e606554926462248cbcc654181861438ca768a0063f6b317223ede37d16fb</x:v>
      </x:c>
      <x:c r="Q13" t="str">
        <x:v>factor_report/gtja191_batch/gtja_032</x:v>
      </x:c>
    </x:row>
    <x:row r="14">
      <x:c r="A14" s="52" t="n">
        <x:f>IF($C14="ranked",1+COUNTIFS($C$5:$C$190,"ranked",$L$5:$L$190,"&gt;"&amp;$L14),"")</x:f>
        <x:v>10</x:v>
      </x:c>
      <x:c r="B14" t="str">
        <x:v>gtja_105</x:v>
      </x:c>
      <x:c r="C14" t="str">
        <x:v>ranked</x:v>
      </x:c>
      <x:c r="D14" s="30" t="str">
        <x:f>IF(COUNTIFS('Raw IC'!$A$5:$A$546,$B14,'Raw IC'!$B$5:$B$546,1)=0,"",SUMIFS('Raw IC'!$F$5:$F$546,'Raw IC'!$A$5:$A$546,$B14,'Raw IC'!$B$5:$B$546,1))</x:f>
      </x:c>
      <x:c r="E14" s="30" t="str">
        <x:f>IF(COUNTIFS('Raw IC'!$A$5:$A$546,$B14,'Raw IC'!$B$5:$B$546,1)=0,"",SUMIFS('Raw IC'!$H$5:$H$546,'Raw IC'!$A$5:$A$546,$B14,'Raw IC'!$B$5:$B$546,1))</x:f>
      </x:c>
      <x:c r="F14" s="30" t="str">
        <x:f>IF(COUNTIFS('Raw IC'!$A$5:$A$546,$B14,'Raw IC'!$B$5:$B$546,5)=0,"",SUMIFS('Raw IC'!$F$5:$F$546,'Raw IC'!$A$5:$A$546,$B14,'Raw IC'!$B$5:$B$546,5))</x:f>
      </x:c>
      <x:c r="G14" s="30" t="str">
        <x:f>IF(COUNTIFS('Raw IC'!$A$5:$A$546,$B14,'Raw IC'!$B$5:$B$546,5)=0,"",SUMIFS('Raw IC'!$H$5:$H$546,'Raw IC'!$A$5:$A$546,$B14,'Raw IC'!$B$5:$B$546,5))</x:f>
      </x:c>
      <x:c r="H14" s="30" t="n">
        <x:f>IF(COUNTIFS('Raw IC'!$A$5:$A$546,$B14,'Raw IC'!$B$5:$B$546,10)=0,"",SUMIFS('Raw IC'!$F$5:$F$546,'Raw IC'!$A$5:$A$546,$B14,'Raw IC'!$B$5:$B$546,10))</x:f>
        <x:v>0.03704915011384955</x:v>
      </x:c>
      <x:c r="I14" s="30" t="n">
        <x:f>IF(COUNTIFS('Raw IC'!$A$5:$A$546,$B14,'Raw IC'!$B$5:$B$546,10)=0,"",SUMIFS('Raw IC'!$H$5:$H$546,'Raw IC'!$A$5:$A$546,$B14,'Raw IC'!$B$5:$B$546,10))</x:f>
        <x:v>0.6675173566566646</x:v>
      </x:c>
      <x:c r="J14" s="30" t="n">
        <x:f>IF(COUNTIFS('Raw IC'!$A$5:$A$546,$B14,'Raw IC'!$B$5:$B$546,20)=0,"",SUMIFS('Raw IC'!$F$5:$F$546,'Raw IC'!$A$5:$A$546,$B14,'Raw IC'!$B$5:$B$546,20))</x:f>
        <x:v>0.03959051741431011</x:v>
      </x:c>
      <x:c r="K14" s="30" t="n">
        <x:f>IF(COUNTIFS('Raw IC'!$A$5:$A$546,$B14,'Raw IC'!$B$5:$B$546,20)=0,"",SUMIFS('Raw IC'!$H$5:$H$546,'Raw IC'!$A$5:$A$546,$B14,'Raw IC'!$B$5:$B$546,20))</x:f>
        <x:v>0.7531938896285663</x:v>
      </x:c>
      <x:c r="L14" s="30" t="n">
        <x:f>IF(COUNT(I14,K14)&lt;2,"",AVERAGE(ABS(I14),ABS(K14)))</x:f>
        <x:v>0.7103556231426154</x:v>
      </x:c>
      <x:c r="M14" t="str">
        <x:f>IF(COUNT(H14,J14)&lt;2,"",IF(H14*J14&gt;=0,IF(H14&gt;=0,"positive","negative"),"mixed"))</x:f>
        <x:v>positive</x:v>
      </x:c>
      <x:c r="N14" s="74" t="n">
        <x:v>46211.35838456018</x:v>
      </x:c>
      <x:c r="O14" s="19" t="n">
        <x:v>8902245</x:v>
      </x:c>
      <x:c r="P14" t="str">
        <x:v>8f7e606554926462248cbcc654181861438ca768a0063f6b317223ede37d16fb</x:v>
      </x:c>
      <x:c r="Q14" t="str">
        <x:v>factor_report/gtja191_batch/gtja_105</x:v>
      </x:c>
    </x:row>
    <x:row r="15">
      <x:c r="A15" s="50" t="n">
        <x:f>IF($C15="ranked",1+COUNTIFS($C$5:$C$190,"ranked",$L$5:$L$190,"&gt;"&amp;$L15),"")</x:f>
        <x:v>11</x:v>
      </x:c>
      <x:c r="B15" t="str">
        <x:v>gtja_070</x:v>
      </x:c>
      <x:c r="C15" t="str">
        <x:v>ranked</x:v>
      </x:c>
      <x:c r="D15" s="30" t="n">
        <x:f>IF(COUNTIFS('Raw IC'!$A$5:$A$546,$B15,'Raw IC'!$B$5:$B$546,1)=0,"",SUMIFS('Raw IC'!$F$5:$F$546,'Raw IC'!$A$5:$A$546,$B15,'Raw IC'!$B$5:$B$546,1))</x:f>
        <x:v>-0.053577432783182125</x:v>
      </x:c>
      <x:c r="E15" s="30" t="n">
        <x:f>IF(COUNTIFS('Raw IC'!$A$5:$A$546,$B15,'Raw IC'!$B$5:$B$546,1)=0,"",SUMIFS('Raw IC'!$H$5:$H$546,'Raw IC'!$A$5:$A$546,$B15,'Raw IC'!$B$5:$B$546,1))</x:f>
        <x:v>-0.392419935079884</x:v>
      </x:c>
      <x:c r="F15" s="30" t="n">
        <x:f>IF(COUNTIFS('Raw IC'!$A$5:$A$546,$B15,'Raw IC'!$B$5:$B$546,5)=0,"",SUMIFS('Raw IC'!$F$5:$F$546,'Raw IC'!$A$5:$A$546,$B15,'Raw IC'!$B$5:$B$546,5))</x:f>
        <x:v>-0.07833974128786508</x:v>
      </x:c>
      <x:c r="G15" s="30" t="n">
        <x:f>IF(COUNTIFS('Raw IC'!$A$5:$A$546,$B15,'Raw IC'!$B$5:$B$546,5)=0,"",SUMIFS('Raw IC'!$H$5:$H$546,'Raw IC'!$A$5:$A$546,$B15,'Raw IC'!$B$5:$B$546,5))</x:f>
        <x:v>-0.5674403832880222</x:v>
      </x:c>
      <x:c r="H15" s="30" t="n">
        <x:f>IF(COUNTIFS('Raw IC'!$A$5:$A$546,$B15,'Raw IC'!$B$5:$B$546,10)=0,"",SUMIFS('Raw IC'!$F$5:$F$546,'Raw IC'!$A$5:$A$546,$B15,'Raw IC'!$B$5:$B$546,10))</x:f>
        <x:v>-0.09200568839452039</x:v>
      </x:c>
      <x:c r="I15" s="30" t="n">
        <x:f>IF(COUNTIFS('Raw IC'!$A$5:$A$546,$B15,'Raw IC'!$B$5:$B$546,10)=0,"",SUMIFS('Raw IC'!$H$5:$H$546,'Raw IC'!$A$5:$A$546,$B15,'Raw IC'!$B$5:$B$546,10))</x:f>
        <x:v>-0.648536782470257</x:v>
      </x:c>
      <x:c r="J15" s="30" t="n">
        <x:f>IF(COUNTIFS('Raw IC'!$A$5:$A$546,$B15,'Raw IC'!$B$5:$B$546,20)=0,"",SUMIFS('Raw IC'!$F$5:$F$546,'Raw IC'!$A$5:$A$546,$B15,'Raw IC'!$B$5:$B$546,20))</x:f>
        <x:v>-0.10876569631565444</x:v>
      </x:c>
      <x:c r="K15" s="30" t="n">
        <x:f>IF(COUNTIFS('Raw IC'!$A$5:$A$546,$B15,'Raw IC'!$B$5:$B$546,20)=0,"",SUMIFS('Raw IC'!$H$5:$H$546,'Raw IC'!$A$5:$A$546,$B15,'Raw IC'!$B$5:$B$546,20))</x:f>
        <x:v>-0.7301429489250738</x:v>
      </x:c>
      <x:c r="L15" s="30" t="n">
        <x:f>IF(COUNT(I15,K15)&lt;2,"",AVERAGE(ABS(I15),ABS(K15)))</x:f>
        <x:v>0.6893398656976655</x:v>
      </x:c>
      <x:c r="M15" t="str">
        <x:f>IF(COUNT(H15,J15)&lt;2,"",IF(H15*J15&gt;=0,IF(H15&gt;=0,"positive","negative"),"mixed"))</x:f>
        <x:v>negative</x:v>
      </x:c>
      <x:c r="N15" s="74" t="n">
        <x:v>46210.41622457176</x:v>
      </x:c>
      <x:c r="O15" s="19" t="n">
        <x:v>8902245</x:v>
      </x:c>
      <x:c r="P15" t="str">
        <x:v>40355b29bce094aef0e99358bdfd4011b92e72a54440a67760de4afae4883c33</x:v>
      </x:c>
      <x:c r="Q15" t="str">
        <x:v>factor_report/gtja191_batch/gtja_070</x:v>
      </x:c>
    </x:row>
    <x:row r="16">
      <x:c r="A16" s="50" t="n">
        <x:f>IF($C16="ranked",1+COUNTIFS($C$5:$C$190,"ranked",$L$5:$L$190,"&gt;"&amp;$L16),"")</x:f>
        <x:v>12</x:v>
      </x:c>
      <x:c r="B16" t="str">
        <x:v>gtja_150</x:v>
      </x:c>
      <x:c r="C16" t="str">
        <x:v>ranked</x:v>
      </x:c>
      <x:c r="D16" s="30" t="n">
        <x:f>IF(COUNTIFS('Raw IC'!$A$5:$A$546,$B16,'Raw IC'!$B$5:$B$546,1)=0,"",SUMIFS('Raw IC'!$F$5:$F$546,'Raw IC'!$A$5:$A$546,$B16,'Raw IC'!$B$5:$B$546,1))</x:f>
        <x:v>-0.05336353246450551</x:v>
      </x:c>
      <x:c r="E16" s="30" t="n">
        <x:f>IF(COUNTIFS('Raw IC'!$A$5:$A$546,$B16,'Raw IC'!$B$5:$B$546,1)=0,"",SUMIFS('Raw IC'!$H$5:$H$546,'Raw IC'!$A$5:$A$546,$B16,'Raw IC'!$B$5:$B$546,1))</x:f>
        <x:v>-0.38425316765575873</x:v>
      </x:c>
      <x:c r="F16" s="30" t="n">
        <x:f>IF(COUNTIFS('Raw IC'!$A$5:$A$546,$B16,'Raw IC'!$B$5:$B$546,5)=0,"",SUMIFS('Raw IC'!$F$5:$F$546,'Raw IC'!$A$5:$A$546,$B16,'Raw IC'!$B$5:$B$546,5))</x:f>
        <x:v>-0.07784400675240061</x:v>
      </x:c>
      <x:c r="G16" s="30" t="n">
        <x:f>IF(COUNTIFS('Raw IC'!$A$5:$A$546,$B16,'Raw IC'!$B$5:$B$546,5)=0,"",SUMIFS('Raw IC'!$H$5:$H$546,'Raw IC'!$A$5:$A$546,$B16,'Raw IC'!$B$5:$B$546,5))</x:f>
        <x:v>-0.551799751924839</x:v>
      </x:c>
      <x:c r="H16" s="30" t="n">
        <x:f>IF(COUNTIFS('Raw IC'!$A$5:$A$546,$B16,'Raw IC'!$B$5:$B$546,10)=0,"",SUMIFS('Raw IC'!$F$5:$F$546,'Raw IC'!$A$5:$A$546,$B16,'Raw IC'!$B$5:$B$546,10))</x:f>
        <x:v>-0.09224468197712768</x:v>
      </x:c>
      <x:c r="I16" s="30" t="n">
        <x:f>IF(COUNTIFS('Raw IC'!$A$5:$A$546,$B16,'Raw IC'!$B$5:$B$546,10)=0,"",SUMIFS('Raw IC'!$H$5:$H$546,'Raw IC'!$A$5:$A$546,$B16,'Raw IC'!$B$5:$B$546,10))</x:f>
        <x:v>-0.6370853397701364</x:v>
      </x:c>
      <x:c r="J16" s="30" t="n">
        <x:f>IF(COUNTIFS('Raw IC'!$A$5:$A$546,$B16,'Raw IC'!$B$5:$B$546,20)=0,"",SUMIFS('Raw IC'!$F$5:$F$546,'Raw IC'!$A$5:$A$546,$B16,'Raw IC'!$B$5:$B$546,20))</x:f>
        <x:v>-0.11156827243879673</x:v>
      </x:c>
      <x:c r="K16" s="30" t="n">
        <x:f>IF(COUNTIFS('Raw IC'!$A$5:$A$546,$B16,'Raw IC'!$B$5:$B$546,20)=0,"",SUMIFS('Raw IC'!$H$5:$H$546,'Raw IC'!$A$5:$A$546,$B16,'Raw IC'!$B$5:$B$546,20))</x:f>
        <x:v>-0.740481533564604</x:v>
      </x:c>
      <x:c r="L16" s="30" t="n">
        <x:f>IF(COUNT(I16,K16)&lt;2,"",AVERAGE(ABS(I16),ABS(K16)))</x:f>
        <x:v>0.6887834366673702</x:v>
      </x:c>
      <x:c r="M16" t="str">
        <x:f>IF(COUNT(H16,J16)&lt;2,"",IF(H16*J16&gt;=0,IF(H16&gt;=0,"positive","negative"),"mixed"))</x:f>
        <x:v>negative</x:v>
      </x:c>
      <x:c r="N16" s="74" t="n">
        <x:v>46210.81356047454</x:v>
      </x:c>
      <x:c r="O16" s="19" t="n">
        <x:v>8902245</x:v>
      </x:c>
      <x:c r="P16" t="str">
        <x:v>40355b29bce094aef0e99358bdfd4011b92e72a54440a67760de4afae4883c33</x:v>
      </x:c>
      <x:c r="Q16" t="str">
        <x:v>factor_report/gtja191_batch/gtja_150</x:v>
      </x:c>
    </x:row>
    <x:row r="17">
      <x:c r="A17" s="50" t="n">
        <x:f>IF($C17="ranked",1+COUNTIFS($C$5:$C$190,"ranked",$L$5:$L$190,"&gt;"&amp;$L17),"")</x:f>
        <x:v>13</x:v>
      </x:c>
      <x:c r="B17" t="str">
        <x:v>gtja_042</x:v>
      </x:c>
      <x:c r="C17" t="str">
        <x:v>ranked</x:v>
      </x:c>
      <x:c r="D17" s="30" t="str">
        <x:f>IF(COUNTIFS('Raw IC'!$A$5:$A$546,$B17,'Raw IC'!$B$5:$B$546,1)=0,"",SUMIFS('Raw IC'!$F$5:$F$546,'Raw IC'!$A$5:$A$546,$B17,'Raw IC'!$B$5:$B$546,1))</x:f>
      </x:c>
      <x:c r="E17" s="30" t="str">
        <x:f>IF(COUNTIFS('Raw IC'!$A$5:$A$546,$B17,'Raw IC'!$B$5:$B$546,1)=0,"",SUMIFS('Raw IC'!$H$5:$H$546,'Raw IC'!$A$5:$A$546,$B17,'Raw IC'!$B$5:$B$546,1))</x:f>
      </x:c>
      <x:c r="F17" s="30" t="str">
        <x:f>IF(COUNTIFS('Raw IC'!$A$5:$A$546,$B17,'Raw IC'!$B$5:$B$546,5)=0,"",SUMIFS('Raw IC'!$F$5:$F$546,'Raw IC'!$A$5:$A$546,$B17,'Raw IC'!$B$5:$B$546,5))</x:f>
      </x:c>
      <x:c r="G17" s="30" t="str">
        <x:f>IF(COUNTIFS('Raw IC'!$A$5:$A$546,$B17,'Raw IC'!$B$5:$B$546,5)=0,"",SUMIFS('Raw IC'!$H$5:$H$546,'Raw IC'!$A$5:$A$546,$B17,'Raw IC'!$B$5:$B$546,5))</x:f>
      </x:c>
      <x:c r="H17" s="30" t="n">
        <x:f>IF(COUNTIFS('Raw IC'!$A$5:$A$546,$B17,'Raw IC'!$B$5:$B$546,10)=0,"",SUMIFS('Raw IC'!$F$5:$F$546,'Raw IC'!$A$5:$A$546,$B17,'Raw IC'!$B$5:$B$546,10))</x:f>
        <x:v>0.07709133095133304</x:v>
      </x:c>
      <x:c r="I17" s="30" t="n">
        <x:f>IF(COUNTIFS('Raw IC'!$A$5:$A$546,$B17,'Raw IC'!$B$5:$B$546,10)=0,"",SUMIFS('Raw IC'!$H$5:$H$546,'Raw IC'!$A$5:$A$546,$B17,'Raw IC'!$B$5:$B$546,10))</x:f>
        <x:v>0.6415888062755595</x:v>
      </x:c>
      <x:c r="J17" s="30" t="n">
        <x:f>IF(COUNTIFS('Raw IC'!$A$5:$A$546,$B17,'Raw IC'!$B$5:$B$546,20)=0,"",SUMIFS('Raw IC'!$F$5:$F$546,'Raw IC'!$A$5:$A$546,$B17,'Raw IC'!$B$5:$B$546,20))</x:f>
        <x:v>0.08864795979424941</x:v>
      </x:c>
      <x:c r="K17" s="30" t="n">
        <x:f>IF(COUNTIFS('Raw IC'!$A$5:$A$546,$B17,'Raw IC'!$B$5:$B$546,20)=0,"",SUMIFS('Raw IC'!$H$5:$H$546,'Raw IC'!$A$5:$A$546,$B17,'Raw IC'!$B$5:$B$546,20))</x:f>
        <x:v>0.7120414563565508</x:v>
      </x:c>
      <x:c r="L17" s="30" t="n">
        <x:f>IF(COUNT(I17,K17)&lt;2,"",AVERAGE(ABS(I17),ABS(K17)))</x:f>
        <x:v>0.6768151313160551</x:v>
      </x:c>
      <x:c r="M17" t="str">
        <x:f>IF(COUNT(H17,J17)&lt;2,"",IF(H17*J17&gt;=0,IF(H17&gt;=0,"positive","negative"),"mixed"))</x:f>
        <x:v>positive</x:v>
      </x:c>
      <x:c r="N17" s="74" t="n">
        <x:v>46211.25270762732</x:v>
      </x:c>
      <x:c r="O17" s="19" t="n">
        <x:v>8902245</x:v>
      </x:c>
      <x:c r="P17" t="str">
        <x:v>8f7e606554926462248cbcc654181861438ca768a0063f6b317223ede37d16fb</x:v>
      </x:c>
      <x:c r="Q17" t="str">
        <x:v>factor_report/gtja191_batch/gtja_042</x:v>
      </x:c>
    </x:row>
    <x:row r="18">
      <x:c r="A18" s="50" t="n">
        <x:f>IF($C18="ranked",1+COUNTIFS($C$5:$C$190,"ranked",$L$5:$L$190,"&gt;"&amp;$L18),"")</x:f>
        <x:v>14</x:v>
      </x:c>
      <x:c r="B18" t="str">
        <x:v>gtja_095</x:v>
      </x:c>
      <x:c r="C18" t="str">
        <x:v>ranked</x:v>
      </x:c>
      <x:c r="D18" s="30" t="n">
        <x:f>IF(COUNTIFS('Raw IC'!$A$5:$A$546,$B18,'Raw IC'!$B$5:$B$546,1)=0,"",SUMIFS('Raw IC'!$F$5:$F$546,'Raw IC'!$A$5:$A$546,$B18,'Raw IC'!$B$5:$B$546,1))</x:f>
        <x:v>-0.04753124147951448</x:v>
      </x:c>
      <x:c r="E18" s="30" t="n">
        <x:f>IF(COUNTIFS('Raw IC'!$A$5:$A$546,$B18,'Raw IC'!$B$5:$B$546,1)=0,"",SUMIFS('Raw IC'!$H$5:$H$546,'Raw IC'!$A$5:$A$546,$B18,'Raw IC'!$B$5:$B$546,1))</x:f>
        <x:v>-0.3367811490464025</x:v>
      </x:c>
      <x:c r="F18" s="30" t="n">
        <x:f>IF(COUNTIFS('Raw IC'!$A$5:$A$546,$B18,'Raw IC'!$B$5:$B$546,5)=0,"",SUMIFS('Raw IC'!$F$5:$F$546,'Raw IC'!$A$5:$A$546,$B18,'Raw IC'!$B$5:$B$546,5))</x:f>
        <x:v>-0.07331536821708363</x:v>
      </x:c>
      <x:c r="G18" s="30" t="n">
        <x:f>IF(COUNTIFS('Raw IC'!$A$5:$A$546,$B18,'Raw IC'!$B$5:$B$546,5)=0,"",SUMIFS('Raw IC'!$H$5:$H$546,'Raw IC'!$A$5:$A$546,$B18,'Raw IC'!$B$5:$B$546,5))</x:f>
        <x:v>-0.5208026892945969</x:v>
      </x:c>
      <x:c r="H18" s="30" t="n">
        <x:f>IF(COUNTIFS('Raw IC'!$A$5:$A$546,$B18,'Raw IC'!$B$5:$B$546,10)=0,"",SUMIFS('Raw IC'!$F$5:$F$546,'Raw IC'!$A$5:$A$546,$B18,'Raw IC'!$B$5:$B$546,10))</x:f>
        <x:v>-0.08771344028321716</x:v>
      </x:c>
      <x:c r="I18" s="30" t="n">
        <x:f>IF(COUNTIFS('Raw IC'!$A$5:$A$546,$B18,'Raw IC'!$B$5:$B$546,10)=0,"",SUMIFS('Raw IC'!$H$5:$H$546,'Raw IC'!$A$5:$A$546,$B18,'Raw IC'!$B$5:$B$546,10))</x:f>
        <x:v>-0.6084947899276941</x:v>
      </x:c>
      <x:c r="J18" s="30" t="n">
        <x:f>IF(COUNTIFS('Raw IC'!$A$5:$A$546,$B18,'Raw IC'!$B$5:$B$546,20)=0,"",SUMIFS('Raw IC'!$F$5:$F$546,'Raw IC'!$A$5:$A$546,$B18,'Raw IC'!$B$5:$B$546,20))</x:f>
        <x:v>-0.105969151091301</x:v>
      </x:c>
      <x:c r="K18" s="30" t="n">
        <x:f>IF(COUNTIFS('Raw IC'!$A$5:$A$546,$B18,'Raw IC'!$B$5:$B$546,20)=0,"",SUMIFS('Raw IC'!$H$5:$H$546,'Raw IC'!$A$5:$A$546,$B18,'Raw IC'!$B$5:$B$546,20))</x:f>
        <x:v>-0.7032125919727498</x:v>
      </x:c>
      <x:c r="L18" s="30" t="n">
        <x:f>IF(COUNT(I18,K18)&lt;2,"",AVERAGE(ABS(I18),ABS(K18)))</x:f>
        <x:v>0.655853690950222</x:v>
      </x:c>
      <x:c r="M18" t="str">
        <x:f>IF(COUNT(H18,J18)&lt;2,"",IF(H18*J18&gt;=0,IF(H18&gt;=0,"positive","negative"),"mixed"))</x:f>
        <x:v>negative</x:v>
      </x:c>
      <x:c r="N18" s="74" t="n">
        <x:v>46210.552701967594</x:v>
      </x:c>
      <x:c r="O18" s="19" t="n">
        <x:v>8902245</x:v>
      </x:c>
      <x:c r="P18" t="str">
        <x:v>40355b29bce094aef0e99358bdfd4011b92e72a54440a67760de4afae4883c33</x:v>
      </x:c>
      <x:c r="Q18" t="str">
        <x:v>factor_report/gtja191_batch/gtja_095</x:v>
      </x:c>
    </x:row>
    <x:row r="19">
      <x:c r="A19" s="50" t="n">
        <x:f>IF($C19="ranked",1+COUNTIFS($C$5:$C$190,"ranked",$L$5:$L$190,"&gt;"&amp;$L19),"")</x:f>
        <x:v>15</x:v>
      </x:c>
      <x:c r="B19" t="str">
        <x:v>gtja_179</x:v>
      </x:c>
      <x:c r="C19" t="str">
        <x:v>ranked</x:v>
      </x:c>
      <x:c r="D19" s="30" t="n">
        <x:f>IF(COUNTIFS('Raw IC'!$A$5:$A$546,$B19,'Raw IC'!$B$5:$B$546,1)=0,"",SUMIFS('Raw IC'!$F$5:$F$546,'Raw IC'!$A$5:$A$546,$B19,'Raw IC'!$B$5:$B$546,1))</x:f>
        <x:v>-0.025089057116048225</x:v>
      </x:c>
      <x:c r="E19" s="30" t="n">
        <x:f>IF(COUNTIFS('Raw IC'!$A$5:$A$546,$B19,'Raw IC'!$B$5:$B$546,1)=0,"",SUMIFS('Raw IC'!$H$5:$H$546,'Raw IC'!$A$5:$A$546,$B19,'Raw IC'!$B$5:$B$546,1))</x:f>
        <x:v>-0.3941413213899506</x:v>
      </x:c>
      <x:c r="F19" s="30" t="n">
        <x:f>IF(COUNTIFS('Raw IC'!$A$5:$A$546,$B19,'Raw IC'!$B$5:$B$546,5)=0,"",SUMIFS('Raw IC'!$F$5:$F$546,'Raw IC'!$A$5:$A$546,$B19,'Raw IC'!$B$5:$B$546,5))</x:f>
        <x:v>-0.03259132189627406</x:v>
      </x:c>
      <x:c r="G19" s="30" t="n">
        <x:f>IF(COUNTIFS('Raw IC'!$A$5:$A$546,$B19,'Raw IC'!$B$5:$B$546,5)=0,"",SUMIFS('Raw IC'!$H$5:$H$546,'Raw IC'!$A$5:$A$546,$B19,'Raw IC'!$B$5:$B$546,5))</x:f>
        <x:v>-0.5218066333955783</x:v>
      </x:c>
      <x:c r="H19" s="30" t="n">
        <x:f>IF(COUNTIFS('Raw IC'!$A$5:$A$546,$B19,'Raw IC'!$B$5:$B$546,10)=0,"",SUMIFS('Raw IC'!$F$5:$F$546,'Raw IC'!$A$5:$A$546,$B19,'Raw IC'!$B$5:$B$546,10))</x:f>
        <x:v>-0.0363942798172005</x:v>
      </x:c>
      <x:c r="I19" s="30" t="n">
        <x:f>IF(COUNTIFS('Raw IC'!$A$5:$A$546,$B19,'Raw IC'!$B$5:$B$546,10)=0,"",SUMIFS('Raw IC'!$H$5:$H$546,'Raw IC'!$A$5:$A$546,$B19,'Raw IC'!$B$5:$B$546,10))</x:f>
        <x:v>-0.5946284268364683</x:v>
      </x:c>
      <x:c r="J19" s="30" t="n">
        <x:f>IF(COUNTIFS('Raw IC'!$A$5:$A$546,$B19,'Raw IC'!$B$5:$B$546,20)=0,"",SUMIFS('Raw IC'!$F$5:$F$546,'Raw IC'!$A$5:$A$546,$B19,'Raw IC'!$B$5:$B$546,20))</x:f>
        <x:v>-0.04046567729271906</x:v>
      </x:c>
      <x:c r="K19" s="30" t="n">
        <x:f>IF(COUNTIFS('Raw IC'!$A$5:$A$546,$B19,'Raw IC'!$B$5:$B$546,20)=0,"",SUMIFS('Raw IC'!$H$5:$H$546,'Raw IC'!$A$5:$A$546,$B19,'Raw IC'!$B$5:$B$546,20))</x:f>
        <x:v>-0.682999050131905</x:v>
      </x:c>
      <x:c r="L19" s="30" t="n">
        <x:f>IF(COUNT(I19,K19)&lt;2,"",AVERAGE(ABS(I19),ABS(K19)))</x:f>
        <x:v>0.6388137384841867</x:v>
      </x:c>
      <x:c r="M19" t="str">
        <x:f>IF(COUNT(H19,J19)&lt;2,"",IF(H19*J19&gt;=0,IF(H19&gt;=0,"positive","negative"),"mixed"))</x:f>
        <x:v>negative</x:v>
      </x:c>
      <x:c r="N19" s="74" t="n">
        <x:v>46210.941301631945</x:v>
      </x:c>
      <x:c r="O19" s="19" t="n">
        <x:v>8902245</x:v>
      </x:c>
      <x:c r="P19" t="str">
        <x:v>40355b29bce094aef0e99358bdfd4011b92e72a54440a67760de4afae4883c33</x:v>
      </x:c>
      <x:c r="Q19" t="str">
        <x:v>factor_report/gtja191_batch/gtja_179</x:v>
      </x:c>
    </x:row>
    <x:row r="20">
      <x:c r="A20" s="50" t="n">
        <x:f>IF($C20="ranked",1+COUNTIFS($C$5:$C$190,"ranked",$L$5:$L$190,"&gt;"&amp;$L20),"")</x:f>
        <x:v>16</x:v>
      </x:c>
      <x:c r="B20" t="str">
        <x:v>gtja_074</x:v>
      </x:c>
      <x:c r="C20" t="str">
        <x:v>ranked</x:v>
      </x:c>
      <x:c r="D20" s="30" t="n">
        <x:f>IF(COUNTIFS('Raw IC'!$A$5:$A$546,$B20,'Raw IC'!$B$5:$B$546,1)=0,"",SUMIFS('Raw IC'!$F$5:$F$546,'Raw IC'!$A$5:$A$546,$B20,'Raw IC'!$B$5:$B$546,1))</x:f>
        <x:v>-0.027244210725221606</x:v>
      </x:c>
      <x:c r="E20" s="30" t="n">
        <x:f>IF(COUNTIFS('Raw IC'!$A$5:$A$546,$B20,'Raw IC'!$B$5:$B$546,1)=0,"",SUMIFS('Raw IC'!$H$5:$H$546,'Raw IC'!$A$5:$A$546,$B20,'Raw IC'!$B$5:$B$546,1))</x:f>
        <x:v>-0.3757904447256588</x:v>
      </x:c>
      <x:c r="F20" s="30" t="n">
        <x:f>IF(COUNTIFS('Raw IC'!$A$5:$A$546,$B20,'Raw IC'!$B$5:$B$546,5)=0,"",SUMIFS('Raw IC'!$F$5:$F$546,'Raw IC'!$A$5:$A$546,$B20,'Raw IC'!$B$5:$B$546,5))</x:f>
        <x:v>-0.03686528582499111</x:v>
      </x:c>
      <x:c r="G20" s="30" t="n">
        <x:f>IF(COUNTIFS('Raw IC'!$A$5:$A$546,$B20,'Raw IC'!$B$5:$B$546,5)=0,"",SUMIFS('Raw IC'!$H$5:$H$546,'Raw IC'!$A$5:$A$546,$B20,'Raw IC'!$B$5:$B$546,5))</x:f>
        <x:v>-0.5319491768908676</x:v>
      </x:c>
      <x:c r="H20" s="30" t="n">
        <x:f>IF(COUNTIFS('Raw IC'!$A$5:$A$546,$B20,'Raw IC'!$B$5:$B$546,10)=0,"",SUMIFS('Raw IC'!$F$5:$F$546,'Raw IC'!$A$5:$A$546,$B20,'Raw IC'!$B$5:$B$546,10))</x:f>
        <x:v>-0.04191406627113578</x:v>
      </x:c>
      <x:c r="I20" s="30" t="n">
        <x:f>IF(COUNTIFS('Raw IC'!$A$5:$A$546,$B20,'Raw IC'!$B$5:$B$546,10)=0,"",SUMIFS('Raw IC'!$H$5:$H$546,'Raw IC'!$A$5:$A$546,$B20,'Raw IC'!$B$5:$B$546,10))</x:f>
        <x:v>-0.6059697359089509</x:v>
      </x:c>
      <x:c r="J20" s="30" t="n">
        <x:f>IF(COUNTIFS('Raw IC'!$A$5:$A$546,$B20,'Raw IC'!$B$5:$B$546,20)=0,"",SUMIFS('Raw IC'!$F$5:$F$546,'Raw IC'!$A$5:$A$546,$B20,'Raw IC'!$B$5:$B$546,20))</x:f>
        <x:v>-0.04496579321359351</x:v>
      </x:c>
      <x:c r="K20" s="30" t="n">
        <x:f>IF(COUNTIFS('Raw IC'!$A$5:$A$546,$B20,'Raw IC'!$B$5:$B$546,20)=0,"",SUMIFS('Raw IC'!$H$5:$H$546,'Raw IC'!$A$5:$A$546,$B20,'Raw IC'!$B$5:$B$546,20))</x:f>
        <x:v>-0.6498136353654411</x:v>
      </x:c>
      <x:c r="L20" s="30" t="n">
        <x:f>IF(COUNT(I20,K20)&lt;2,"",AVERAGE(ABS(I20),ABS(K20)))</x:f>
        <x:v>0.627891685637196</x:v>
      </x:c>
      <x:c r="M20" t="str">
        <x:f>IF(COUNT(H20,J20)&lt;2,"",IF(H20*J20&gt;=0,IF(H20&gt;=0,"positive","negative"),"mixed"))</x:f>
        <x:v>negative</x:v>
      </x:c>
      <x:c r="N20" s="74" t="n">
        <x:v>46210.45096833333</x:v>
      </x:c>
      <x:c r="O20" s="19" t="n">
        <x:v>8902245</x:v>
      </x:c>
      <x:c r="P20" t="str">
        <x:v>40355b29bce094aef0e99358bdfd4011b92e72a54440a67760de4afae4883c33</x:v>
      </x:c>
      <x:c r="Q20" t="str">
        <x:v>factor_report/gtja191_batch/gtja_074</x:v>
      </x:c>
    </x:row>
    <x:row r="21">
      <x:c r="A21" s="50" t="n">
        <x:f>IF($C21="ranked",1+COUNTIFS($C$5:$C$190,"ranked",$L$5:$L$190,"&gt;"&amp;$L21),"")</x:f>
        <x:v>17</x:v>
      </x:c>
      <x:c r="B21" t="str">
        <x:v>gtja_097</x:v>
      </x:c>
      <x:c r="C21" t="str">
        <x:v>ranked</x:v>
      </x:c>
      <x:c r="D21" s="30" t="n">
        <x:f>IF(COUNTIFS('Raw IC'!$A$5:$A$546,$B21,'Raw IC'!$B$5:$B$546,1)=0,"",SUMIFS('Raw IC'!$F$5:$F$546,'Raw IC'!$A$5:$A$546,$B21,'Raw IC'!$B$5:$B$546,1))</x:f>
        <x:v>-0.03532552806568151</x:v>
      </x:c>
      <x:c r="E21" s="30" t="n">
        <x:f>IF(COUNTIFS('Raw IC'!$A$5:$A$546,$B21,'Raw IC'!$B$5:$B$546,1)=0,"",SUMIFS('Raw IC'!$H$5:$H$546,'Raw IC'!$A$5:$A$546,$B21,'Raw IC'!$B$5:$B$546,1))</x:f>
        <x:v>-0.31261516651673465</x:v>
      </x:c>
      <x:c r="F21" s="30" t="n">
        <x:f>IF(COUNTIFS('Raw IC'!$A$5:$A$546,$B21,'Raw IC'!$B$5:$B$546,5)=0,"",SUMIFS('Raw IC'!$F$5:$F$546,'Raw IC'!$A$5:$A$546,$B21,'Raw IC'!$B$5:$B$546,5))</x:f>
        <x:v>-0.05356832684070194</x:v>
      </x:c>
      <x:c r="G21" s="30" t="n">
        <x:f>IF(COUNTIFS('Raw IC'!$A$5:$A$546,$B21,'Raw IC'!$B$5:$B$546,5)=0,"",SUMIFS('Raw IC'!$H$5:$H$546,'Raw IC'!$A$5:$A$546,$B21,'Raw IC'!$B$5:$B$546,5))</x:f>
        <x:v>-0.4644815807899489</x:v>
      </x:c>
      <x:c r="H21" s="30" t="n">
        <x:f>IF(COUNTIFS('Raw IC'!$A$5:$A$546,$B21,'Raw IC'!$B$5:$B$546,10)=0,"",SUMIFS('Raw IC'!$F$5:$F$546,'Raw IC'!$A$5:$A$546,$B21,'Raw IC'!$B$5:$B$546,10))</x:f>
        <x:v>-0.06181873112019193</x:v>
      </x:c>
      <x:c r="I21" s="30" t="n">
        <x:f>IF(COUNTIFS('Raw IC'!$A$5:$A$546,$B21,'Raw IC'!$B$5:$B$546,10)=0,"",SUMIFS('Raw IC'!$H$5:$H$546,'Raw IC'!$A$5:$A$546,$B21,'Raw IC'!$B$5:$B$546,10))</x:f>
        <x:v>-0.5417493089766353</x:v>
      </x:c>
      <x:c r="J21" s="30" t="n">
        <x:f>IF(COUNTIFS('Raw IC'!$A$5:$A$546,$B21,'Raw IC'!$B$5:$B$546,20)=0,"",SUMIFS('Raw IC'!$F$5:$F$546,'Raw IC'!$A$5:$A$546,$B21,'Raw IC'!$B$5:$B$546,20))</x:f>
        <x:v>-0.07161198384764317</x:v>
      </x:c>
      <x:c r="K21" s="30" t="n">
        <x:f>IF(COUNTIFS('Raw IC'!$A$5:$A$546,$B21,'Raw IC'!$B$5:$B$546,20)=0,"",SUMIFS('Raw IC'!$H$5:$H$546,'Raw IC'!$A$5:$A$546,$B21,'Raw IC'!$B$5:$B$546,20))</x:f>
        <x:v>-0.6464001314058455</x:v>
      </x:c>
      <x:c r="L21" s="30" t="n">
        <x:f>IF(COUNT(I21,K21)&lt;2,"",AVERAGE(ABS(I21),ABS(K21)))</x:f>
        <x:v>0.5940747201912404</x:v>
      </x:c>
      <x:c r="M21" t="str">
        <x:f>IF(COUNT(H21,J21)&lt;2,"",IF(H21*J21&gt;=0,IF(H21&gt;=0,"positive","negative"),"mixed"))</x:f>
        <x:v>negative</x:v>
      </x:c>
      <x:c r="N21" s="74" t="n">
        <x:v>46210.56247660879</x:v>
      </x:c>
      <x:c r="O21" s="19" t="n">
        <x:v>8902245</x:v>
      </x:c>
      <x:c r="P21" t="str">
        <x:v>40355b29bce094aef0e99358bdfd4011b92e72a54440a67760de4afae4883c33</x:v>
      </x:c>
      <x:c r="Q21" t="str">
        <x:v>factor_report/gtja191_batch/gtja_097</x:v>
      </x:c>
    </x:row>
    <x:row r="22">
      <x:c r="A22" s="50" t="n">
        <x:f>IF($C22="ranked",1+COUNTIFS($C$5:$C$190,"ranked",$L$5:$L$190,"&gt;"&amp;$L22),"")</x:f>
        <x:v>18</x:v>
      </x:c>
      <x:c r="B22" t="str">
        <x:v>gtja_140</x:v>
      </x:c>
      <x:c r="C22" t="str">
        <x:v>ranked</x:v>
      </x:c>
      <x:c r="D22" s="30" t="str">
        <x:f>IF(COUNTIFS('Raw IC'!$A$5:$A$546,$B22,'Raw IC'!$B$5:$B$546,1)=0,"",SUMIFS('Raw IC'!$F$5:$F$546,'Raw IC'!$A$5:$A$546,$B22,'Raw IC'!$B$5:$B$546,1))</x:f>
      </x:c>
      <x:c r="E22" s="30" t="str">
        <x:f>IF(COUNTIFS('Raw IC'!$A$5:$A$546,$B22,'Raw IC'!$B$5:$B$546,1)=0,"",SUMIFS('Raw IC'!$H$5:$H$546,'Raw IC'!$A$5:$A$546,$B22,'Raw IC'!$B$5:$B$546,1))</x:f>
      </x:c>
      <x:c r="F22" s="30" t="str">
        <x:f>IF(COUNTIFS('Raw IC'!$A$5:$A$546,$B22,'Raw IC'!$B$5:$B$546,5)=0,"",SUMIFS('Raw IC'!$F$5:$F$546,'Raw IC'!$A$5:$A$546,$B22,'Raw IC'!$B$5:$B$546,5))</x:f>
      </x:c>
      <x:c r="G22" s="30" t="str">
        <x:f>IF(COUNTIFS('Raw IC'!$A$5:$A$546,$B22,'Raw IC'!$B$5:$B$546,5)=0,"",SUMIFS('Raw IC'!$H$5:$H$546,'Raw IC'!$A$5:$A$546,$B22,'Raw IC'!$B$5:$B$546,5))</x:f>
      </x:c>
      <x:c r="H22" s="30" t="n">
        <x:f>IF(COUNTIFS('Raw IC'!$A$5:$A$546,$B22,'Raw IC'!$B$5:$B$546,10)=0,"",SUMIFS('Raw IC'!$F$5:$F$546,'Raw IC'!$A$5:$A$546,$B22,'Raw IC'!$B$5:$B$546,10))</x:f>
        <x:v>0.05335274590122334</x:v>
      </x:c>
      <x:c r="I22" s="30" t="n">
        <x:f>IF(COUNTIFS('Raw IC'!$A$5:$A$546,$B22,'Raw IC'!$B$5:$B$546,10)=0,"",SUMIFS('Raw IC'!$H$5:$H$546,'Raw IC'!$A$5:$A$546,$B22,'Raw IC'!$B$5:$B$546,10))</x:f>
        <x:v>0.5556973235038993</x:v>
      </x:c>
      <x:c r="J22" s="30" t="n">
        <x:f>IF(COUNTIFS('Raw IC'!$A$5:$A$546,$B22,'Raw IC'!$B$5:$B$546,20)=0,"",SUMIFS('Raw IC'!$F$5:$F$546,'Raw IC'!$A$5:$A$546,$B22,'Raw IC'!$B$5:$B$546,20))</x:f>
        <x:v>0.058904394386351505</x:v>
      </x:c>
      <x:c r="K22" s="30" t="n">
        <x:f>IF(COUNTIFS('Raw IC'!$A$5:$A$546,$B22,'Raw IC'!$B$5:$B$546,20)=0,"",SUMIFS('Raw IC'!$H$5:$H$546,'Raw IC'!$A$5:$A$546,$B22,'Raw IC'!$B$5:$B$546,20))</x:f>
        <x:v>0.5796308277862163</x:v>
      </x:c>
      <x:c r="L22" s="30" t="n">
        <x:f>IF(COUNT(I22,K22)&lt;2,"",AVERAGE(ABS(I22),ABS(K22)))</x:f>
        <x:v>0.5676640756450578</x:v>
      </x:c>
      <x:c r="M22" t="str">
        <x:f>IF(COUNT(H22,J22)&lt;2,"",IF(H22*J22&gt;=0,IF(H22&gt;=0,"positive","negative"),"mixed"))</x:f>
        <x:v>positive</x:v>
      </x:c>
      <x:c r="N22" s="74" t="n">
        <x:v>46211.441442916665</x:v>
      </x:c>
      <x:c r="O22" s="19" t="n">
        <x:v>8902245</x:v>
      </x:c>
      <x:c r="P22" t="str">
        <x:v>8f7e606554926462248cbcc654181861438ca768a0063f6b317223ede37d16fb</x:v>
      </x:c>
      <x:c r="Q22" t="str">
        <x:v>factor_report/gtja191_batch/gtja_140</x:v>
      </x:c>
    </x:row>
    <x:row r="23">
      <x:c r="A23" s="50" t="n">
        <x:f>IF($C23="ranked",1+COUNTIFS($C$5:$C$190,"ranked",$L$5:$L$190,"&gt;"&amp;$L23),"")</x:f>
        <x:v>19</x:v>
      </x:c>
      <x:c r="B23" t="str">
        <x:v>gtja_100</x:v>
      </x:c>
      <x:c r="C23" t="str">
        <x:v>ranked</x:v>
      </x:c>
      <x:c r="D23" s="30" t="n">
        <x:f>IF(COUNTIFS('Raw IC'!$A$5:$A$546,$B23,'Raw IC'!$B$5:$B$546,1)=0,"",SUMIFS('Raw IC'!$F$5:$F$546,'Raw IC'!$A$5:$A$546,$B23,'Raw IC'!$B$5:$B$546,1))</x:f>
        <x:v>-0.031128903404202553</x:v>
      </x:c>
      <x:c r="E23" s="30" t="n">
        <x:f>IF(COUNTIFS('Raw IC'!$A$5:$A$546,$B23,'Raw IC'!$B$5:$B$546,1)=0,"",SUMIFS('Raw IC'!$H$5:$H$546,'Raw IC'!$A$5:$A$546,$B23,'Raw IC'!$B$5:$B$546,1))</x:f>
        <x:v>-0.27511925270696713</x:v>
      </x:c>
      <x:c r="F23" s="30" t="n">
        <x:f>IF(COUNTIFS('Raw IC'!$A$5:$A$546,$B23,'Raw IC'!$B$5:$B$546,5)=0,"",SUMIFS('Raw IC'!$F$5:$F$546,'Raw IC'!$A$5:$A$546,$B23,'Raw IC'!$B$5:$B$546,5))</x:f>
        <x:v>-0.04902324119801506</x:v>
      </x:c>
      <x:c r="G23" s="30" t="n">
        <x:f>IF(COUNTIFS('Raw IC'!$A$5:$A$546,$B23,'Raw IC'!$B$5:$B$546,5)=0,"",SUMIFS('Raw IC'!$H$5:$H$546,'Raw IC'!$A$5:$A$546,$B23,'Raw IC'!$B$5:$B$546,5))</x:f>
        <x:v>-0.42285317840111075</x:v>
      </x:c>
      <x:c r="H23" s="30" t="n">
        <x:f>IF(COUNTIFS('Raw IC'!$A$5:$A$546,$B23,'Raw IC'!$B$5:$B$546,10)=0,"",SUMIFS('Raw IC'!$F$5:$F$546,'Raw IC'!$A$5:$A$546,$B23,'Raw IC'!$B$5:$B$546,10))</x:f>
        <x:v>-0.05734235822146127</x:v>
      </x:c>
      <x:c r="I23" s="30" t="n">
        <x:f>IF(COUNTIFS('Raw IC'!$A$5:$A$546,$B23,'Raw IC'!$B$5:$B$546,10)=0,"",SUMIFS('Raw IC'!$H$5:$H$546,'Raw IC'!$A$5:$A$546,$B23,'Raw IC'!$B$5:$B$546,10))</x:f>
        <x:v>-0.5043319921097789</x:v>
      </x:c>
      <x:c r="J23" s="30" t="n">
        <x:f>IF(COUNTIFS('Raw IC'!$A$5:$A$546,$B23,'Raw IC'!$B$5:$B$546,20)=0,"",SUMIFS('Raw IC'!$F$5:$F$546,'Raw IC'!$A$5:$A$546,$B23,'Raw IC'!$B$5:$B$546,20))</x:f>
        <x:v>-0.06784085347520025</x:v>
      </x:c>
      <x:c r="K23" s="30" t="n">
        <x:f>IF(COUNTIFS('Raw IC'!$A$5:$A$546,$B23,'Raw IC'!$B$5:$B$546,20)=0,"",SUMIFS('Raw IC'!$H$5:$H$546,'Raw IC'!$A$5:$A$546,$B23,'Raw IC'!$B$5:$B$546,20))</x:f>
        <x:v>-0.6163525819693827</x:v>
      </x:c>
      <x:c r="L23" s="30" t="n">
        <x:f>IF(COUNT(I23,K23)&lt;2,"",AVERAGE(ABS(I23),ABS(K23)))</x:f>
        <x:v>0.5603422870395808</x:v>
      </x:c>
      <x:c r="M23" t="str">
        <x:f>IF(COUNT(H23,J23)&lt;2,"",IF(H23*J23&gt;=0,IF(H23&gt;=0,"positive","negative"),"mixed"))</x:f>
        <x:v>negative</x:v>
      </x:c>
      <x:c r="N23" s="74" t="n">
        <x:v>46210.57471123843</x:v>
      </x:c>
      <x:c r="O23" s="19" t="n">
        <x:v>8902245</x:v>
      </x:c>
      <x:c r="P23" t="str">
        <x:v>40355b29bce094aef0e99358bdfd4011b92e72a54440a67760de4afae4883c33</x:v>
      </x:c>
      <x:c r="Q23" t="str">
        <x:v>factor_report/gtja191_batch/gtja_100</x:v>
      </x:c>
    </x:row>
    <x:row r="24">
      <x:c r="A24" s="50" t="n">
        <x:f>IF($C24="ranked",1+COUNTIFS($C$5:$C$190,"ranked",$L$5:$L$190,"&gt;"&amp;$L24),"")</x:f>
        <x:v>20</x:v>
      </x:c>
      <x:c r="B24" t="str">
        <x:v>gtja_118</x:v>
      </x:c>
      <x:c r="C24" t="str">
        <x:v>ranked</x:v>
      </x:c>
      <x:c r="D24" s="30" t="n">
        <x:f>IF(COUNTIFS('Raw IC'!$A$5:$A$546,$B24,'Raw IC'!$B$5:$B$546,1)=0,"",SUMIFS('Raw IC'!$F$5:$F$546,'Raw IC'!$A$5:$A$546,$B24,'Raw IC'!$B$5:$B$546,1))</x:f>
        <x:v>-0.03659425054575604</x:v>
      </x:c>
      <x:c r="E24" s="30" t="n">
        <x:f>IF(COUNTIFS('Raw IC'!$A$5:$A$546,$B24,'Raw IC'!$B$5:$B$546,1)=0,"",SUMIFS('Raw IC'!$H$5:$H$546,'Raw IC'!$A$5:$A$546,$B24,'Raw IC'!$B$5:$B$546,1))</x:f>
        <x:v>-0.29840605961249667</x:v>
      </x:c>
      <x:c r="F24" s="30" t="n">
        <x:f>IF(COUNTIFS('Raw IC'!$A$5:$A$546,$B24,'Raw IC'!$B$5:$B$546,5)=0,"",SUMIFS('Raw IC'!$F$5:$F$546,'Raw IC'!$A$5:$A$546,$B24,'Raw IC'!$B$5:$B$546,5))</x:f>
        <x:v>-0.04965633935073342</x:v>
      </x:c>
      <x:c r="G24" s="30" t="n">
        <x:f>IF(COUNTIFS('Raw IC'!$A$5:$A$546,$B24,'Raw IC'!$B$5:$B$546,5)=0,"",SUMIFS('Raw IC'!$H$5:$H$546,'Raw IC'!$A$5:$A$546,$B24,'Raw IC'!$B$5:$B$546,5))</x:f>
        <x:v>-0.43636353852122106</x:v>
      </x:c>
      <x:c r="H24" s="30" t="n">
        <x:f>IF(COUNTIFS('Raw IC'!$A$5:$A$546,$B24,'Raw IC'!$B$5:$B$546,10)=0,"",SUMIFS('Raw IC'!$F$5:$F$546,'Raw IC'!$A$5:$A$546,$B24,'Raw IC'!$B$5:$B$546,10))</x:f>
        <x:v>-0.0569573609939469</x:v>
      </x:c>
      <x:c r="I24" s="30" t="n">
        <x:f>IF(COUNTIFS('Raw IC'!$A$5:$A$546,$B24,'Raw IC'!$B$5:$B$546,10)=0,"",SUMIFS('Raw IC'!$H$5:$H$546,'Raw IC'!$A$5:$A$546,$B24,'Raw IC'!$B$5:$B$546,10))</x:f>
        <x:v>-0.5145539089072464</x:v>
      </x:c>
      <x:c r="J24" s="30" t="n">
        <x:f>IF(COUNTIFS('Raw IC'!$A$5:$A$546,$B24,'Raw IC'!$B$5:$B$546,20)=0,"",SUMIFS('Raw IC'!$F$5:$F$546,'Raw IC'!$A$5:$A$546,$B24,'Raw IC'!$B$5:$B$546,20))</x:f>
        <x:v>-0.06584152426254862</x:v>
      </x:c>
      <x:c r="K24" s="30" t="n">
        <x:f>IF(COUNTIFS('Raw IC'!$A$5:$A$546,$B24,'Raw IC'!$B$5:$B$546,20)=0,"",SUMIFS('Raw IC'!$H$5:$H$546,'Raw IC'!$A$5:$A$546,$B24,'Raw IC'!$B$5:$B$546,20))</x:f>
        <x:v>-0.5974808349811928</x:v>
      </x:c>
      <x:c r="L24" s="30" t="n">
        <x:f>IF(COUNT(I24,K24)&lt;2,"",AVERAGE(ABS(I24),ABS(K24)))</x:f>
        <x:v>0.5560173719442196</x:v>
      </x:c>
      <x:c r="M24" t="str">
        <x:f>IF(COUNT(H24,J24)&lt;2,"",IF(H24*J24&gt;=0,IF(H24&gt;=0,"positive","negative"),"mixed"))</x:f>
        <x:v>negative</x:v>
      </x:c>
      <x:c r="N24" s="74" t="n">
        <x:v>46210.66222452546</x:v>
      </x:c>
      <x:c r="O24" s="19" t="n">
        <x:v>8902245</x:v>
      </x:c>
      <x:c r="P24" t="str">
        <x:v>40355b29bce094aef0e99358bdfd4011b92e72a54440a67760de4afae4883c33</x:v>
      </x:c>
      <x:c r="Q24" t="str">
        <x:v>factor_report/gtja191_batch/gtja_118</x:v>
      </x:c>
    </x:row>
    <x:row r="25">
      <x:c r="A25" s="50" t="n">
        <x:f>IF($C25="ranked",1+COUNTIFS($C$5:$C$190,"ranked",$L$5:$L$190,"&gt;"&amp;$L25),"")</x:f>
        <x:v>21</x:v>
      </x:c>
      <x:c r="B25" t="str">
        <x:v>gtja_132</x:v>
      </x:c>
      <x:c r="C25" t="str">
        <x:v>ranked</x:v>
      </x:c>
      <x:c r="D25" s="30" t="n">
        <x:f>IF(COUNTIFS('Raw IC'!$A$5:$A$546,$B25,'Raw IC'!$B$5:$B$546,1)=0,"",SUMIFS('Raw IC'!$F$5:$F$546,'Raw IC'!$A$5:$A$546,$B25,'Raw IC'!$B$5:$B$546,1))</x:f>
        <x:v>-0.0400158329627083</x:v>
      </x:c>
      <x:c r="E25" s="30" t="n">
        <x:f>IF(COUNTIFS('Raw IC'!$A$5:$A$546,$B25,'Raw IC'!$B$5:$B$546,1)=0,"",SUMIFS('Raw IC'!$H$5:$H$546,'Raw IC'!$A$5:$A$546,$B25,'Raw IC'!$B$5:$B$546,1))</x:f>
        <x:v>-0.26644868202827277</x:v>
      </x:c>
      <x:c r="F25" s="30" t="n">
        <x:f>IF(COUNTIFS('Raw IC'!$A$5:$A$546,$B25,'Raw IC'!$B$5:$B$546,5)=0,"",SUMIFS('Raw IC'!$F$5:$F$546,'Raw IC'!$A$5:$A$546,$B25,'Raw IC'!$B$5:$B$546,5))</x:f>
        <x:v>-0.06364398186868406</x:v>
      </x:c>
      <x:c r="G25" s="30" t="n">
        <x:f>IF(COUNTIFS('Raw IC'!$A$5:$A$546,$B25,'Raw IC'!$B$5:$B$546,5)=0,"",SUMIFS('Raw IC'!$H$5:$H$546,'Raw IC'!$A$5:$A$546,$B25,'Raw IC'!$B$5:$B$546,5))</x:f>
        <x:v>-0.419407481706398</x:v>
      </x:c>
      <x:c r="H25" s="30" t="n">
        <x:f>IF(COUNTIFS('Raw IC'!$A$5:$A$546,$B25,'Raw IC'!$B$5:$B$546,10)=0,"",SUMIFS('Raw IC'!$F$5:$F$546,'Raw IC'!$A$5:$A$546,$B25,'Raw IC'!$B$5:$B$546,10))</x:f>
        <x:v>-0.07790170414028826</x:v>
      </x:c>
      <x:c r="I25" s="30" t="n">
        <x:f>IF(COUNTIFS('Raw IC'!$A$5:$A$546,$B25,'Raw IC'!$B$5:$B$546,10)=0,"",SUMIFS('Raw IC'!$H$5:$H$546,'Raw IC'!$A$5:$A$546,$B25,'Raw IC'!$B$5:$B$546,10))</x:f>
        <x:v>-0.498418347259598</x:v>
      </x:c>
      <x:c r="J25" s="30" t="n">
        <x:f>IF(COUNTIFS('Raw IC'!$A$5:$A$546,$B25,'Raw IC'!$B$5:$B$546,20)=0,"",SUMIFS('Raw IC'!$F$5:$F$546,'Raw IC'!$A$5:$A$546,$B25,'Raw IC'!$B$5:$B$546,20))</x:f>
        <x:v>-0.09705993231890751</x:v>
      </x:c>
      <x:c r="K25" s="30" t="n">
        <x:f>IF(COUNTIFS('Raw IC'!$A$5:$A$546,$B25,'Raw IC'!$B$5:$B$546,20)=0,"",SUMIFS('Raw IC'!$H$5:$H$546,'Raw IC'!$A$5:$A$546,$B25,'Raw IC'!$B$5:$B$546,20))</x:f>
        <x:v>-0.5947321930227131</x:v>
      </x:c>
      <x:c r="L25" s="30" t="n">
        <x:f>IF(COUNT(I25,K25)&lt;2,"",AVERAGE(ABS(I25),ABS(K25)))</x:f>
        <x:v>0.5465752701411555</x:v>
      </x:c>
      <x:c r="M25" t="str">
        <x:f>IF(COUNT(H25,J25)&lt;2,"",IF(H25*J25&gt;=0,IF(H25&gt;=0,"positive","negative"),"mixed"))</x:f>
        <x:v>negative</x:v>
      </x:c>
      <x:c r="N25" s="74" t="n">
        <x:v>46210.73378372685</x:v>
      </x:c>
      <x:c r="O25" s="19" t="n">
        <x:v>8902245</x:v>
      </x:c>
      <x:c r="P25" t="str">
        <x:v>40355b29bce094aef0e99358bdfd4011b92e72a54440a67760de4afae4883c33</x:v>
      </x:c>
      <x:c r="Q25" t="str">
        <x:v>factor_report/gtja191_batch/gtja_132</x:v>
      </x:c>
    </x:row>
    <x:row r="26">
      <x:c r="A26" s="50" t="n">
        <x:f>IF($C26="ranked",1+COUNTIFS($C$5:$C$190,"ranked",$L$5:$L$190,"&gt;"&amp;$L26),"")</x:f>
        <x:v>22</x:v>
      </x:c>
      <x:c r="B26" t="str">
        <x:v>gtja_156</x:v>
      </x:c>
      <x:c r="C26" t="str">
        <x:v>ranked</x:v>
      </x:c>
      <x:c r="D26" s="30" t="str">
        <x:f>IF(COUNTIFS('Raw IC'!$A$5:$A$546,$B26,'Raw IC'!$B$5:$B$546,1)=0,"",SUMIFS('Raw IC'!$F$5:$F$546,'Raw IC'!$A$5:$A$546,$B26,'Raw IC'!$B$5:$B$546,1))</x:f>
      </x:c>
      <x:c r="E26" s="30" t="str">
        <x:f>IF(COUNTIFS('Raw IC'!$A$5:$A$546,$B26,'Raw IC'!$B$5:$B$546,1)=0,"",SUMIFS('Raw IC'!$H$5:$H$546,'Raw IC'!$A$5:$A$546,$B26,'Raw IC'!$B$5:$B$546,1))</x:f>
      </x:c>
      <x:c r="F26" s="30" t="str">
        <x:f>IF(COUNTIFS('Raw IC'!$A$5:$A$546,$B26,'Raw IC'!$B$5:$B$546,5)=0,"",SUMIFS('Raw IC'!$F$5:$F$546,'Raw IC'!$A$5:$A$546,$B26,'Raw IC'!$B$5:$B$546,5))</x:f>
      </x:c>
      <x:c r="G26" s="30" t="str">
        <x:f>IF(COUNTIFS('Raw IC'!$A$5:$A$546,$B26,'Raw IC'!$B$5:$B$546,5)=0,"",SUMIFS('Raw IC'!$H$5:$H$546,'Raw IC'!$A$5:$A$546,$B26,'Raw IC'!$B$5:$B$546,5))</x:f>
      </x:c>
      <x:c r="H26" s="30" t="n">
        <x:f>IF(COUNTIFS('Raw IC'!$A$5:$A$546,$B26,'Raw IC'!$B$5:$B$546,10)=0,"",SUMIFS('Raw IC'!$F$5:$F$546,'Raw IC'!$A$5:$A$546,$B26,'Raw IC'!$B$5:$B$546,10))</x:f>
        <x:v>0.05501076023105661</x:v>
      </x:c>
      <x:c r="I26" s="30" t="n">
        <x:f>IF(COUNTIFS('Raw IC'!$A$5:$A$546,$B26,'Raw IC'!$B$5:$B$546,10)=0,"",SUMIFS('Raw IC'!$H$5:$H$546,'Raw IC'!$A$5:$A$546,$B26,'Raw IC'!$B$5:$B$546,10))</x:f>
        <x:v>0.5189526843384331</x:v>
      </x:c>
      <x:c r="J26" s="30" t="n">
        <x:f>IF(COUNTIFS('Raw IC'!$A$5:$A$546,$B26,'Raw IC'!$B$5:$B$546,20)=0,"",SUMIFS('Raw IC'!$F$5:$F$546,'Raw IC'!$A$5:$A$546,$B26,'Raw IC'!$B$5:$B$546,20))</x:f>
        <x:v>0.06318085745008127</x:v>
      </x:c>
      <x:c r="K26" s="30" t="n">
        <x:f>IF(COUNTIFS('Raw IC'!$A$5:$A$546,$B26,'Raw IC'!$B$5:$B$546,20)=0,"",SUMIFS('Raw IC'!$H$5:$H$546,'Raw IC'!$A$5:$A$546,$B26,'Raw IC'!$B$5:$B$546,20))</x:f>
        <x:v>0.5733380557488021</x:v>
      </x:c>
      <x:c r="L26" s="30" t="n">
        <x:f>IF(COUNT(I26,K26)&lt;2,"",AVERAGE(ABS(I26),ABS(K26)))</x:f>
        <x:v>0.5461453700436176</x:v>
      </x:c>
      <x:c r="M26" t="str">
        <x:f>IF(COUNT(H26,J26)&lt;2,"",IF(H26*J26&gt;=0,IF(H26&gt;=0,"positive","negative"),"mixed"))</x:f>
        <x:v>positive</x:v>
      </x:c>
      <x:c r="N26" s="74" t="n">
        <x:v>46211.50185851852</x:v>
      </x:c>
      <x:c r="O26" s="19" t="n">
        <x:v>8902245</x:v>
      </x:c>
      <x:c r="P26" t="str">
        <x:v>8f7e606554926462248cbcc654181861438ca768a0063f6b317223ede37d16fb</x:v>
      </x:c>
      <x:c r="Q26" t="str">
        <x:v>factor_report/gtja191_batch/gtja_156</x:v>
      </x:c>
    </x:row>
    <x:row r="27">
      <x:c r="A27" s="50" t="n">
        <x:f>IF($C27="ranked",1+COUNTIFS($C$5:$C$190,"ranked",$L$5:$L$190,"&gt;"&amp;$L27),"")</x:f>
        <x:v>23</x:v>
      </x:c>
      <x:c r="B27" t="str">
        <x:v>gtja_061</x:v>
      </x:c>
      <x:c r="C27" t="str">
        <x:v>ranked</x:v>
      </x:c>
      <x:c r="D27" s="30" t="str">
        <x:f>IF(COUNTIFS('Raw IC'!$A$5:$A$546,$B27,'Raw IC'!$B$5:$B$546,1)=0,"",SUMIFS('Raw IC'!$F$5:$F$546,'Raw IC'!$A$5:$A$546,$B27,'Raw IC'!$B$5:$B$546,1))</x:f>
      </x:c>
      <x:c r="E27" s="30" t="str">
        <x:f>IF(COUNTIFS('Raw IC'!$A$5:$A$546,$B27,'Raw IC'!$B$5:$B$546,1)=0,"",SUMIFS('Raw IC'!$H$5:$H$546,'Raw IC'!$A$5:$A$546,$B27,'Raw IC'!$B$5:$B$546,1))</x:f>
      </x:c>
      <x:c r="F27" s="30" t="str">
        <x:f>IF(COUNTIFS('Raw IC'!$A$5:$A$546,$B27,'Raw IC'!$B$5:$B$546,5)=0,"",SUMIFS('Raw IC'!$F$5:$F$546,'Raw IC'!$A$5:$A$546,$B27,'Raw IC'!$B$5:$B$546,5))</x:f>
      </x:c>
      <x:c r="G27" s="30" t="str">
        <x:f>IF(COUNTIFS('Raw IC'!$A$5:$A$546,$B27,'Raw IC'!$B$5:$B$546,5)=0,"",SUMIFS('Raw IC'!$H$5:$H$546,'Raw IC'!$A$5:$A$546,$B27,'Raw IC'!$B$5:$B$546,5))</x:f>
      </x:c>
      <x:c r="H27" s="30" t="n">
        <x:f>IF(COUNTIFS('Raw IC'!$A$5:$A$546,$B27,'Raw IC'!$B$5:$B$546,10)=0,"",SUMIFS('Raw IC'!$F$5:$F$546,'Raw IC'!$A$5:$A$546,$B27,'Raw IC'!$B$5:$B$546,10))</x:f>
        <x:v>0.0476882830147672</x:v>
      </x:c>
      <x:c r="I27" s="30" t="n">
        <x:f>IF(COUNTIFS('Raw IC'!$A$5:$A$546,$B27,'Raw IC'!$B$5:$B$546,10)=0,"",SUMIFS('Raw IC'!$H$5:$H$546,'Raw IC'!$A$5:$A$546,$B27,'Raw IC'!$B$5:$B$546,10))</x:f>
        <x:v>0.5178078879736543</x:v>
      </x:c>
      <x:c r="J27" s="30" t="n">
        <x:f>IF(COUNTIFS('Raw IC'!$A$5:$A$546,$B27,'Raw IC'!$B$5:$B$546,20)=0,"",SUMIFS('Raw IC'!$F$5:$F$546,'Raw IC'!$A$5:$A$546,$B27,'Raw IC'!$B$5:$B$546,20))</x:f>
        <x:v>0.0524166661641735</x:v>
      </x:c>
      <x:c r="K27" s="30" t="n">
        <x:f>IF(COUNTIFS('Raw IC'!$A$5:$A$546,$B27,'Raw IC'!$B$5:$B$546,20)=0,"",SUMIFS('Raw IC'!$H$5:$H$546,'Raw IC'!$A$5:$A$546,$B27,'Raw IC'!$B$5:$B$546,20))</x:f>
        <x:v>0.5614207587482473</x:v>
      </x:c>
      <x:c r="L27" s="30" t="n">
        <x:f>IF(COUNT(I27,K27)&lt;2,"",AVERAGE(ABS(I27),ABS(K27)))</x:f>
        <x:v>0.5396143233609507</x:v>
      </x:c>
      <x:c r="M27" t="str">
        <x:f>IF(COUNT(H27,J27)&lt;2,"",IF(H27*J27&gt;=0,IF(H27&gt;=0,"positive","negative"),"mixed"))</x:f>
        <x:v>positive</x:v>
      </x:c>
      <x:c r="N27" s="74" t="n">
        <x:v>46211.287648680554</x:v>
      </x:c>
      <x:c r="O27" s="19" t="n">
        <x:v>8902245</x:v>
      </x:c>
      <x:c r="P27" t="str">
        <x:v>8f7e606554926462248cbcc654181861438ca768a0063f6b317223ede37d16fb</x:v>
      </x:c>
      <x:c r="Q27" t="str">
        <x:v>factor_report/gtja191_batch/gtja_061</x:v>
      </x:c>
    </x:row>
    <x:row r="28">
      <x:c r="A28" s="50" t="n">
        <x:f>IF($C28="ranked",1+COUNTIFS($C$5:$C$190,"ranked",$L$5:$L$190,"&gt;"&amp;$L28),"")</x:f>
        <x:v>24</x:v>
      </x:c>
      <x:c r="B28" t="str">
        <x:v>gtja_094</x:v>
      </x:c>
      <x:c r="C28" t="str">
        <x:v>ranked</x:v>
      </x:c>
      <x:c r="D28" s="30" t="n">
        <x:f>IF(COUNTIFS('Raw IC'!$A$5:$A$546,$B28,'Raw IC'!$B$5:$B$546,1)=0,"",SUMIFS('Raw IC'!$F$5:$F$546,'Raw IC'!$A$5:$A$546,$B28,'Raw IC'!$B$5:$B$546,1))</x:f>
        <x:v>-0.02474907693028828</x:v>
      </x:c>
      <x:c r="E28" s="30" t="n">
        <x:f>IF(COUNTIFS('Raw IC'!$A$5:$A$546,$B28,'Raw IC'!$B$5:$B$546,1)=0,"",SUMIFS('Raw IC'!$H$5:$H$546,'Raw IC'!$A$5:$A$546,$B28,'Raw IC'!$B$5:$B$546,1))</x:f>
        <x:v>-0.22998398402311834</x:v>
      </x:c>
      <x:c r="F28" s="30" t="n">
        <x:f>IF(COUNTIFS('Raw IC'!$A$5:$A$546,$B28,'Raw IC'!$B$5:$B$546,5)=0,"",SUMIFS('Raw IC'!$F$5:$F$546,'Raw IC'!$A$5:$A$546,$B28,'Raw IC'!$B$5:$B$546,5))</x:f>
        <x:v>-0.03766305454647896</x:v>
      </x:c>
      <x:c r="G28" s="30" t="n">
        <x:f>IF(COUNTIFS('Raw IC'!$A$5:$A$546,$B28,'Raw IC'!$B$5:$B$546,5)=0,"",SUMIFS('Raw IC'!$H$5:$H$546,'Raw IC'!$A$5:$A$546,$B28,'Raw IC'!$B$5:$B$546,5))</x:f>
        <x:v>-0.3792799449689575</x:v>
      </x:c>
      <x:c r="H28" s="30" t="n">
        <x:f>IF(COUNTIFS('Raw IC'!$A$5:$A$546,$B28,'Raw IC'!$B$5:$B$546,10)=0,"",SUMIFS('Raw IC'!$F$5:$F$546,'Raw IC'!$A$5:$A$546,$B28,'Raw IC'!$B$5:$B$546,10))</x:f>
        <x:v>-0.04507588483173755</x:v>
      </x:c>
      <x:c r="I28" s="30" t="n">
        <x:f>IF(COUNTIFS('Raw IC'!$A$5:$A$546,$B28,'Raw IC'!$B$5:$B$546,10)=0,"",SUMIFS('Raw IC'!$H$5:$H$546,'Raw IC'!$A$5:$A$546,$B28,'Raw IC'!$B$5:$B$546,10))</x:f>
        <x:v>-0.4591674428653091</x:v>
      </x:c>
      <x:c r="J28" s="30" t="n">
        <x:f>IF(COUNTIFS('Raw IC'!$A$5:$A$546,$B28,'Raw IC'!$B$5:$B$546,20)=0,"",SUMIFS('Raw IC'!$F$5:$F$546,'Raw IC'!$A$5:$A$546,$B28,'Raw IC'!$B$5:$B$546,20))</x:f>
        <x:v>-0.05899909339437195</x:v>
      </x:c>
      <x:c r="K28" s="30" t="n">
        <x:f>IF(COUNTIFS('Raw IC'!$A$5:$A$546,$B28,'Raw IC'!$B$5:$B$546,20)=0,"",SUMIFS('Raw IC'!$H$5:$H$546,'Raw IC'!$A$5:$A$546,$B28,'Raw IC'!$B$5:$B$546,20))</x:f>
        <x:v>-0.5859412474838197</x:v>
      </x:c>
      <x:c r="L28" s="30" t="n">
        <x:f>IF(COUNT(I28,K28)&lt;2,"",AVERAGE(ABS(I28),ABS(K28)))</x:f>
        <x:v>0.5225543451745644</x:v>
      </x:c>
      <x:c r="M28" t="str">
        <x:f>IF(COUNT(H28,J28)&lt;2,"",IF(H28*J28&gt;=0,IF(H28&gt;=0,"positive","negative"),"mixed"))</x:f>
        <x:v>negative</x:v>
      </x:c>
      <x:c r="N28" s="74" t="n">
        <x:v>46210.54834915509</x:v>
      </x:c>
      <x:c r="O28" s="19" t="n">
        <x:v>8902245</x:v>
      </x:c>
      <x:c r="P28" t="str">
        <x:v>40355b29bce094aef0e99358bdfd4011b92e72a54440a67760de4afae4883c33</x:v>
      </x:c>
      <x:c r="Q28" t="str">
        <x:v>factor_report/gtja191_batch/gtja_094</x:v>
      </x:c>
    </x:row>
    <x:row r="29">
      <x:c r="A29" s="50" t="n">
        <x:f>IF($C29="ranked",1+COUNTIFS($C$5:$C$190,"ranked",$L$5:$L$190,"&gt;"&amp;$L29),"")</x:f>
        <x:v>25</x:v>
      </x:c>
      <x:c r="B29" t="str">
        <x:v>gtja_139</x:v>
      </x:c>
      <x:c r="C29" t="str">
        <x:v>ranked</x:v>
      </x:c>
      <x:c r="D29" s="30" t="str">
        <x:f>IF(COUNTIFS('Raw IC'!$A$5:$A$546,$B29,'Raw IC'!$B$5:$B$546,1)=0,"",SUMIFS('Raw IC'!$F$5:$F$546,'Raw IC'!$A$5:$A$546,$B29,'Raw IC'!$B$5:$B$546,1))</x:f>
      </x:c>
      <x:c r="E29" s="30" t="str">
        <x:f>IF(COUNTIFS('Raw IC'!$A$5:$A$546,$B29,'Raw IC'!$B$5:$B$546,1)=0,"",SUMIFS('Raw IC'!$H$5:$H$546,'Raw IC'!$A$5:$A$546,$B29,'Raw IC'!$B$5:$B$546,1))</x:f>
      </x:c>
      <x:c r="F29" s="30" t="str">
        <x:f>IF(COUNTIFS('Raw IC'!$A$5:$A$546,$B29,'Raw IC'!$B$5:$B$546,5)=0,"",SUMIFS('Raw IC'!$F$5:$F$546,'Raw IC'!$A$5:$A$546,$B29,'Raw IC'!$B$5:$B$546,5))</x:f>
      </x:c>
      <x:c r="G29" s="30" t="str">
        <x:f>IF(COUNTIFS('Raw IC'!$A$5:$A$546,$B29,'Raw IC'!$B$5:$B$546,5)=0,"",SUMIFS('Raw IC'!$H$5:$H$546,'Raw IC'!$A$5:$A$546,$B29,'Raw IC'!$B$5:$B$546,5))</x:f>
      </x:c>
      <x:c r="H29" s="30" t="n">
        <x:f>IF(COUNTIFS('Raw IC'!$A$5:$A$546,$B29,'Raw IC'!$B$5:$B$546,10)=0,"",SUMIFS('Raw IC'!$F$5:$F$546,'Raw IC'!$A$5:$A$546,$B29,'Raw IC'!$B$5:$B$546,10))</x:f>
        <x:v>0.033631748401149325</x:v>
      </x:c>
      <x:c r="I29" s="30" t="n">
        <x:f>IF(COUNTIFS('Raw IC'!$A$5:$A$546,$B29,'Raw IC'!$B$5:$B$546,10)=0,"",SUMIFS('Raw IC'!$H$5:$H$546,'Raw IC'!$A$5:$A$546,$B29,'Raw IC'!$B$5:$B$546,10))</x:f>
        <x:v>0.45360139718904124</x:v>
      </x:c>
      <x:c r="J29" s="30" t="n">
        <x:f>IF(COUNTIFS('Raw IC'!$A$5:$A$546,$B29,'Raw IC'!$B$5:$B$546,20)=0,"",SUMIFS('Raw IC'!$F$5:$F$546,'Raw IC'!$A$5:$A$546,$B29,'Raw IC'!$B$5:$B$546,20))</x:f>
        <x:v>0.03993494936333283</x:v>
      </x:c>
      <x:c r="K29" s="30" t="n">
        <x:f>IF(COUNTIFS('Raw IC'!$A$5:$A$546,$B29,'Raw IC'!$B$5:$B$546,20)=0,"",SUMIFS('Raw IC'!$H$5:$H$546,'Raw IC'!$A$5:$A$546,$B29,'Raw IC'!$B$5:$B$546,20))</x:f>
        <x:v>0.5502707017904445</x:v>
      </x:c>
      <x:c r="L29" s="30" t="n">
        <x:f>IF(COUNT(I29,K29)&lt;2,"",AVERAGE(ABS(I29),ABS(K29)))</x:f>
        <x:v>0.5019360494897429</x:v>
      </x:c>
      <x:c r="M29" t="str">
        <x:f>IF(COUNT(H29,J29)&lt;2,"",IF(H29*J29&gt;=0,IF(H29&gt;=0,"positive","negative"),"mixed"))</x:f>
        <x:v>positive</x:v>
      </x:c>
      <x:c r="N29" s="74" t="n">
        <x:v>46211.435147662036</x:v>
      </x:c>
      <x:c r="O29" s="19" t="n">
        <x:v>8902245</x:v>
      </x:c>
      <x:c r="P29" t="str">
        <x:v>8f7e606554926462248cbcc654181861438ca768a0063f6b317223ede37d16fb</x:v>
      </x:c>
      <x:c r="Q29" t="str">
        <x:v>factor_report/gtja191_batch/gtja_139</x:v>
      </x:c>
    </x:row>
    <x:row r="30">
      <x:c r="A30" s="50" t="n">
        <x:f>IF($C30="ranked",1+COUNTIFS($C$5:$C$190,"ranked",$L$5:$L$190,"&gt;"&amp;$L30),"")</x:f>
        <x:v>26</x:v>
      </x:c>
      <x:c r="B30" t="str">
        <x:v>gtja_159</x:v>
      </x:c>
      <x:c r="C30" t="str">
        <x:v>ranked</x:v>
      </x:c>
      <x:c r="D30" s="30" t="n">
        <x:f>IF(COUNTIFS('Raw IC'!$A$5:$A$546,$B30,'Raw IC'!$B$5:$B$546,1)=0,"",SUMIFS('Raw IC'!$F$5:$F$546,'Raw IC'!$A$5:$A$546,$B30,'Raw IC'!$B$5:$B$546,1))</x:f>
        <x:v>-0.0564643230896578</x:v>
      </x:c>
      <x:c r="E30" s="30" t="n">
        <x:f>IF(COUNTIFS('Raw IC'!$A$5:$A$546,$B30,'Raw IC'!$B$5:$B$546,1)=0,"",SUMIFS('Raw IC'!$H$5:$H$546,'Raw IC'!$A$5:$A$546,$B30,'Raw IC'!$B$5:$B$546,1))</x:f>
        <x:v>-0.29999494000335963</x:v>
      </x:c>
      <x:c r="F30" s="30" t="n">
        <x:f>IF(COUNTIFS('Raw IC'!$A$5:$A$546,$B30,'Raw IC'!$B$5:$B$546,5)=0,"",SUMIFS('Raw IC'!$F$5:$F$546,'Raw IC'!$A$5:$A$546,$B30,'Raw IC'!$B$5:$B$546,5))</x:f>
        <x:v>-0.07569628027837899</x:v>
      </x:c>
      <x:c r="G30" s="30" t="n">
        <x:f>IF(COUNTIFS('Raw IC'!$A$5:$A$546,$B30,'Raw IC'!$B$5:$B$546,5)=0,"",SUMIFS('Raw IC'!$H$5:$H$546,'Raw IC'!$A$5:$A$546,$B30,'Raw IC'!$B$5:$B$546,5))</x:f>
        <x:v>-0.42062116258805266</x:v>
      </x:c>
      <x:c r="H30" s="30" t="n">
        <x:f>IF(COUNTIFS('Raw IC'!$A$5:$A$546,$B30,'Raw IC'!$B$5:$B$546,10)=0,"",SUMIFS('Raw IC'!$F$5:$F$546,'Raw IC'!$A$5:$A$546,$B30,'Raw IC'!$B$5:$B$546,10))</x:f>
        <x:v>-0.08558369624505881</x:v>
      </x:c>
      <x:c r="I30" s="30" t="n">
        <x:f>IF(COUNTIFS('Raw IC'!$A$5:$A$546,$B30,'Raw IC'!$B$5:$B$546,10)=0,"",SUMIFS('Raw IC'!$H$5:$H$546,'Raw IC'!$A$5:$A$546,$B30,'Raw IC'!$B$5:$B$546,10))</x:f>
        <x:v>-0.4772082238933929</x:v>
      </x:c>
      <x:c r="J30" s="30" t="n">
        <x:f>IF(COUNTIFS('Raw IC'!$A$5:$A$546,$B30,'Raw IC'!$B$5:$B$546,20)=0,"",SUMIFS('Raw IC'!$F$5:$F$546,'Raw IC'!$A$5:$A$546,$B30,'Raw IC'!$B$5:$B$546,20))</x:f>
        <x:v>-0.09704336413748631</x:v>
      </x:c>
      <x:c r="K30" s="30" t="n">
        <x:f>IF(COUNTIFS('Raw IC'!$A$5:$A$546,$B30,'Raw IC'!$B$5:$B$546,20)=0,"",SUMIFS('Raw IC'!$H$5:$H$546,'Raw IC'!$A$5:$A$546,$B30,'Raw IC'!$B$5:$B$546,20))</x:f>
        <x:v>-0.5228234176119823</x:v>
      </x:c>
      <x:c r="L30" s="30" t="n">
        <x:f>IF(COUNT(I30,K30)&lt;2,"",AVERAGE(ABS(I30),ABS(K30)))</x:f>
        <x:v>0.5000158207526876</x:v>
      </x:c>
      <x:c r="M30" t="str">
        <x:f>IF(COUNT(H30,J30)&lt;2,"",IF(H30*J30&gt;=0,IF(H30&gt;=0,"positive","negative"),"mixed"))</x:f>
        <x:v>negative</x:v>
      </x:c>
      <x:c r="N30" s="74" t="n">
        <x:v>46210.85484907407</x:v>
      </x:c>
      <x:c r="O30" s="19" t="n">
        <x:v>8902245</x:v>
      </x:c>
      <x:c r="P30" t="str">
        <x:v>40355b29bce094aef0e99358bdfd4011b92e72a54440a67760de4afae4883c33</x:v>
      </x:c>
      <x:c r="Q30" t="str">
        <x:v>factor_report/gtja191_batch/gtja_159</x:v>
      </x:c>
    </x:row>
    <x:row r="31">
      <x:c r="A31" s="50" t="n">
        <x:f>IF($C31="ranked",1+COUNTIFS($C$5:$C$190,"ranked",$L$5:$L$190,"&gt;"&amp;$L31),"")</x:f>
        <x:v>27</x:v>
      </x:c>
      <x:c r="B31" t="str">
        <x:v>gtja_158</x:v>
      </x:c>
      <x:c r="C31" t="str">
        <x:v>ranked</x:v>
      </x:c>
      <x:c r="D31" s="30" t="n">
        <x:f>IF(COUNTIFS('Raw IC'!$A$5:$A$546,$B31,'Raw IC'!$B$5:$B$546,1)=0,"",SUMIFS('Raw IC'!$F$5:$F$546,'Raw IC'!$A$5:$A$546,$B31,'Raw IC'!$B$5:$B$546,1))</x:f>
        <x:v>-0.05200081838059828</x:v>
      </x:c>
      <x:c r="E31" s="30" t="n">
        <x:f>IF(COUNTIFS('Raw IC'!$A$5:$A$546,$B31,'Raw IC'!$B$5:$B$546,1)=0,"",SUMIFS('Raw IC'!$H$5:$H$546,'Raw IC'!$A$5:$A$546,$B31,'Raw IC'!$B$5:$B$546,1))</x:f>
        <x:v>-0.34195583912847033</x:v>
      </x:c>
      <x:c r="F31" s="30" t="n">
        <x:f>IF(COUNTIFS('Raw IC'!$A$5:$A$546,$B31,'Raw IC'!$B$5:$B$546,5)=0,"",SUMIFS('Raw IC'!$F$5:$F$546,'Raw IC'!$A$5:$A$546,$B31,'Raw IC'!$B$5:$B$546,5))</x:f>
        <x:v>-0.0622115405429208</x:v>
      </x:c>
      <x:c r="G31" s="30" t="n">
        <x:f>IF(COUNTIFS('Raw IC'!$A$5:$A$546,$B31,'Raw IC'!$B$5:$B$546,5)=0,"",SUMIFS('Raw IC'!$H$5:$H$546,'Raw IC'!$A$5:$A$546,$B31,'Raw IC'!$B$5:$B$546,5))</x:f>
        <x:v>-0.4342452920309689</x:v>
      </x:c>
      <x:c r="H31" s="30" t="n">
        <x:f>IF(COUNTIFS('Raw IC'!$A$5:$A$546,$B31,'Raw IC'!$B$5:$B$546,10)=0,"",SUMIFS('Raw IC'!$F$5:$F$546,'Raw IC'!$A$5:$A$546,$B31,'Raw IC'!$B$5:$B$546,10))</x:f>
        <x:v>-0.06798036351326307</x:v>
      </x:c>
      <x:c r="I31" s="30" t="n">
        <x:f>IF(COUNTIFS('Raw IC'!$A$5:$A$546,$B31,'Raw IC'!$B$5:$B$546,10)=0,"",SUMIFS('Raw IC'!$H$5:$H$546,'Raw IC'!$A$5:$A$546,$B31,'Raw IC'!$B$5:$B$546,10))</x:f>
        <x:v>-0.4768105299091833</x:v>
      </x:c>
      <x:c r="J31" s="30" t="n">
        <x:f>IF(COUNTIFS('Raw IC'!$A$5:$A$546,$B31,'Raw IC'!$B$5:$B$546,20)=0,"",SUMIFS('Raw IC'!$F$5:$F$546,'Raw IC'!$A$5:$A$546,$B31,'Raw IC'!$B$5:$B$546,20))</x:f>
        <x:v>-0.07619005015983824</x:v>
      </x:c>
      <x:c r="K31" s="30" t="n">
        <x:f>IF(COUNTIFS('Raw IC'!$A$5:$A$546,$B31,'Raw IC'!$B$5:$B$546,20)=0,"",SUMIFS('Raw IC'!$H$5:$H$546,'Raw IC'!$A$5:$A$546,$B31,'Raw IC'!$B$5:$B$546,20))</x:f>
        <x:v>-0.5199410609611366</x:v>
      </x:c>
      <x:c r="L31" s="30" t="n">
        <x:f>IF(COUNT(I31,K31)&lt;2,"",AVERAGE(ABS(I31),ABS(K31)))</x:f>
        <x:v>0.49837579543516</x:v>
      </x:c>
      <x:c r="M31" t="str">
        <x:f>IF(COUNT(H31,J31)&lt;2,"",IF(H31*J31&gt;=0,IF(H31&gt;=0,"positive","negative"),"mixed"))</x:f>
        <x:v>negative</x:v>
      </x:c>
      <x:c r="N31" s="74" t="n">
        <x:v>46210.85092011574</x:v>
      </x:c>
      <x:c r="O31" s="19" t="n">
        <x:v>8902245</x:v>
      </x:c>
      <x:c r="P31" t="str">
        <x:v>40355b29bce094aef0e99358bdfd4011b92e72a54440a67760de4afae4883c33</x:v>
      </x:c>
      <x:c r="Q31" t="str">
        <x:v>factor_report/gtja191_batch/gtja_158</x:v>
      </x:c>
    </x:row>
    <x:row r="32">
      <x:c r="A32" s="50" t="n">
        <x:f>IF($C32="ranked",1+COUNTIFS($C$5:$C$190,"ranked",$L$5:$L$190,"&gt;"&amp;$L32),"")</x:f>
        <x:v>28</x:v>
      </x:c>
      <x:c r="B32" t="str">
        <x:v>gtja_041</x:v>
      </x:c>
      <x:c r="C32" t="str">
        <x:v>ranked</x:v>
      </x:c>
      <x:c r="D32" s="30" t="str">
        <x:f>IF(COUNTIFS('Raw IC'!$A$5:$A$546,$B32,'Raw IC'!$B$5:$B$546,1)=0,"",SUMIFS('Raw IC'!$F$5:$F$546,'Raw IC'!$A$5:$A$546,$B32,'Raw IC'!$B$5:$B$546,1))</x:f>
      </x:c>
      <x:c r="E32" s="30" t="str">
        <x:f>IF(COUNTIFS('Raw IC'!$A$5:$A$546,$B32,'Raw IC'!$B$5:$B$546,1)=0,"",SUMIFS('Raw IC'!$H$5:$H$546,'Raw IC'!$A$5:$A$546,$B32,'Raw IC'!$B$5:$B$546,1))</x:f>
      </x:c>
      <x:c r="F32" s="30" t="str">
        <x:f>IF(COUNTIFS('Raw IC'!$A$5:$A$546,$B32,'Raw IC'!$B$5:$B$546,5)=0,"",SUMIFS('Raw IC'!$F$5:$F$546,'Raw IC'!$A$5:$A$546,$B32,'Raw IC'!$B$5:$B$546,5))</x:f>
      </x:c>
      <x:c r="G32" s="30" t="str">
        <x:f>IF(COUNTIFS('Raw IC'!$A$5:$A$546,$B32,'Raw IC'!$B$5:$B$546,5)=0,"",SUMIFS('Raw IC'!$H$5:$H$546,'Raw IC'!$A$5:$A$546,$B32,'Raw IC'!$B$5:$B$546,5))</x:f>
      </x:c>
      <x:c r="H32" s="30" t="n">
        <x:f>IF(COUNTIFS('Raw IC'!$A$5:$A$546,$B32,'Raw IC'!$B$5:$B$546,10)=0,"",SUMIFS('Raw IC'!$F$5:$F$546,'Raw IC'!$A$5:$A$546,$B32,'Raw IC'!$B$5:$B$546,10))</x:f>
        <x:v>0.06323420874741587</x:v>
      </x:c>
      <x:c r="I32" s="30" t="n">
        <x:f>IF(COUNTIFS('Raw IC'!$A$5:$A$546,$B32,'Raw IC'!$B$5:$B$546,10)=0,"",SUMIFS('Raw IC'!$H$5:$H$546,'Raw IC'!$A$5:$A$546,$B32,'Raw IC'!$B$5:$B$546,10))</x:f>
        <x:v>0.4613414342853474</x:v>
      </x:c>
      <x:c r="J32" s="30" t="n">
        <x:f>IF(COUNTIFS('Raw IC'!$A$5:$A$546,$B32,'Raw IC'!$B$5:$B$546,20)=0,"",SUMIFS('Raw IC'!$F$5:$F$546,'Raw IC'!$A$5:$A$546,$B32,'Raw IC'!$B$5:$B$546,20))</x:f>
        <x:v>0.07454857927237946</x:v>
      </x:c>
      <x:c r="K32" s="30" t="n">
        <x:f>IF(COUNTIFS('Raw IC'!$A$5:$A$546,$B32,'Raw IC'!$B$5:$B$546,20)=0,"",SUMIFS('Raw IC'!$H$5:$H$546,'Raw IC'!$A$5:$A$546,$B32,'Raw IC'!$B$5:$B$546,20))</x:f>
        <x:v>0.5203076941253504</x:v>
      </x:c>
      <x:c r="L32" s="30" t="n">
        <x:f>IF(COUNT(I32,K32)&lt;2,"",AVERAGE(ABS(I32),ABS(K32)))</x:f>
        <x:v>0.4908245642053489</x:v>
      </x:c>
      <x:c r="M32" t="str">
        <x:f>IF(COUNT(H32,J32)&lt;2,"",IF(H32*J32&gt;=0,IF(H32&gt;=0,"positive","negative"),"mixed"))</x:f>
        <x:v>positive</x:v>
      </x:c>
      <x:c r="N32" s="74" t="n">
        <x:v>46211.24883207176</x:v>
      </x:c>
      <x:c r="O32" s="19" t="n">
        <x:v>8902245</x:v>
      </x:c>
      <x:c r="P32" t="str">
        <x:v>8f7e606554926462248cbcc654181861438ca768a0063f6b317223ede37d16fb</x:v>
      </x:c>
      <x:c r="Q32" t="str">
        <x:v>factor_report/gtja191_batch/gtja_041</x:v>
      </x:c>
    </x:row>
    <x:row r="33">
      <x:c r="A33" s="50" t="n">
        <x:f>IF($C33="ranked",1+COUNTIFS($C$5:$C$190,"ranked",$L$5:$L$190,"&gt;"&amp;$L33),"")</x:f>
        <x:v>29</x:v>
      </x:c>
      <x:c r="B33" t="str">
        <x:v>gtja_141</x:v>
      </x:c>
      <x:c r="C33" t="str">
        <x:v>ranked</x:v>
      </x:c>
      <x:c r="D33" s="30" t="str">
        <x:f>IF(COUNTIFS('Raw IC'!$A$5:$A$546,$B33,'Raw IC'!$B$5:$B$546,1)=0,"",SUMIFS('Raw IC'!$F$5:$F$546,'Raw IC'!$A$5:$A$546,$B33,'Raw IC'!$B$5:$B$546,1))</x:f>
      </x:c>
      <x:c r="E33" s="30" t="str">
        <x:f>IF(COUNTIFS('Raw IC'!$A$5:$A$546,$B33,'Raw IC'!$B$5:$B$546,1)=0,"",SUMIFS('Raw IC'!$H$5:$H$546,'Raw IC'!$A$5:$A$546,$B33,'Raw IC'!$B$5:$B$546,1))</x:f>
      </x:c>
      <x:c r="F33" s="30" t="str">
        <x:f>IF(COUNTIFS('Raw IC'!$A$5:$A$546,$B33,'Raw IC'!$B$5:$B$546,5)=0,"",SUMIFS('Raw IC'!$F$5:$F$546,'Raw IC'!$A$5:$A$546,$B33,'Raw IC'!$B$5:$B$546,5))</x:f>
      </x:c>
      <x:c r="G33" s="30" t="str">
        <x:f>IF(COUNTIFS('Raw IC'!$A$5:$A$546,$B33,'Raw IC'!$B$5:$B$546,5)=0,"",SUMIFS('Raw IC'!$H$5:$H$546,'Raw IC'!$A$5:$A$546,$B33,'Raw IC'!$B$5:$B$546,5))</x:f>
      </x:c>
      <x:c r="H33" s="30" t="n">
        <x:f>IF(COUNTIFS('Raw IC'!$A$5:$A$546,$B33,'Raw IC'!$B$5:$B$546,10)=0,"",SUMIFS('Raw IC'!$F$5:$F$546,'Raw IC'!$A$5:$A$546,$B33,'Raw IC'!$B$5:$B$546,10))</x:f>
        <x:v>0.0187110845344238</x:v>
      </x:c>
      <x:c r="I33" s="30" t="n">
        <x:f>IF(COUNTIFS('Raw IC'!$A$5:$A$546,$B33,'Raw IC'!$B$5:$B$546,10)=0,"",SUMIFS('Raw IC'!$H$5:$H$546,'Raw IC'!$A$5:$A$546,$B33,'Raw IC'!$B$5:$B$546,10))</x:f>
        <x:v>0.4737313611272786</x:v>
      </x:c>
      <x:c r="J33" s="30" t="n">
        <x:f>IF(COUNTIFS('Raw IC'!$A$5:$A$546,$B33,'Raw IC'!$B$5:$B$546,20)=0,"",SUMIFS('Raw IC'!$F$5:$F$546,'Raw IC'!$A$5:$A$546,$B33,'Raw IC'!$B$5:$B$546,20))</x:f>
        <x:v>0.02011006977563733</x:v>
      </x:c>
      <x:c r="K33" s="30" t="n">
        <x:f>IF(COUNTIFS('Raw IC'!$A$5:$A$546,$B33,'Raw IC'!$B$5:$B$546,20)=0,"",SUMIFS('Raw IC'!$H$5:$H$546,'Raw IC'!$A$5:$A$546,$B33,'Raw IC'!$B$5:$B$546,20))</x:f>
        <x:v>0.503641867034122</x:v>
      </x:c>
      <x:c r="L33" s="30" t="n">
        <x:f>IF(COUNT(I33,K33)&lt;2,"",AVERAGE(ABS(I33),ABS(K33)))</x:f>
        <x:v>0.48868661408070024</x:v>
      </x:c>
      <x:c r="M33" t="str">
        <x:f>IF(COUNT(H33,J33)&lt;2,"",IF(H33*J33&gt;=0,IF(H33&gt;=0,"positive","negative"),"mixed"))</x:f>
        <x:v>positive</x:v>
      </x:c>
      <x:c r="N33" s="74" t="n">
        <x:v>46211.443886967594</x:v>
      </x:c>
      <x:c r="O33" s="19" t="n">
        <x:v>8902245</x:v>
      </x:c>
      <x:c r="P33" t="str">
        <x:v>8f7e606554926462248cbcc654181861438ca768a0063f6b317223ede37d16fb</x:v>
      </x:c>
      <x:c r="Q33" t="str">
        <x:v>factor_report/gtja191_batch/gtja_141</x:v>
      </x:c>
    </x:row>
    <x:row r="34">
      <x:c r="A34" s="50" t="n">
        <x:f>IF($C34="ranked",1+COUNTIFS($C$5:$C$190,"ranked",$L$5:$L$190,"&gt;"&amp;$L34),"")</x:f>
        <x:v>30</x:v>
      </x:c>
      <x:c r="B34" t="str">
        <x:v>gtja_059</x:v>
      </x:c>
      <x:c r="C34" t="str">
        <x:v>ranked</x:v>
      </x:c>
      <x:c r="D34" s="30" t="n">
        <x:f>IF(COUNTIFS('Raw IC'!$A$5:$A$546,$B34,'Raw IC'!$B$5:$B$546,1)=0,"",SUMIFS('Raw IC'!$F$5:$F$546,'Raw IC'!$A$5:$A$546,$B34,'Raw IC'!$B$5:$B$546,1))</x:f>
        <x:v>-0.03241157048272622</x:v>
      </x:c>
      <x:c r="E34" s="30" t="n">
        <x:f>IF(COUNTIFS('Raw IC'!$A$5:$A$546,$B34,'Raw IC'!$B$5:$B$546,1)=0,"",SUMIFS('Raw IC'!$H$5:$H$546,'Raw IC'!$A$5:$A$546,$B34,'Raw IC'!$B$5:$B$546,1))</x:f>
        <x:v>-0.2319662552333163</x:v>
      </x:c>
      <x:c r="F34" s="30" t="n">
        <x:f>IF(COUNTIFS('Raw IC'!$A$5:$A$546,$B34,'Raw IC'!$B$5:$B$546,5)=0,"",SUMIFS('Raw IC'!$F$5:$F$546,'Raw IC'!$A$5:$A$546,$B34,'Raw IC'!$B$5:$B$546,5))</x:f>
        <x:v>-0.04765092063494312</x:v>
      </x:c>
      <x:c r="G34" s="30" t="n">
        <x:f>IF(COUNTIFS('Raw IC'!$A$5:$A$546,$B34,'Raw IC'!$B$5:$B$546,5)=0,"",SUMIFS('Raw IC'!$H$5:$H$546,'Raw IC'!$A$5:$A$546,$B34,'Raw IC'!$B$5:$B$546,5))</x:f>
        <x:v>-0.3633693577655946</x:v>
      </x:c>
      <x:c r="H34" s="30" t="n">
        <x:f>IF(COUNTIFS('Raw IC'!$A$5:$A$546,$B34,'Raw IC'!$B$5:$B$546,10)=0,"",SUMIFS('Raw IC'!$F$5:$F$546,'Raw IC'!$A$5:$A$546,$B34,'Raw IC'!$B$5:$B$546,10))</x:f>
        <x:v>-0.05652192099592995</x:v>
      </x:c>
      <x:c r="I34" s="30" t="n">
        <x:f>IF(COUNTIFS('Raw IC'!$A$5:$A$546,$B34,'Raw IC'!$B$5:$B$546,10)=0,"",SUMIFS('Raw IC'!$H$5:$H$546,'Raw IC'!$A$5:$A$546,$B34,'Raw IC'!$B$5:$B$546,10))</x:f>
        <x:v>-0.4475381640431331</x:v>
      </x:c>
      <x:c r="J34" s="30" t="n">
        <x:f>IF(COUNTIFS('Raw IC'!$A$5:$A$546,$B34,'Raw IC'!$B$5:$B$546,20)=0,"",SUMIFS('Raw IC'!$F$5:$F$546,'Raw IC'!$A$5:$A$546,$B34,'Raw IC'!$B$5:$B$546,20))</x:f>
        <x:v>-0.06446362844496573</x:v>
      </x:c>
      <x:c r="K34" s="30" t="n">
        <x:f>IF(COUNTIFS('Raw IC'!$A$5:$A$546,$B34,'Raw IC'!$B$5:$B$546,20)=0,"",SUMIFS('Raw IC'!$H$5:$H$546,'Raw IC'!$A$5:$A$546,$B34,'Raw IC'!$B$5:$B$546,20))</x:f>
        <x:v>-0.5068887577069766</x:v>
      </x:c>
      <x:c r="L34" s="30" t="n">
        <x:f>IF(COUNT(I34,K34)&lt;2,"",AVERAGE(ABS(I34),ABS(K34)))</x:f>
        <x:v>0.4772134608750549</x:v>
      </x:c>
      <x:c r="M34" t="str">
        <x:f>IF(COUNT(H34,J34)&lt;2,"",IF(H34*J34&gt;=0,IF(H34&gt;=0,"positive","negative"),"mixed"))</x:f>
        <x:v>negative</x:v>
      </x:c>
      <x:c r="N34" s="74" t="n">
        <x:v>46210.36786096065</x:v>
      </x:c>
      <x:c r="O34" s="19" t="n">
        <x:v>8902245</x:v>
      </x:c>
      <x:c r="P34" t="str">
        <x:v>40355b29bce094aef0e99358bdfd4011b92e72a54440a67760de4afae4883c33</x:v>
      </x:c>
      <x:c r="Q34" t="str">
        <x:v>factor_report/gtja191_batch/gtja_059</x:v>
      </x:c>
    </x:row>
    <x:row r="35">
      <x:c r="A35" s="50" t="n">
        <x:f>IF($C35="ranked",1+COUNTIFS($C$5:$C$190,"ranked",$L$5:$L$190,"&gt;"&amp;$L35),"")</x:f>
        <x:v>31</x:v>
      </x:c>
      <x:c r="B35" t="str">
        <x:v>gtja_081</x:v>
      </x:c>
      <x:c r="C35" t="str">
        <x:v>ranked</x:v>
      </x:c>
      <x:c r="D35" s="30" t="n">
        <x:f>IF(COUNTIFS('Raw IC'!$A$5:$A$546,$B35,'Raw IC'!$B$5:$B$546,1)=0,"",SUMIFS('Raw IC'!$F$5:$F$546,'Raw IC'!$A$5:$A$546,$B35,'Raw IC'!$B$5:$B$546,1))</x:f>
        <x:v>-0.025489884293183298</x:v>
      </x:c>
      <x:c r="E35" s="30" t="n">
        <x:f>IF(COUNTIFS('Raw IC'!$A$5:$A$546,$B35,'Raw IC'!$B$5:$B$546,1)=0,"",SUMIFS('Raw IC'!$H$5:$H$546,'Raw IC'!$A$5:$A$546,$B35,'Raw IC'!$B$5:$B$546,1))</x:f>
        <x:v>-0.2198031137390283</x:v>
      </x:c>
      <x:c r="F35" s="30" t="n">
        <x:f>IF(COUNTIFS('Raw IC'!$A$5:$A$546,$B35,'Raw IC'!$B$5:$B$546,5)=0,"",SUMIFS('Raw IC'!$F$5:$F$546,'Raw IC'!$A$5:$A$546,$B35,'Raw IC'!$B$5:$B$546,5))</x:f>
        <x:v>-0.04183927953457015</x:v>
      </x:c>
      <x:c r="G35" s="30" t="n">
        <x:f>IF(COUNTIFS('Raw IC'!$A$5:$A$546,$B35,'Raw IC'!$B$5:$B$546,5)=0,"",SUMIFS('Raw IC'!$H$5:$H$546,'Raw IC'!$A$5:$A$546,$B35,'Raw IC'!$B$5:$B$546,5))</x:f>
        <x:v>-0.3484952783556103</x:v>
      </x:c>
      <x:c r="H35" s="30" t="n">
        <x:f>IF(COUNTIFS('Raw IC'!$A$5:$A$546,$B35,'Raw IC'!$B$5:$B$546,10)=0,"",SUMIFS('Raw IC'!$F$5:$F$546,'Raw IC'!$A$5:$A$546,$B35,'Raw IC'!$B$5:$B$546,10))</x:f>
        <x:v>-0.04996957504108294</x:v>
      </x:c>
      <x:c r="I35" s="30" t="n">
        <x:f>IF(COUNTIFS('Raw IC'!$A$5:$A$546,$B35,'Raw IC'!$B$5:$B$546,10)=0,"",SUMIFS('Raw IC'!$H$5:$H$546,'Raw IC'!$A$5:$A$546,$B35,'Raw IC'!$B$5:$B$546,10))</x:f>
        <x:v>-0.4221291892920538</x:v>
      </x:c>
      <x:c r="J35" s="30" t="n">
        <x:f>IF(COUNTIFS('Raw IC'!$A$5:$A$546,$B35,'Raw IC'!$B$5:$B$546,20)=0,"",SUMIFS('Raw IC'!$F$5:$F$546,'Raw IC'!$A$5:$A$546,$B35,'Raw IC'!$B$5:$B$546,20))</x:f>
        <x:v>-0.060928068467405144</x:v>
      </x:c>
      <x:c r="K35" s="30" t="n">
        <x:f>IF(COUNTIFS('Raw IC'!$A$5:$A$546,$B35,'Raw IC'!$B$5:$B$546,20)=0,"",SUMIFS('Raw IC'!$H$5:$H$546,'Raw IC'!$A$5:$A$546,$B35,'Raw IC'!$B$5:$B$546,20))</x:f>
        <x:v>-0.5268433767383212</x:v>
      </x:c>
      <x:c r="L35" s="30" t="n">
        <x:f>IF(COUNT(I35,K35)&lt;2,"",AVERAGE(ABS(I35),ABS(K35)))</x:f>
        <x:v>0.47448628301518747</x:v>
      </x:c>
      <x:c r="M35" t="str">
        <x:f>IF(COUNT(H35,J35)&lt;2,"",IF(H35*J35&gt;=0,IF(H35&gt;=0,"positive","negative"),"mixed"))</x:f>
        <x:v>negative</x:v>
      </x:c>
      <x:c r="N35" s="74" t="n">
        <x:v>46210.48091090278</x:v>
      </x:c>
      <x:c r="O35" s="19" t="n">
        <x:v>8902245</x:v>
      </x:c>
      <x:c r="P35" t="str">
        <x:v>40355b29bce094aef0e99358bdfd4011b92e72a54440a67760de4afae4883c33</x:v>
      </x:c>
      <x:c r="Q35" t="str">
        <x:v>factor_report/gtja191_batch/gtja_081</x:v>
      </x:c>
    </x:row>
    <x:row r="36">
      <x:c r="A36" s="50" t="n">
        <x:f>IF($C36="ranked",1+COUNTIFS($C$5:$C$190,"ranked",$L$5:$L$190,"&gt;"&amp;$L36),"")</x:f>
        <x:v>32</x:v>
      </x:c>
      <x:c r="B36" t="str">
        <x:v>gtja_084</x:v>
      </x:c>
      <x:c r="C36" t="str">
        <x:v>ranked</x:v>
      </x:c>
      <x:c r="D36" s="30" t="n">
        <x:f>IF(COUNTIFS('Raw IC'!$A$5:$A$546,$B36,'Raw IC'!$B$5:$B$546,1)=0,"",SUMIFS('Raw IC'!$F$5:$F$546,'Raw IC'!$A$5:$A$546,$B36,'Raw IC'!$B$5:$B$546,1))</x:f>
        <x:v>-0.024888335831821887</x:v>
      </x:c>
      <x:c r="E36" s="30" t="n">
        <x:f>IF(COUNTIFS('Raw IC'!$A$5:$A$546,$B36,'Raw IC'!$B$5:$B$546,1)=0,"",SUMIFS('Raw IC'!$H$5:$H$546,'Raw IC'!$A$5:$A$546,$B36,'Raw IC'!$B$5:$B$546,1))</x:f>
        <x:v>-0.23680947597449256</x:v>
      </x:c>
      <x:c r="F36" s="30" t="n">
        <x:f>IF(COUNTIFS('Raw IC'!$A$5:$A$546,$B36,'Raw IC'!$B$5:$B$546,5)=0,"",SUMIFS('Raw IC'!$F$5:$F$546,'Raw IC'!$A$5:$A$546,$B36,'Raw IC'!$B$5:$B$546,5))</x:f>
        <x:v>-0.03447758590742363</x:v>
      </x:c>
      <x:c r="G36" s="30" t="n">
        <x:f>IF(COUNTIFS('Raw IC'!$A$5:$A$546,$B36,'Raw IC'!$B$5:$B$546,5)=0,"",SUMIFS('Raw IC'!$H$5:$H$546,'Raw IC'!$A$5:$A$546,$B36,'Raw IC'!$B$5:$B$546,5))</x:f>
        <x:v>-0.3514525565478767</x:v>
      </x:c>
      <x:c r="H36" s="30" t="n">
        <x:f>IF(COUNTIFS('Raw IC'!$A$5:$A$546,$B36,'Raw IC'!$B$5:$B$546,10)=0,"",SUMIFS('Raw IC'!$F$5:$F$546,'Raw IC'!$A$5:$A$546,$B36,'Raw IC'!$B$5:$B$546,10))</x:f>
        <x:v>-0.04048932825227205</x:v>
      </x:c>
      <x:c r="I36" s="30" t="n">
        <x:f>IF(COUNTIFS('Raw IC'!$A$5:$A$546,$B36,'Raw IC'!$B$5:$B$546,10)=0,"",SUMIFS('Raw IC'!$H$5:$H$546,'Raw IC'!$A$5:$A$546,$B36,'Raw IC'!$B$5:$B$546,10))</x:f>
        <x:v>-0.4207045417495089</x:v>
      </x:c>
      <x:c r="J36" s="30" t="n">
        <x:f>IF(COUNTIFS('Raw IC'!$A$5:$A$546,$B36,'Raw IC'!$B$5:$B$546,20)=0,"",SUMIFS('Raw IC'!$F$5:$F$546,'Raw IC'!$A$5:$A$546,$B36,'Raw IC'!$B$5:$B$546,20))</x:f>
        <x:v>-0.05088072449977146</x:v>
      </x:c>
      <x:c r="K36" s="30" t="n">
        <x:f>IF(COUNTIFS('Raw IC'!$A$5:$A$546,$B36,'Raw IC'!$B$5:$B$546,20)=0,"",SUMIFS('Raw IC'!$H$5:$H$546,'Raw IC'!$A$5:$A$546,$B36,'Raw IC'!$B$5:$B$546,20))</x:f>
        <x:v>-0.5250414932540366</x:v>
      </x:c>
      <x:c r="L36" s="30" t="n">
        <x:f>IF(COUNT(I36,K36)&lt;2,"",AVERAGE(ABS(I36),ABS(K36)))</x:f>
        <x:v>0.47287301750177274</x:v>
      </x:c>
      <x:c r="M36" t="str">
        <x:f>IF(COUNT(H36,J36)&lt;2,"",IF(H36*J36&gt;=0,IF(H36&gt;=0,"positive","negative"),"mixed"))</x:f>
        <x:v>negative</x:v>
      </x:c>
      <x:c r="N36" s="74" t="n">
        <x:v>46210.493655</x:v>
      </x:c>
      <x:c r="O36" s="19" t="n">
        <x:v>8902245</x:v>
      </x:c>
      <x:c r="P36" t="str">
        <x:v>40355b29bce094aef0e99358bdfd4011b92e72a54440a67760de4afae4883c33</x:v>
      </x:c>
      <x:c r="Q36" t="str">
        <x:v>factor_report/gtja191_batch/gtja_084</x:v>
      </x:c>
    </x:row>
    <x:row r="37">
      <x:c r="A37" s="50" t="n">
        <x:f>IF($C37="ranked",1+COUNTIFS($C$5:$C$190,"ranked",$L$5:$L$190,"&gt;"&amp;$L37),"")</x:f>
        <x:v>33</x:v>
      </x:c>
      <x:c r="B37" t="str">
        <x:v>gtja_069</x:v>
      </x:c>
      <x:c r="C37" t="str">
        <x:v>ranked</x:v>
      </x:c>
      <x:c r="D37" s="30" t="n">
        <x:f>IF(COUNTIFS('Raw IC'!$A$5:$A$546,$B37,'Raw IC'!$B$5:$B$546,1)=0,"",SUMIFS('Raw IC'!$F$5:$F$546,'Raw IC'!$A$5:$A$546,$B37,'Raw IC'!$B$5:$B$546,1))</x:f>
        <x:v>-0.030441659233196375</x:v>
      </x:c>
      <x:c r="E37" s="30" t="n">
        <x:f>IF(COUNTIFS('Raw IC'!$A$5:$A$546,$B37,'Raw IC'!$B$5:$B$546,1)=0,"",SUMIFS('Raw IC'!$H$5:$H$546,'Raw IC'!$A$5:$A$546,$B37,'Raw IC'!$B$5:$B$546,1))</x:f>
        <x:v>-0.24329628286343605</x:v>
      </x:c>
      <x:c r="F37" s="30" t="n">
        <x:f>IF(COUNTIFS('Raw IC'!$A$5:$A$546,$B37,'Raw IC'!$B$5:$B$546,5)=0,"",SUMIFS('Raw IC'!$F$5:$F$546,'Raw IC'!$A$5:$A$546,$B37,'Raw IC'!$B$5:$B$546,5))</x:f>
        <x:v>-0.04225570397810014</x:v>
      </x:c>
      <x:c r="G37" s="30" t="n">
        <x:f>IF(COUNTIFS('Raw IC'!$A$5:$A$546,$B37,'Raw IC'!$B$5:$B$546,5)=0,"",SUMIFS('Raw IC'!$H$5:$H$546,'Raw IC'!$A$5:$A$546,$B37,'Raw IC'!$B$5:$B$546,5))</x:f>
        <x:v>-0.36549863939589006</x:v>
      </x:c>
      <x:c r="H37" s="30" t="n">
        <x:f>IF(COUNTIFS('Raw IC'!$A$5:$A$546,$B37,'Raw IC'!$B$5:$B$546,10)=0,"",SUMIFS('Raw IC'!$F$5:$F$546,'Raw IC'!$A$5:$A$546,$B37,'Raw IC'!$B$5:$B$546,10))</x:f>
        <x:v>-0.04872778130626614</x:v>
      </x:c>
      <x:c r="I37" s="30" t="n">
        <x:f>IF(COUNTIFS('Raw IC'!$A$5:$A$546,$B37,'Raw IC'!$B$5:$B$546,10)=0,"",SUMIFS('Raw IC'!$H$5:$H$546,'Raw IC'!$A$5:$A$546,$B37,'Raw IC'!$B$5:$B$546,10))</x:f>
        <x:v>-0.4368184267770985</x:v>
      </x:c>
      <x:c r="J37" s="30" t="n">
        <x:f>IF(COUNTIFS('Raw IC'!$A$5:$A$546,$B37,'Raw IC'!$B$5:$B$546,20)=0,"",SUMIFS('Raw IC'!$F$5:$F$546,'Raw IC'!$A$5:$A$546,$B37,'Raw IC'!$B$5:$B$546,20))</x:f>
        <x:v>-0.05650258940319703</x:v>
      </x:c>
      <x:c r="K37" s="30" t="n">
        <x:f>IF(COUNTIFS('Raw IC'!$A$5:$A$546,$B37,'Raw IC'!$B$5:$B$546,20)=0,"",SUMIFS('Raw IC'!$H$5:$H$546,'Raw IC'!$A$5:$A$546,$B37,'Raw IC'!$B$5:$B$546,20))</x:f>
        <x:v>-0.49315971296782096</x:v>
      </x:c>
      <x:c r="L37" s="30" t="n">
        <x:f>IF(COUNT(I37,K37)&lt;2,"",AVERAGE(ABS(I37),ABS(K37)))</x:f>
        <x:v>0.4649890698724597</x:v>
      </x:c>
      <x:c r="M37" t="str">
        <x:f>IF(COUNT(H37,J37)&lt;2,"",IF(H37*J37&gt;=0,IF(H37&gt;=0,"positive","negative"),"mixed"))</x:f>
        <x:v>negative</x:v>
      </x:c>
      <x:c r="N37" s="74" t="n">
        <x:v>46210.41218387731</x:v>
      </x:c>
      <x:c r="O37" s="19" t="n">
        <x:v>8902245</x:v>
      </x:c>
      <x:c r="P37" t="str">
        <x:v>40355b29bce094aef0e99358bdfd4011b92e72a54440a67760de4afae4883c33</x:v>
      </x:c>
      <x:c r="Q37" t="str">
        <x:v>factor_report/gtja191_batch/gtja_069</x:v>
      </x:c>
    </x:row>
    <x:row r="38">
      <x:c r="A38" s="50" t="n">
        <x:f>IF($C38="ranked",1+COUNTIFS($C$5:$C$190,"ranked",$L$5:$L$190,"&gt;"&amp;$L38),"")</x:f>
        <x:v>34</x:v>
      </x:c>
      <x:c r="B38" t="str">
        <x:v>gtja_001</x:v>
      </x:c>
      <x:c r="C38" t="str">
        <x:v>ranked</x:v>
      </x:c>
      <x:c r="D38" s="30" t="str">
        <x:f>IF(COUNTIFS('Raw IC'!$A$5:$A$546,$B38,'Raw IC'!$B$5:$B$546,1)=0,"",SUMIFS('Raw IC'!$F$5:$F$546,'Raw IC'!$A$5:$A$546,$B38,'Raw IC'!$B$5:$B$546,1))</x:f>
      </x:c>
      <x:c r="E38" s="30" t="str">
        <x:f>IF(COUNTIFS('Raw IC'!$A$5:$A$546,$B38,'Raw IC'!$B$5:$B$546,1)=0,"",SUMIFS('Raw IC'!$H$5:$H$546,'Raw IC'!$A$5:$A$546,$B38,'Raw IC'!$B$5:$B$546,1))</x:f>
      </x:c>
      <x:c r="F38" s="30" t="str">
        <x:f>IF(COUNTIFS('Raw IC'!$A$5:$A$546,$B38,'Raw IC'!$B$5:$B$546,5)=0,"",SUMIFS('Raw IC'!$F$5:$F$546,'Raw IC'!$A$5:$A$546,$B38,'Raw IC'!$B$5:$B$546,5))</x:f>
      </x:c>
      <x:c r="G38" s="30" t="str">
        <x:f>IF(COUNTIFS('Raw IC'!$A$5:$A$546,$B38,'Raw IC'!$B$5:$B$546,5)=0,"",SUMIFS('Raw IC'!$H$5:$H$546,'Raw IC'!$A$5:$A$546,$B38,'Raw IC'!$B$5:$B$546,5))</x:f>
      </x:c>
      <x:c r="H38" s="30" t="n">
        <x:f>IF(COUNTIFS('Raw IC'!$A$5:$A$546,$B38,'Raw IC'!$B$5:$B$546,10)=0,"",SUMIFS('Raw IC'!$F$5:$F$546,'Raw IC'!$A$5:$A$546,$B38,'Raw IC'!$B$5:$B$546,10))</x:f>
        <x:v>0.02543854179141846</x:v>
      </x:c>
      <x:c r="I38" s="30" t="n">
        <x:f>IF(COUNTIFS('Raw IC'!$A$5:$A$546,$B38,'Raw IC'!$B$5:$B$546,10)=0,"",SUMIFS('Raw IC'!$H$5:$H$546,'Raw IC'!$A$5:$A$546,$B38,'Raw IC'!$B$5:$B$546,10))</x:f>
        <x:v>0.44235788528792297</x:v>
      </x:c>
      <x:c r="J38" s="30" t="n">
        <x:f>IF(COUNTIFS('Raw IC'!$A$5:$A$546,$B38,'Raw IC'!$B$5:$B$546,20)=0,"",SUMIFS('Raw IC'!$F$5:$F$546,'Raw IC'!$A$5:$A$546,$B38,'Raw IC'!$B$5:$B$546,20))</x:f>
        <x:v>0.027015385108046932</x:v>
      </x:c>
      <x:c r="K38" s="30" t="n">
        <x:f>IF(COUNTIFS('Raw IC'!$A$5:$A$546,$B38,'Raw IC'!$B$5:$B$546,20)=0,"",SUMIFS('Raw IC'!$H$5:$H$546,'Raw IC'!$A$5:$A$546,$B38,'Raw IC'!$B$5:$B$546,20))</x:f>
        <x:v>0.46521765874695975</x:v>
      </x:c>
      <x:c r="L38" s="30" t="n">
        <x:f>IF(COUNT(I38,K38)&lt;2,"",AVERAGE(ABS(I38),ABS(K38)))</x:f>
        <x:v>0.45378777201744136</x:v>
      </x:c>
      <x:c r="M38" t="str">
        <x:f>IF(COUNT(H38,J38)&lt;2,"",IF(H38*J38&gt;=0,IF(H38&gt;=0,"positive","negative"),"mixed"))</x:f>
        <x:v>positive</x:v>
      </x:c>
      <x:c r="N38" s="74" t="n">
        <x:v>46211.15197799769</x:v>
      </x:c>
      <x:c r="O38" s="19" t="n">
        <x:v>8902245</x:v>
      </x:c>
      <x:c r="P38" t="str">
        <x:v>8f7e606554926462248cbcc654181861438ca768a0063f6b317223ede37d16fb</x:v>
      </x:c>
      <x:c r="Q38" t="str">
        <x:v>factor_report/gtja191_batch/gtja_001</x:v>
      </x:c>
    </x:row>
    <x:row r="39">
      <x:c r="A39" s="50" t="n">
        <x:f>IF($C39="ranked",1+COUNTIFS($C$5:$C$190,"ranked",$L$5:$L$190,"&gt;"&amp;$L39),"")</x:f>
        <x:v>35</x:v>
      </x:c>
      <x:c r="B39" t="str">
        <x:v>gtja_167</x:v>
      </x:c>
      <x:c r="C39" t="str">
        <x:v>ranked</x:v>
      </x:c>
      <x:c r="D39" s="30" t="n">
        <x:f>IF(COUNTIFS('Raw IC'!$A$5:$A$546,$B39,'Raw IC'!$B$5:$B$546,1)=0,"",SUMIFS('Raw IC'!$F$5:$F$546,'Raw IC'!$A$5:$A$546,$B39,'Raw IC'!$B$5:$B$546,1))</x:f>
        <x:v>-0.043729670941198354</x:v>
      </x:c>
      <x:c r="E39" s="30" t="n">
        <x:f>IF(COUNTIFS('Raw IC'!$A$5:$A$546,$B39,'Raw IC'!$B$5:$B$546,1)=0,"",SUMIFS('Raw IC'!$H$5:$H$546,'Raw IC'!$A$5:$A$546,$B39,'Raw IC'!$B$5:$B$546,1))</x:f>
        <x:v>-0.25120547336672994</x:v>
      </x:c>
      <x:c r="F39" s="30" t="n">
        <x:f>IF(COUNTIFS('Raw IC'!$A$5:$A$546,$B39,'Raw IC'!$B$5:$B$546,5)=0,"",SUMIFS('Raw IC'!$F$5:$F$546,'Raw IC'!$A$5:$A$546,$B39,'Raw IC'!$B$5:$B$546,5))</x:f>
        <x:v>-0.06424370984943072</x:v>
      </x:c>
      <x:c r="G39" s="30" t="n">
        <x:f>IF(COUNTIFS('Raw IC'!$A$5:$A$546,$B39,'Raw IC'!$B$5:$B$546,5)=0,"",SUMIFS('Raw IC'!$H$5:$H$546,'Raw IC'!$A$5:$A$546,$B39,'Raw IC'!$B$5:$B$546,5))</x:f>
        <x:v>-0.366384081713267</x:v>
      </x:c>
      <x:c r="H39" s="30" t="n">
        <x:f>IF(COUNTIFS('Raw IC'!$A$5:$A$546,$B39,'Raw IC'!$B$5:$B$546,10)=0,"",SUMIFS('Raw IC'!$F$5:$F$546,'Raw IC'!$A$5:$A$546,$B39,'Raw IC'!$B$5:$B$546,10))</x:f>
        <x:v>-0.07656174607108787</x:v>
      </x:c>
      <x:c r="I39" s="30" t="n">
        <x:f>IF(COUNTIFS('Raw IC'!$A$5:$A$546,$B39,'Raw IC'!$B$5:$B$546,10)=0,"",SUMIFS('Raw IC'!$H$5:$H$546,'Raw IC'!$A$5:$A$546,$B39,'Raw IC'!$B$5:$B$546,10))</x:f>
        <x:v>-0.4237974151529709</x:v>
      </x:c>
      <x:c r="J39" s="30" t="n">
        <x:f>IF(COUNTIFS('Raw IC'!$A$5:$A$546,$B39,'Raw IC'!$B$5:$B$546,20)=0,"",SUMIFS('Raw IC'!$F$5:$F$546,'Raw IC'!$A$5:$A$546,$B39,'Raw IC'!$B$5:$B$546,20))</x:f>
        <x:v>-0.09096780095381629</x:v>
      </x:c>
      <x:c r="K39" s="30" t="n">
        <x:f>IF(COUNTIFS('Raw IC'!$A$5:$A$546,$B39,'Raw IC'!$B$5:$B$546,20)=0,"",SUMIFS('Raw IC'!$H$5:$H$546,'Raw IC'!$A$5:$A$546,$B39,'Raw IC'!$B$5:$B$546,20))</x:f>
        <x:v>-0.48293399902461503</x:v>
      </x:c>
      <x:c r="L39" s="30" t="n">
        <x:f>IF(COUNT(I39,K39)&lt;2,"",AVERAGE(ABS(I39),ABS(K39)))</x:f>
        <x:v>0.453365707088793</x:v>
      </x:c>
      <x:c r="M39" t="str">
        <x:f>IF(COUNT(H39,J39)&lt;2,"",IF(H39*J39&gt;=0,IF(H39&gt;=0,"positive","negative"),"mixed"))</x:f>
        <x:v>negative</x:v>
      </x:c>
      <x:c r="N39" s="74" t="n">
        <x:v>46210.888780636575</x:v>
      </x:c>
      <x:c r="O39" s="19" t="n">
        <x:v>8902245</x:v>
      </x:c>
      <x:c r="P39" t="str">
        <x:v>40355b29bce094aef0e99358bdfd4011b92e72a54440a67760de4afae4883c33</x:v>
      </x:c>
      <x:c r="Q39" t="str">
        <x:v>factor_report/gtja191_batch/gtja_167</x:v>
      </x:c>
    </x:row>
    <x:row r="40">
      <x:c r="A40" s="50" t="n">
        <x:f>IF($C40="ranked",1+COUNTIFS($C$5:$C$190,"ranked",$L$5:$L$190,"&gt;"&amp;$L40),"")</x:f>
        <x:v>36</x:v>
      </x:c>
      <x:c r="B40" t="str">
        <x:v>gtja_088</x:v>
      </x:c>
      <x:c r="C40" t="str">
        <x:v>ranked</x:v>
      </x:c>
      <x:c r="D40" s="30" t="n">
        <x:f>IF(COUNTIFS('Raw IC'!$A$5:$A$546,$B40,'Raw IC'!$B$5:$B$546,1)=0,"",SUMIFS('Raw IC'!$F$5:$F$546,'Raw IC'!$A$5:$A$546,$B40,'Raw IC'!$B$5:$B$546,1))</x:f>
        <x:v>-0.03630489752719529</x:v>
      </x:c>
      <x:c r="E40" s="30" t="n">
        <x:f>IF(COUNTIFS('Raw IC'!$A$5:$A$546,$B40,'Raw IC'!$B$5:$B$546,1)=0,"",SUMIFS('Raw IC'!$H$5:$H$546,'Raw IC'!$A$5:$A$546,$B40,'Raw IC'!$B$5:$B$546,1))</x:f>
        <x:v>-0.23411091476838108</x:v>
      </x:c>
      <x:c r="F40" s="30" t="n">
        <x:f>IF(COUNTIFS('Raw IC'!$A$5:$A$546,$B40,'Raw IC'!$B$5:$B$546,5)=0,"",SUMIFS('Raw IC'!$F$5:$F$546,'Raw IC'!$A$5:$A$546,$B40,'Raw IC'!$B$5:$B$546,5))</x:f>
        <x:v>-0.05050240146215423</x:v>
      </x:c>
      <x:c r="G40" s="30" t="n">
        <x:f>IF(COUNTIFS('Raw IC'!$A$5:$A$546,$B40,'Raw IC'!$B$5:$B$546,5)=0,"",SUMIFS('Raw IC'!$H$5:$H$546,'Raw IC'!$A$5:$A$546,$B40,'Raw IC'!$B$5:$B$546,5))</x:f>
        <x:v>-0.3487184042966687</x:v>
      </x:c>
      <x:c r="H40" s="30" t="n">
        <x:f>IF(COUNTIFS('Raw IC'!$A$5:$A$546,$B40,'Raw IC'!$B$5:$B$546,10)=0,"",SUMIFS('Raw IC'!$F$5:$F$546,'Raw IC'!$A$5:$A$546,$B40,'Raw IC'!$B$5:$B$546,10))</x:f>
        <x:v>-0.058667124438381554</x:v>
      </x:c>
      <x:c r="I40" s="30" t="n">
        <x:f>IF(COUNTIFS('Raw IC'!$A$5:$A$546,$B40,'Raw IC'!$B$5:$B$546,10)=0,"",SUMIFS('Raw IC'!$H$5:$H$546,'Raw IC'!$A$5:$A$546,$B40,'Raw IC'!$B$5:$B$546,10))</x:f>
        <x:v>-0.4251220604302263</x:v>
      </x:c>
      <x:c r="J40" s="30" t="n">
        <x:f>IF(COUNTIFS('Raw IC'!$A$5:$A$546,$B40,'Raw IC'!$B$5:$B$546,20)=0,"",SUMIFS('Raw IC'!$F$5:$F$546,'Raw IC'!$A$5:$A$546,$B40,'Raw IC'!$B$5:$B$546,20))</x:f>
        <x:v>-0.06656092574999298</x:v>
      </x:c>
      <x:c r="K40" s="30" t="n">
        <x:f>IF(COUNTIFS('Raw IC'!$A$5:$A$546,$B40,'Raw IC'!$B$5:$B$546,20)=0,"",SUMIFS('Raw IC'!$H$5:$H$546,'Raw IC'!$A$5:$A$546,$B40,'Raw IC'!$B$5:$B$546,20))</x:f>
        <x:v>-0.480950799734267</x:v>
      </x:c>
      <x:c r="L40" s="30" t="n">
        <x:f>IF(COUNT(I40,K40)&lt;2,"",AVERAGE(ABS(I40),ABS(K40)))</x:f>
        <x:v>0.4530364300822467</x:v>
      </x:c>
      <x:c r="M40" t="str">
        <x:f>IF(COUNT(H40,J40)&lt;2,"",IF(H40*J40&gt;=0,IF(H40&gt;=0,"positive","negative"),"mixed"))</x:f>
        <x:v>negative</x:v>
      </x:c>
      <x:c r="N40" s="74" t="n">
        <x:v>46210.51801505787</x:v>
      </x:c>
      <x:c r="O40" s="19" t="n">
        <x:v>8902245</x:v>
      </x:c>
      <x:c r="P40" t="str">
        <x:v>40355b29bce094aef0e99358bdfd4011b92e72a54440a67760de4afae4883c33</x:v>
      </x:c>
      <x:c r="Q40" t="str">
        <x:v>factor_report/gtja191_batch/gtja_088</x:v>
      </x:c>
    </x:row>
    <x:row r="41">
      <x:c r="A41" s="50" t="n">
        <x:f>IF($C41="ranked",1+COUNTIFS($C$5:$C$190,"ranked",$L$5:$L$190,"&gt;"&amp;$L41),"")</x:f>
        <x:v>37</x:v>
      </x:c>
      <x:c r="B41" t="str">
        <x:v>gtja_040</x:v>
      </x:c>
      <x:c r="C41" t="str">
        <x:v>ranked</x:v>
      </x:c>
      <x:c r="D41" s="30" t="n">
        <x:f>IF(COUNTIFS('Raw IC'!$A$5:$A$546,$B41,'Raw IC'!$B$5:$B$546,1)=0,"",SUMIFS('Raw IC'!$F$5:$F$546,'Raw IC'!$A$5:$A$546,$B41,'Raw IC'!$B$5:$B$546,1))</x:f>
        <x:v>-0.02654794058961285</x:v>
      </x:c>
      <x:c r="E41" s="30" t="n">
        <x:f>IF(COUNTIFS('Raw IC'!$A$5:$A$546,$B41,'Raw IC'!$B$5:$B$546,1)=0,"",SUMIFS('Raw IC'!$H$5:$H$546,'Raw IC'!$A$5:$A$546,$B41,'Raw IC'!$B$5:$B$546,1))</x:f>
        <x:v>-0.23065915734049827</x:v>
      </x:c>
      <x:c r="F41" s="30" t="n">
        <x:f>IF(COUNTIFS('Raw IC'!$A$5:$A$546,$B41,'Raw IC'!$B$5:$B$546,5)=0,"",SUMIFS('Raw IC'!$F$5:$F$546,'Raw IC'!$A$5:$A$546,$B41,'Raw IC'!$B$5:$B$546,5))</x:f>
        <x:v>-0.03642274414130226</x:v>
      </x:c>
      <x:c r="G41" s="30" t="n">
        <x:f>IF(COUNTIFS('Raw IC'!$A$5:$A$546,$B41,'Raw IC'!$B$5:$B$546,5)=0,"",SUMIFS('Raw IC'!$H$5:$H$546,'Raw IC'!$A$5:$A$546,$B41,'Raw IC'!$B$5:$B$546,5))</x:f>
        <x:v>-0.3449069077194669</x:v>
      </x:c>
      <x:c r="H41" s="30" t="n">
        <x:f>IF(COUNTIFS('Raw IC'!$A$5:$A$546,$B41,'Raw IC'!$B$5:$B$546,10)=0,"",SUMIFS('Raw IC'!$F$5:$F$546,'Raw IC'!$A$5:$A$546,$B41,'Raw IC'!$B$5:$B$546,10))</x:f>
        <x:v>-0.04229069341419118</x:v>
      </x:c>
      <x:c r="I41" s="30" t="n">
        <x:f>IF(COUNTIFS('Raw IC'!$A$5:$A$546,$B41,'Raw IC'!$B$5:$B$546,10)=0,"",SUMIFS('Raw IC'!$H$5:$H$546,'Raw IC'!$A$5:$A$546,$B41,'Raw IC'!$B$5:$B$546,10))</x:f>
        <x:v>-0.41225856711119596</x:v>
      </x:c>
      <x:c r="J41" s="30" t="n">
        <x:f>IF(COUNTIFS('Raw IC'!$A$5:$A$546,$B41,'Raw IC'!$B$5:$B$546,20)=0,"",SUMIFS('Raw IC'!$F$5:$F$546,'Raw IC'!$A$5:$A$546,$B41,'Raw IC'!$B$5:$B$546,20))</x:f>
        <x:v>-0.05245285807447165</x:v>
      </x:c>
      <x:c r="K41" s="30" t="n">
        <x:f>IF(COUNTIFS('Raw IC'!$A$5:$A$546,$B41,'Raw IC'!$B$5:$B$546,20)=0,"",SUMIFS('Raw IC'!$H$5:$H$546,'Raw IC'!$A$5:$A$546,$B41,'Raw IC'!$B$5:$B$546,20))</x:f>
        <x:v>-0.48654350250588746</x:v>
      </x:c>
      <x:c r="L41" s="30" t="n">
        <x:f>IF(COUNT(I41,K41)&lt;2,"",AVERAGE(ABS(I41),ABS(K41)))</x:f>
        <x:v>0.4494010348085417</x:v>
      </x:c>
      <x:c r="M41" t="str">
        <x:f>IF(COUNT(H41,J41)&lt;2,"",IF(H41*J41&gt;=0,IF(H41&gt;=0,"positive","negative"),"mixed"))</x:f>
        <x:v>negative</x:v>
      </x:c>
      <x:c r="N41" s="74" t="n">
        <x:v>46210.279919872686</x:v>
      </x:c>
      <x:c r="O41" s="19" t="n">
        <x:v>8902245</x:v>
      </x:c>
      <x:c r="P41" t="str">
        <x:v>40355b29bce094aef0e99358bdfd4011b92e72a54440a67760de4afae4883c33</x:v>
      </x:c>
      <x:c r="Q41" t="str">
        <x:v>factor_report/gtja191_batch/gtja_040</x:v>
      </x:c>
    </x:row>
    <x:row r="42">
      <x:c r="A42" s="50" t="n">
        <x:f>IF($C42="ranked",1+COUNTIFS($C$5:$C$190,"ranked",$L$5:$L$190,"&gt;"&amp;$L42),"")</x:f>
        <x:v>38</x:v>
      </x:c>
      <x:c r="B42" t="str">
        <x:v>gtja_077</x:v>
      </x:c>
      <x:c r="C42" t="str">
        <x:v>ranked</x:v>
      </x:c>
      <x:c r="D42" s="30" t="str">
        <x:f>IF(COUNTIFS('Raw IC'!$A$5:$A$546,$B42,'Raw IC'!$B$5:$B$546,1)=0,"",SUMIFS('Raw IC'!$F$5:$F$546,'Raw IC'!$A$5:$A$546,$B42,'Raw IC'!$B$5:$B$546,1))</x:f>
      </x:c>
      <x:c r="E42" s="30" t="str">
        <x:f>IF(COUNTIFS('Raw IC'!$A$5:$A$546,$B42,'Raw IC'!$B$5:$B$546,1)=0,"",SUMIFS('Raw IC'!$H$5:$H$546,'Raw IC'!$A$5:$A$546,$B42,'Raw IC'!$B$5:$B$546,1))</x:f>
      </x:c>
      <x:c r="F42" s="30" t="str">
        <x:f>IF(COUNTIFS('Raw IC'!$A$5:$A$546,$B42,'Raw IC'!$B$5:$B$546,5)=0,"",SUMIFS('Raw IC'!$F$5:$F$546,'Raw IC'!$A$5:$A$546,$B42,'Raw IC'!$B$5:$B$546,5))</x:f>
      </x:c>
      <x:c r="G42" s="30" t="str">
        <x:f>IF(COUNTIFS('Raw IC'!$A$5:$A$546,$B42,'Raw IC'!$B$5:$B$546,5)=0,"",SUMIFS('Raw IC'!$H$5:$H$546,'Raw IC'!$A$5:$A$546,$B42,'Raw IC'!$B$5:$B$546,5))</x:f>
      </x:c>
      <x:c r="H42" s="30" t="n">
        <x:f>IF(COUNTIFS('Raw IC'!$A$5:$A$546,$B42,'Raw IC'!$B$5:$B$546,10)=0,"",SUMIFS('Raw IC'!$F$5:$F$546,'Raw IC'!$A$5:$A$546,$B42,'Raw IC'!$B$5:$B$546,10))</x:f>
        <x:v>0.035037501642073206</x:v>
      </x:c>
      <x:c r="I42" s="30" t="n">
        <x:f>IF(COUNTIFS('Raw IC'!$A$5:$A$546,$B42,'Raw IC'!$B$5:$B$546,10)=0,"",SUMIFS('Raw IC'!$H$5:$H$546,'Raw IC'!$A$5:$A$546,$B42,'Raw IC'!$B$5:$B$546,10))</x:f>
        <x:v>0.3940879656657393</x:v>
      </x:c>
      <x:c r="J42" s="30" t="n">
        <x:f>IF(COUNTIFS('Raw IC'!$A$5:$A$546,$B42,'Raw IC'!$B$5:$B$546,20)=0,"",SUMIFS('Raw IC'!$F$5:$F$546,'Raw IC'!$A$5:$A$546,$B42,'Raw IC'!$B$5:$B$546,20))</x:f>
        <x:v>0.04287942113184183</x:v>
      </x:c>
      <x:c r="K42" s="30" t="n">
        <x:f>IF(COUNTIFS('Raw IC'!$A$5:$A$546,$B42,'Raw IC'!$B$5:$B$546,20)=0,"",SUMIFS('Raw IC'!$H$5:$H$546,'Raw IC'!$A$5:$A$546,$B42,'Raw IC'!$B$5:$B$546,20))</x:f>
        <x:v>0.4877120918586311</x:v>
      </x:c>
      <x:c r="L42" s="30" t="n">
        <x:f>IF(COUNT(I42,K42)&lt;2,"",AVERAGE(ABS(I42),ABS(K42)))</x:f>
        <x:v>0.4409000287621852</x:v>
      </x:c>
      <x:c r="M42" t="str">
        <x:f>IF(COUNT(H42,J42)&lt;2,"",IF(H42*J42&gt;=0,IF(H42&gt;=0,"positive","negative"),"mixed"))</x:f>
        <x:v>positive</x:v>
      </x:c>
      <x:c r="N42" s="74" t="n">
        <x:v>46211.309369814815</x:v>
      </x:c>
      <x:c r="O42" s="19" t="n">
        <x:v>8902245</x:v>
      </x:c>
      <x:c r="P42" t="str">
        <x:v>8f7e606554926462248cbcc654181861438ca768a0063f6b317223ede37d16fb</x:v>
      </x:c>
      <x:c r="Q42" t="str">
        <x:v>factor_report/gtja191_batch/gtja_077</x:v>
      </x:c>
    </x:row>
    <x:row r="43">
      <x:c r="A43" s="50" t="n">
        <x:f>IF($C43="ranked",1+COUNTIFS($C$5:$C$190,"ranked",$L$5:$L$190,"&gt;"&amp;$L43),"")</x:f>
        <x:v>39</x:v>
      </x:c>
      <x:c r="B43" t="str">
        <x:v>gtja_157</x:v>
      </x:c>
      <x:c r="C43" t="str">
        <x:v>ranked</x:v>
      </x:c>
      <x:c r="D43" s="30" t="str">
        <x:f>IF(COUNTIFS('Raw IC'!$A$5:$A$546,$B43,'Raw IC'!$B$5:$B$546,1)=0,"",SUMIFS('Raw IC'!$F$5:$F$546,'Raw IC'!$A$5:$A$546,$B43,'Raw IC'!$B$5:$B$546,1))</x:f>
      </x:c>
      <x:c r="E43" s="30" t="str">
        <x:f>IF(COUNTIFS('Raw IC'!$A$5:$A$546,$B43,'Raw IC'!$B$5:$B$546,1)=0,"",SUMIFS('Raw IC'!$H$5:$H$546,'Raw IC'!$A$5:$A$546,$B43,'Raw IC'!$B$5:$B$546,1))</x:f>
      </x:c>
      <x:c r="F43" s="30" t="str">
        <x:f>IF(COUNTIFS('Raw IC'!$A$5:$A$546,$B43,'Raw IC'!$B$5:$B$546,5)=0,"",SUMIFS('Raw IC'!$F$5:$F$546,'Raw IC'!$A$5:$A$546,$B43,'Raw IC'!$B$5:$B$546,5))</x:f>
      </x:c>
      <x:c r="G43" s="30" t="str">
        <x:f>IF(COUNTIFS('Raw IC'!$A$5:$A$546,$B43,'Raw IC'!$B$5:$B$546,5)=0,"",SUMIFS('Raw IC'!$H$5:$H$546,'Raw IC'!$A$5:$A$546,$B43,'Raw IC'!$B$5:$B$546,5))</x:f>
      </x:c>
      <x:c r="H43" s="30" t="n">
        <x:f>IF(COUNTIFS('Raw IC'!$A$5:$A$546,$B43,'Raw IC'!$B$5:$B$546,10)=0,"",SUMIFS('Raw IC'!$F$5:$F$546,'Raw IC'!$A$5:$A$546,$B43,'Raw IC'!$B$5:$B$546,10))</x:f>
        <x:v>0.044669140138907784</x:v>
      </x:c>
      <x:c r="I43" s="30" t="n">
        <x:f>IF(COUNTIFS('Raw IC'!$A$5:$A$546,$B43,'Raw IC'!$B$5:$B$546,10)=0,"",SUMIFS('Raw IC'!$H$5:$H$546,'Raw IC'!$A$5:$A$546,$B43,'Raw IC'!$B$5:$B$546,10))</x:f>
        <x:v>0.4132629502759769</x:v>
      </x:c>
      <x:c r="J43" s="30" t="n">
        <x:f>IF(COUNTIFS('Raw IC'!$A$5:$A$546,$B43,'Raw IC'!$B$5:$B$546,20)=0,"",SUMIFS('Raw IC'!$F$5:$F$546,'Raw IC'!$A$5:$A$546,$B43,'Raw IC'!$B$5:$B$546,20))</x:f>
        <x:v>0.05137294362528669</x:v>
      </x:c>
      <x:c r="K43" s="30" t="n">
        <x:f>IF(COUNTIFS('Raw IC'!$A$5:$A$546,$B43,'Raw IC'!$B$5:$B$546,20)=0,"",SUMIFS('Raw IC'!$H$5:$H$546,'Raw IC'!$A$5:$A$546,$B43,'Raw IC'!$B$5:$B$546,20))</x:f>
        <x:v>0.464109202879082</x:v>
      </x:c>
      <x:c r="L43" s="30" t="n">
        <x:f>IF(COUNT(I43,K43)&lt;2,"",AVERAGE(ABS(I43),ABS(K43)))</x:f>
        <x:v>0.43868607657752945</x:v>
      </x:c>
      <x:c r="M43" t="str">
        <x:f>IF(COUNT(H43,J43)&lt;2,"",IF(H43*J43&gt;=0,IF(H43&gt;=0,"positive","negative"),"mixed"))</x:f>
        <x:v>positive</x:v>
      </x:c>
      <x:c r="N43" s="74" t="n">
        <x:v>46211.50636057871</x:v>
      </x:c>
      <x:c r="O43" s="19" t="n">
        <x:v>8902245</x:v>
      </x:c>
      <x:c r="P43" t="str">
        <x:v>8f7e606554926462248cbcc654181861438ca768a0063f6b317223ede37d16fb</x:v>
      </x:c>
      <x:c r="Q43" t="str">
        <x:v>factor_report/gtja191_batch/gtja_157</x:v>
      </x:c>
    </x:row>
    <x:row r="44">
      <x:c r="A44" s="50" t="n">
        <x:f>IF($C44="ranked",1+COUNTIFS($C$5:$C$190,"ranked",$L$5:$L$190,"&gt;"&amp;$L44),"")</x:f>
        <x:v>40</x:v>
      </x:c>
      <x:c r="B44" t="str">
        <x:v>gtja_121</x:v>
      </x:c>
      <x:c r="C44" t="str">
        <x:v>ranked</x:v>
      </x:c>
      <x:c r="D44" s="30" t="str">
        <x:f>IF(COUNTIFS('Raw IC'!$A$5:$A$546,$B44,'Raw IC'!$B$5:$B$546,1)=0,"",SUMIFS('Raw IC'!$F$5:$F$546,'Raw IC'!$A$5:$A$546,$B44,'Raw IC'!$B$5:$B$546,1))</x:f>
      </x:c>
      <x:c r="E44" s="30" t="str">
        <x:f>IF(COUNTIFS('Raw IC'!$A$5:$A$546,$B44,'Raw IC'!$B$5:$B$546,1)=0,"",SUMIFS('Raw IC'!$H$5:$H$546,'Raw IC'!$A$5:$A$546,$B44,'Raw IC'!$B$5:$B$546,1))</x:f>
      </x:c>
      <x:c r="F44" s="30" t="str">
        <x:f>IF(COUNTIFS('Raw IC'!$A$5:$A$546,$B44,'Raw IC'!$B$5:$B$546,5)=0,"",SUMIFS('Raw IC'!$F$5:$F$546,'Raw IC'!$A$5:$A$546,$B44,'Raw IC'!$B$5:$B$546,5))</x:f>
      </x:c>
      <x:c r="G44" s="30" t="str">
        <x:f>IF(COUNTIFS('Raw IC'!$A$5:$A$546,$B44,'Raw IC'!$B$5:$B$546,5)=0,"",SUMIFS('Raw IC'!$H$5:$H$546,'Raw IC'!$A$5:$A$546,$B44,'Raw IC'!$B$5:$B$546,5))</x:f>
      </x:c>
      <x:c r="H44" s="30" t="n">
        <x:f>IF(COUNTIFS('Raw IC'!$A$5:$A$546,$B44,'Raw IC'!$B$5:$B$546,10)=0,"",SUMIFS('Raw IC'!$F$5:$F$546,'Raw IC'!$A$5:$A$546,$B44,'Raw IC'!$B$5:$B$546,10))</x:f>
        <x:v>0.052749039392317676</x:v>
      </x:c>
      <x:c r="I44" s="30" t="n">
        <x:f>IF(COUNTIFS('Raw IC'!$A$5:$A$546,$B44,'Raw IC'!$B$5:$B$546,10)=0,"",SUMIFS('Raw IC'!$H$5:$H$546,'Raw IC'!$A$5:$A$546,$B44,'Raw IC'!$B$5:$B$546,10))</x:f>
        <x:v>0.40492080295990485</x:v>
      </x:c>
      <x:c r="J44" s="30" t="n">
        <x:f>IF(COUNTIFS('Raw IC'!$A$5:$A$546,$B44,'Raw IC'!$B$5:$B$546,20)=0,"",SUMIFS('Raw IC'!$F$5:$F$546,'Raw IC'!$A$5:$A$546,$B44,'Raw IC'!$B$5:$B$546,20))</x:f>
        <x:v>0.06405034880037078</x:v>
      </x:c>
      <x:c r="K44" s="30" t="n">
        <x:f>IF(COUNTIFS('Raw IC'!$A$5:$A$546,$B44,'Raw IC'!$B$5:$B$546,20)=0,"",SUMIFS('Raw IC'!$H$5:$H$546,'Raw IC'!$A$5:$A$546,$B44,'Raw IC'!$B$5:$B$546,20))</x:f>
        <x:v>0.4650515226821817</x:v>
      </x:c>
      <x:c r="L44" s="30" t="n">
        <x:f>IF(COUNT(I44,K44)&lt;2,"",AVERAGE(ABS(I44),ABS(K44)))</x:f>
        <x:v>0.4349861628210433</x:v>
      </x:c>
      <x:c r="M44" t="str">
        <x:f>IF(COUNT(H44,J44)&lt;2,"",IF(H44*J44&gt;=0,IF(H44&gt;=0,"positive","negative"),"mixed"))</x:f>
        <x:v>positive</x:v>
      </x:c>
      <x:c r="N44" s="74" t="n">
        <x:v>46211.40481090278</x:v>
      </x:c>
      <x:c r="O44" s="19" t="n">
        <x:v>8902245</x:v>
      </x:c>
      <x:c r="P44" t="str">
        <x:v>8f7e606554926462248cbcc654181861438ca768a0063f6b317223ede37d16fb</x:v>
      </x:c>
      <x:c r="Q44" t="str">
        <x:v>factor_report/gtja191_batch/gtja_121</x:v>
      </x:c>
    </x:row>
    <x:row r="45">
      <x:c r="A45" s="50" t="n">
        <x:f>IF($C45="ranked",1+COUNTIFS($C$5:$C$190,"ranked",$L$5:$L$190,"&gt;"&amp;$L45),"")</x:f>
        <x:v>41</x:v>
      </x:c>
      <x:c r="B45" t="str">
        <x:v>gtja_106</x:v>
      </x:c>
      <x:c r="C45" t="str">
        <x:v>ranked</x:v>
      </x:c>
      <x:c r="D45" s="30" t="n">
        <x:f>IF(COUNTIFS('Raw IC'!$A$5:$A$546,$B45,'Raw IC'!$B$5:$B$546,1)=0,"",SUMIFS('Raw IC'!$F$5:$F$546,'Raw IC'!$A$5:$A$546,$B45,'Raw IC'!$B$5:$B$546,1))</x:f>
        <x:v>-0.03326993748448418</x:v>
      </x:c>
      <x:c r="E45" s="30" t="n">
        <x:f>IF(COUNTIFS('Raw IC'!$A$5:$A$546,$B45,'Raw IC'!$B$5:$B$546,1)=0,"",SUMIFS('Raw IC'!$H$5:$H$546,'Raw IC'!$A$5:$A$546,$B45,'Raw IC'!$B$5:$B$546,1))</x:f>
        <x:v>-0.2232141215721768</x:v>
      </x:c>
      <x:c r="F45" s="30" t="n">
        <x:f>IF(COUNTIFS('Raw IC'!$A$5:$A$546,$B45,'Raw IC'!$B$5:$B$546,5)=0,"",SUMIFS('Raw IC'!$F$5:$F$546,'Raw IC'!$A$5:$A$546,$B45,'Raw IC'!$B$5:$B$546,5))</x:f>
        <x:v>-0.04773475370395385</x:v>
      </x:c>
      <x:c r="G45" s="30" t="n">
        <x:f>IF(COUNTIFS('Raw IC'!$A$5:$A$546,$B45,'Raw IC'!$B$5:$B$546,5)=0,"",SUMIFS('Raw IC'!$H$5:$H$546,'Raw IC'!$A$5:$A$546,$B45,'Raw IC'!$B$5:$B$546,5))</x:f>
        <x:v>-0.342025461868385</x:v>
      </x:c>
      <x:c r="H45" s="30" t="n">
        <x:f>IF(COUNTIFS('Raw IC'!$A$5:$A$546,$B45,'Raw IC'!$B$5:$B$546,10)=0,"",SUMIFS('Raw IC'!$F$5:$F$546,'Raw IC'!$A$5:$A$546,$B45,'Raw IC'!$B$5:$B$546,10))</x:f>
        <x:v>-0.05564072753484768</x:v>
      </x:c>
      <x:c r="I45" s="30" t="n">
        <x:f>IF(COUNTIFS('Raw IC'!$A$5:$A$546,$B45,'Raw IC'!$B$5:$B$546,10)=0,"",SUMIFS('Raw IC'!$H$5:$H$546,'Raw IC'!$A$5:$A$546,$B45,'Raw IC'!$B$5:$B$546,10))</x:f>
        <x:v>-0.4152075045561416</x:v>
      </x:c>
      <x:c r="J45" s="30" t="n">
        <x:f>IF(COUNTIFS('Raw IC'!$A$5:$A$546,$B45,'Raw IC'!$B$5:$B$546,20)=0,"",SUMIFS('Raw IC'!$F$5:$F$546,'Raw IC'!$A$5:$A$546,$B45,'Raw IC'!$B$5:$B$546,20))</x:f>
        <x:v>-0.061357020390763045</x:v>
      </x:c>
      <x:c r="K45" s="30" t="n">
        <x:f>IF(COUNTIFS('Raw IC'!$A$5:$A$546,$B45,'Raw IC'!$B$5:$B$546,20)=0,"",SUMIFS('Raw IC'!$H$5:$H$546,'Raw IC'!$A$5:$A$546,$B45,'Raw IC'!$B$5:$B$546,20))</x:f>
        <x:v>-0.4539385289090602</x:v>
      </x:c>
      <x:c r="L45" s="30" t="n">
        <x:f>IF(COUNT(I45,K45)&lt;2,"",AVERAGE(ABS(I45),ABS(K45)))</x:f>
        <x:v>0.4345730167326009</x:v>
      </x:c>
      <x:c r="M45" t="str">
        <x:f>IF(COUNT(H45,J45)&lt;2,"",IF(H45*J45&gt;=0,IF(H45&gt;=0,"positive","negative"),"mixed"))</x:f>
        <x:v>negative</x:v>
      </x:c>
      <x:c r="N45" s="74" t="n">
        <x:v>46210.59962833333</x:v>
      </x:c>
      <x:c r="O45" s="19" t="n">
        <x:v>8902245</x:v>
      </x:c>
      <x:c r="P45" t="str">
        <x:v>40355b29bce094aef0e99358bdfd4011b92e72a54440a67760de4afae4883c33</x:v>
      </x:c>
      <x:c r="Q45" t="str">
        <x:v>factor_report/gtja191_batch/gtja_106</x:v>
      </x:c>
    </x:row>
    <x:row r="46">
      <x:c r="A46" s="50" t="n">
        <x:f>IF($C46="ranked",1+COUNTIFS($C$5:$C$190,"ranked",$L$5:$L$190,"&gt;"&amp;$L46),"")</x:f>
        <x:v>42</x:v>
      </x:c>
      <x:c r="B46" t="str">
        <x:v>gtja_055</x:v>
      </x:c>
      <x:c r="C46" t="str">
        <x:v>ranked</x:v>
      </x:c>
      <x:c r="D46" s="30" t="n">
        <x:f>IF(COUNTIFS('Raw IC'!$A$5:$A$546,$B46,'Raw IC'!$B$5:$B$546,1)=0,"",SUMIFS('Raw IC'!$F$5:$F$546,'Raw IC'!$A$5:$A$546,$B46,'Raw IC'!$B$5:$B$546,1))</x:f>
        <x:v>-0.031998616247062475</x:v>
      </x:c>
      <x:c r="E46" s="30" t="n">
        <x:f>IF(COUNTIFS('Raw IC'!$A$5:$A$546,$B46,'Raw IC'!$B$5:$B$546,1)=0,"",SUMIFS('Raw IC'!$H$5:$H$546,'Raw IC'!$A$5:$A$546,$B46,'Raw IC'!$B$5:$B$546,1))</x:f>
        <x:v>-0.21859133341303807</x:v>
      </x:c>
      <x:c r="F46" s="30" t="n">
        <x:f>IF(COUNTIFS('Raw IC'!$A$5:$A$546,$B46,'Raw IC'!$B$5:$B$546,5)=0,"",SUMIFS('Raw IC'!$F$5:$F$546,'Raw IC'!$A$5:$A$546,$B46,'Raw IC'!$B$5:$B$546,5))</x:f>
        <x:v>-0.04728572378762499</x:v>
      </x:c>
      <x:c r="G46" s="30" t="n">
        <x:f>IF(COUNTIFS('Raw IC'!$A$5:$A$546,$B46,'Raw IC'!$B$5:$B$546,5)=0,"",SUMIFS('Raw IC'!$H$5:$H$546,'Raw IC'!$A$5:$A$546,$B46,'Raw IC'!$B$5:$B$546,5))</x:f>
        <x:v>-0.3419839330251506</x:v>
      </x:c>
      <x:c r="H46" s="30" t="n">
        <x:f>IF(COUNTIFS('Raw IC'!$A$5:$A$546,$B46,'Raw IC'!$B$5:$B$546,10)=0,"",SUMIFS('Raw IC'!$F$5:$F$546,'Raw IC'!$A$5:$A$546,$B46,'Raw IC'!$B$5:$B$546,10))</x:f>
        <x:v>-0.0544410013552593</x:v>
      </x:c>
      <x:c r="I46" s="30" t="n">
        <x:f>IF(COUNTIFS('Raw IC'!$A$5:$A$546,$B46,'Raw IC'!$B$5:$B$546,10)=0,"",SUMIFS('Raw IC'!$H$5:$H$546,'Raw IC'!$A$5:$A$546,$B46,'Raw IC'!$B$5:$B$546,10))</x:f>
        <x:v>-0.4080014938838723</x:v>
      </x:c>
      <x:c r="J46" s="30" t="n">
        <x:f>IF(COUNTIFS('Raw IC'!$A$5:$A$546,$B46,'Raw IC'!$B$5:$B$546,20)=0,"",SUMIFS('Raw IC'!$F$5:$F$546,'Raw IC'!$A$5:$A$546,$B46,'Raw IC'!$B$5:$B$546,20))</x:f>
        <x:v>-0.059452727447306446</x:v>
      </x:c>
      <x:c r="K46" s="30" t="n">
        <x:f>IF(COUNTIFS('Raw IC'!$A$5:$A$546,$B46,'Raw IC'!$B$5:$B$546,20)=0,"",SUMIFS('Raw IC'!$H$5:$H$546,'Raw IC'!$A$5:$A$546,$B46,'Raw IC'!$B$5:$B$546,20))</x:f>
        <x:v>-0.45708656592186286</x:v>
      </x:c>
      <x:c r="L46" s="30" t="n">
        <x:f>IF(COUNT(I46,K46)&lt;2,"",AVERAGE(ABS(I46),ABS(K46)))</x:f>
        <x:v>0.43254402990286756</x:v>
      </x:c>
      <x:c r="M46" t="str">
        <x:f>IF(COUNT(H46,J46)&lt;2,"",IF(H46*J46&gt;=0,IF(H46&gt;=0,"positive","negative"),"mixed"))</x:f>
        <x:v>negative</x:v>
      </x:c>
      <x:c r="N46" s="74" t="n">
        <x:v>46210.34754746528</x:v>
      </x:c>
      <x:c r="O46" s="19" t="n">
        <x:v>8902245</x:v>
      </x:c>
      <x:c r="P46" t="str">
        <x:v>40355b29bce094aef0e99358bdfd4011b92e72a54440a67760de4afae4883c33</x:v>
      </x:c>
      <x:c r="Q46" t="str">
        <x:v>factor_report/gtja191_batch/gtja_055</x:v>
      </x:c>
    </x:row>
    <x:row r="47">
      <x:c r="A47" s="50" t="n">
        <x:f>IF($C47="ranked",1+COUNTIFS($C$5:$C$190,"ranked",$L$5:$L$190,"&gt;"&amp;$L47),"")</x:f>
        <x:v>43</x:v>
      </x:c>
      <x:c r="B47" t="str">
        <x:v>gtja_071</x:v>
      </x:c>
      <x:c r="C47" t="str">
        <x:v>ranked</x:v>
      </x:c>
      <x:c r="D47" s="30" t="n">
        <x:f>IF(COUNTIFS('Raw IC'!$A$5:$A$546,$B47,'Raw IC'!$B$5:$B$546,1)=0,"",SUMIFS('Raw IC'!$F$5:$F$546,'Raw IC'!$A$5:$A$546,$B47,'Raw IC'!$B$5:$B$546,1))</x:f>
        <x:v>-0.03785381980874199</x:v>
      </x:c>
      <x:c r="E47" s="30" t="n">
        <x:f>IF(COUNTIFS('Raw IC'!$A$5:$A$546,$B47,'Raw IC'!$B$5:$B$546,1)=0,"",SUMIFS('Raw IC'!$H$5:$H$546,'Raw IC'!$A$5:$A$546,$B47,'Raw IC'!$B$5:$B$546,1))</x:f>
        <x:v>-0.23697189204128458</x:v>
      </x:c>
      <x:c r="F47" s="30" t="n">
        <x:f>IF(COUNTIFS('Raw IC'!$A$5:$A$546,$B47,'Raw IC'!$B$5:$B$546,5)=0,"",SUMIFS('Raw IC'!$F$5:$F$546,'Raw IC'!$A$5:$A$546,$B47,'Raw IC'!$B$5:$B$546,5))</x:f>
        <x:v>-0.04854451973527362</x:v>
      </x:c>
      <x:c r="G47" s="30" t="n">
        <x:f>IF(COUNTIFS('Raw IC'!$A$5:$A$546,$B47,'Raw IC'!$B$5:$B$546,5)=0,"",SUMIFS('Raw IC'!$H$5:$H$546,'Raw IC'!$A$5:$A$546,$B47,'Raw IC'!$B$5:$B$546,5))</x:f>
        <x:v>-0.33383707643346877</x:v>
      </x:c>
      <x:c r="H47" s="30" t="n">
        <x:f>IF(COUNTIFS('Raw IC'!$A$5:$A$546,$B47,'Raw IC'!$B$5:$B$546,10)=0,"",SUMIFS('Raw IC'!$F$5:$F$546,'Raw IC'!$A$5:$A$546,$B47,'Raw IC'!$B$5:$B$546,10))</x:f>
        <x:v>-0.05464484689716381</x:v>
      </x:c>
      <x:c r="I47" s="30" t="n">
        <x:f>IF(COUNTIFS('Raw IC'!$A$5:$A$546,$B47,'Raw IC'!$B$5:$B$546,10)=0,"",SUMIFS('Raw IC'!$H$5:$H$546,'Raw IC'!$A$5:$A$546,$B47,'Raw IC'!$B$5:$B$546,10))</x:f>
        <x:v>-0.39341857661345087</x:v>
      </x:c>
      <x:c r="J47" s="30" t="n">
        <x:f>IF(COUNTIFS('Raw IC'!$A$5:$A$546,$B47,'Raw IC'!$B$5:$B$546,20)=0,"",SUMIFS('Raw IC'!$F$5:$F$546,'Raw IC'!$A$5:$A$546,$B47,'Raw IC'!$B$5:$B$546,20))</x:f>
        <x:v>-0.062419890209116154</x:v>
      </x:c>
      <x:c r="K47" s="30" t="n">
        <x:f>IF(COUNTIFS('Raw IC'!$A$5:$A$546,$B47,'Raw IC'!$B$5:$B$546,20)=0,"",SUMIFS('Raw IC'!$H$5:$H$546,'Raw IC'!$A$5:$A$546,$B47,'Raw IC'!$B$5:$B$546,20))</x:f>
        <x:v>-0.45584916036929546</x:v>
      </x:c>
      <x:c r="L47" s="30" t="n">
        <x:f>IF(COUNT(I47,K47)&lt;2,"",AVERAGE(ABS(I47),ABS(K47)))</x:f>
        <x:v>0.4246338684913732</x:v>
      </x:c>
      <x:c r="M47" t="str">
        <x:f>IF(COUNT(H47,J47)&lt;2,"",IF(H47*J47&gt;=0,IF(H47&gt;=0,"positive","negative"),"mixed"))</x:f>
        <x:v>negative</x:v>
      </x:c>
      <x:c r="N47" s="74" t="n">
        <x:v>46210.420358854164</x:v>
      </x:c>
      <x:c r="O47" s="19" t="n">
        <x:v>8902245</x:v>
      </x:c>
      <x:c r="P47" t="str">
        <x:v>40355b29bce094aef0e99358bdfd4011b92e72a54440a67760de4afae4883c33</x:v>
      </x:c>
      <x:c r="Q47" t="str">
        <x:v>factor_report/gtja191_batch/gtja_071</x:v>
      </x:c>
    </x:row>
    <x:row r="48">
      <x:c r="A48" s="50" t="n">
        <x:f>IF($C48="ranked",1+COUNTIFS($C$5:$C$190,"ranked",$L$5:$L$190,"&gt;"&amp;$L48),"")</x:f>
        <x:v>44</x:v>
      </x:c>
      <x:c r="B48" t="str">
        <x:v>gtja_113</x:v>
      </x:c>
      <x:c r="C48" t="str">
        <x:v>ranked</x:v>
      </x:c>
      <x:c r="D48" s="30" t="str">
        <x:f>IF(COUNTIFS('Raw IC'!$A$5:$A$546,$B48,'Raw IC'!$B$5:$B$546,1)=0,"",SUMIFS('Raw IC'!$F$5:$F$546,'Raw IC'!$A$5:$A$546,$B48,'Raw IC'!$B$5:$B$546,1))</x:f>
      </x:c>
      <x:c r="E48" s="30" t="str">
        <x:f>IF(COUNTIFS('Raw IC'!$A$5:$A$546,$B48,'Raw IC'!$B$5:$B$546,1)=0,"",SUMIFS('Raw IC'!$H$5:$H$546,'Raw IC'!$A$5:$A$546,$B48,'Raw IC'!$B$5:$B$546,1))</x:f>
      </x:c>
      <x:c r="F48" s="30" t="str">
        <x:f>IF(COUNTIFS('Raw IC'!$A$5:$A$546,$B48,'Raw IC'!$B$5:$B$546,5)=0,"",SUMIFS('Raw IC'!$F$5:$F$546,'Raw IC'!$A$5:$A$546,$B48,'Raw IC'!$B$5:$B$546,5))</x:f>
      </x:c>
      <x:c r="G48" s="30" t="str">
        <x:f>IF(COUNTIFS('Raw IC'!$A$5:$A$546,$B48,'Raw IC'!$B$5:$B$546,5)=0,"",SUMIFS('Raw IC'!$H$5:$H$546,'Raw IC'!$A$5:$A$546,$B48,'Raw IC'!$B$5:$B$546,5))</x:f>
      </x:c>
      <x:c r="H48" s="30" t="n">
        <x:f>IF(COUNTIFS('Raw IC'!$A$5:$A$546,$B48,'Raw IC'!$B$5:$B$546,10)=0,"",SUMIFS('Raw IC'!$F$5:$F$546,'Raw IC'!$A$5:$A$546,$B48,'Raw IC'!$B$5:$B$546,10))</x:f>
        <x:v>0.022923565843053446</x:v>
      </x:c>
      <x:c r="I48" s="30" t="n">
        <x:f>IF(COUNTIFS('Raw IC'!$A$5:$A$546,$B48,'Raw IC'!$B$5:$B$546,10)=0,"",SUMIFS('Raw IC'!$H$5:$H$546,'Raw IC'!$A$5:$A$546,$B48,'Raw IC'!$B$5:$B$546,10))</x:f>
        <x:v>0.40542651382453054</x:v>
      </x:c>
      <x:c r="J48" s="30" t="n">
        <x:f>IF(COUNTIFS('Raw IC'!$A$5:$A$546,$B48,'Raw IC'!$B$5:$B$546,20)=0,"",SUMIFS('Raw IC'!$F$5:$F$546,'Raw IC'!$A$5:$A$546,$B48,'Raw IC'!$B$5:$B$546,20))</x:f>
        <x:v>0.024701835081301665</x:v>
      </x:c>
      <x:c r="K48" s="30" t="n">
        <x:f>IF(COUNTIFS('Raw IC'!$A$5:$A$546,$B48,'Raw IC'!$B$5:$B$546,20)=0,"",SUMIFS('Raw IC'!$H$5:$H$546,'Raw IC'!$A$5:$A$546,$B48,'Raw IC'!$B$5:$B$546,20))</x:f>
        <x:v>0.4390830709416172</x:v>
      </x:c>
      <x:c r="L48" s="30" t="n">
        <x:f>IF(COUNT(I48,K48)&lt;2,"",AVERAGE(ABS(I48),ABS(K48)))</x:f>
        <x:v>0.42225479238307384</x:v>
      </x:c>
      <x:c r="M48" t="str">
        <x:f>IF(COUNT(H48,J48)&lt;2,"",IF(H48*J48&gt;=0,IF(H48&gt;=0,"positive","negative"),"mixed"))</x:f>
        <x:v>positive</x:v>
      </x:c>
      <x:c r="N48" s="74" t="n">
        <x:v>46211.366626724535</x:v>
      </x:c>
      <x:c r="O48" s="19" t="n">
        <x:v>8902245</x:v>
      </x:c>
      <x:c r="P48" t="str">
        <x:v>8f7e606554926462248cbcc654181861438ca768a0063f6b317223ede37d16fb</x:v>
      </x:c>
      <x:c r="Q48" t="str">
        <x:v>factor_report/gtja191_batch/gtja_113</x:v>
      </x:c>
    </x:row>
    <x:row r="49">
      <x:c r="A49" s="50" t="n">
        <x:f>IF($C49="ranked",1+COUNTIFS($C$5:$C$190,"ranked",$L$5:$L$190,"&gt;"&amp;$L49),"")</x:f>
        <x:v>45</x:v>
      </x:c>
      <x:c r="B49" t="str">
        <x:v>gtja_145</x:v>
      </x:c>
      <x:c r="C49" t="str">
        <x:v>ranked</x:v>
      </x:c>
      <x:c r="D49" s="30" t="n">
        <x:f>IF(COUNTIFS('Raw IC'!$A$5:$A$546,$B49,'Raw IC'!$B$5:$B$546,1)=0,"",SUMIFS('Raw IC'!$F$5:$F$546,'Raw IC'!$A$5:$A$546,$B49,'Raw IC'!$B$5:$B$546,1))</x:f>
        <x:v>-0.026752473392600208</x:v>
      </x:c>
      <x:c r="E49" s="30" t="n">
        <x:f>IF(COUNTIFS('Raw IC'!$A$5:$A$546,$B49,'Raw IC'!$B$5:$B$546,1)=0,"",SUMIFS('Raw IC'!$H$5:$H$546,'Raw IC'!$A$5:$A$546,$B49,'Raw IC'!$B$5:$B$546,1))</x:f>
        <x:v>-0.278706850338761</x:v>
      </x:c>
      <x:c r="F49" s="30" t="n">
        <x:f>IF(COUNTIFS('Raw IC'!$A$5:$A$546,$B49,'Raw IC'!$B$5:$B$546,5)=0,"",SUMIFS('Raw IC'!$F$5:$F$546,'Raw IC'!$A$5:$A$546,$B49,'Raw IC'!$B$5:$B$546,5))</x:f>
        <x:v>-0.03327745526293577</x:v>
      </x:c>
      <x:c r="G49" s="30" t="n">
        <x:f>IF(COUNTIFS('Raw IC'!$A$5:$A$546,$B49,'Raw IC'!$B$5:$B$546,5)=0,"",SUMIFS('Raw IC'!$H$5:$H$546,'Raw IC'!$A$5:$A$546,$B49,'Raw IC'!$B$5:$B$546,5))</x:f>
        <x:v>-0.3615742865529519</x:v>
      </x:c>
      <x:c r="H49" s="30" t="n">
        <x:f>IF(COUNTIFS('Raw IC'!$A$5:$A$546,$B49,'Raw IC'!$B$5:$B$546,10)=0,"",SUMIFS('Raw IC'!$F$5:$F$546,'Raw IC'!$A$5:$A$546,$B49,'Raw IC'!$B$5:$B$546,10))</x:f>
        <x:v>-0.036305859771645285</x:v>
      </x:c>
      <x:c r="I49" s="30" t="n">
        <x:f>IF(COUNTIFS('Raw IC'!$A$5:$A$546,$B49,'Raw IC'!$B$5:$B$546,10)=0,"",SUMIFS('Raw IC'!$H$5:$H$546,'Raw IC'!$A$5:$A$546,$B49,'Raw IC'!$B$5:$B$546,10))</x:f>
        <x:v>-0.4194302928425881</x:v>
      </x:c>
      <x:c r="J49" s="30" t="n">
        <x:f>IF(COUNTIFS('Raw IC'!$A$5:$A$546,$B49,'Raw IC'!$B$5:$B$546,20)=0,"",SUMIFS('Raw IC'!$F$5:$F$546,'Raw IC'!$A$5:$A$546,$B49,'Raw IC'!$B$5:$B$546,20))</x:f>
        <x:v>-0.035881009684746605</x:v>
      </x:c>
      <x:c r="K49" s="30" t="n">
        <x:f>IF(COUNTIFS('Raw IC'!$A$5:$A$546,$B49,'Raw IC'!$B$5:$B$546,20)=0,"",SUMIFS('Raw IC'!$H$5:$H$546,'Raw IC'!$A$5:$A$546,$B49,'Raw IC'!$B$5:$B$546,20))</x:f>
        <x:v>-0.42374129472139305</x:v>
      </x:c>
      <x:c r="L49" s="30" t="n">
        <x:f>IF(COUNT(I49,K49)&lt;2,"",AVERAGE(ABS(I49),ABS(K49)))</x:f>
        <x:v>0.42158579378199057</x:v>
      </x:c>
      <x:c r="M49" t="str">
        <x:f>IF(COUNT(H49,J49)&lt;2,"",IF(H49*J49&gt;=0,IF(H49&gt;=0,"positive","negative"),"mixed"))</x:f>
        <x:v>negative</x:v>
      </x:c>
      <x:c r="N49" s="74" t="n">
        <x:v>46210.79587657408</x:v>
      </x:c>
      <x:c r="O49" s="19" t="n">
        <x:v>8902245</x:v>
      </x:c>
      <x:c r="P49" t="str">
        <x:v>40355b29bce094aef0e99358bdfd4011b92e72a54440a67760de4afae4883c33</x:v>
      </x:c>
      <x:c r="Q49" t="str">
        <x:v>factor_report/gtja191_batch/gtja_145</x:v>
      </x:c>
    </x:row>
    <x:row r="50">
      <x:c r="A50" s="50" t="n">
        <x:f>IF($C50="ranked",1+COUNTIFS($C$5:$C$190,"ranked",$L$5:$L$190,"&gt;"&amp;$L50),"")</x:f>
        <x:v>46</x:v>
      </x:c>
      <x:c r="B50" t="str">
        <x:v>gtja_134</x:v>
      </x:c>
      <x:c r="C50" t="str">
        <x:v>ranked</x:v>
      </x:c>
      <x:c r="D50" s="30" t="n">
        <x:f>IF(COUNTIFS('Raw IC'!$A$5:$A$546,$B50,'Raw IC'!$B$5:$B$546,1)=0,"",SUMIFS('Raw IC'!$F$5:$F$546,'Raw IC'!$A$5:$A$546,$B50,'Raw IC'!$B$5:$B$546,1))</x:f>
        <x:v>-0.029488529845635405</x:v>
      </x:c>
      <x:c r="E50" s="30" t="n">
        <x:f>IF(COUNTIFS('Raw IC'!$A$5:$A$546,$B50,'Raw IC'!$B$5:$B$546,1)=0,"",SUMIFS('Raw IC'!$H$5:$H$546,'Raw IC'!$A$5:$A$546,$B50,'Raw IC'!$B$5:$B$546,1))</x:f>
        <x:v>-0.2351785665129738</x:v>
      </x:c>
      <x:c r="F50" s="30" t="n">
        <x:f>IF(COUNTIFS('Raw IC'!$A$5:$A$546,$B50,'Raw IC'!$B$5:$B$546,5)=0,"",SUMIFS('Raw IC'!$F$5:$F$546,'Raw IC'!$A$5:$A$546,$B50,'Raw IC'!$B$5:$B$546,5))</x:f>
        <x:v>-0.03918308328877937</x:v>
      </x:c>
      <x:c r="G50" s="30" t="n">
        <x:f>IF(COUNTIFS('Raw IC'!$A$5:$A$546,$B50,'Raw IC'!$B$5:$B$546,5)=0,"",SUMIFS('Raw IC'!$H$5:$H$546,'Raw IC'!$A$5:$A$546,$B50,'Raw IC'!$B$5:$B$546,5))</x:f>
        <x:v>-0.3410473434078081</x:v>
      </x:c>
      <x:c r="H50" s="30" t="n">
        <x:f>IF(COUNTIFS('Raw IC'!$A$5:$A$546,$B50,'Raw IC'!$B$5:$B$546,10)=0,"",SUMIFS('Raw IC'!$F$5:$F$546,'Raw IC'!$A$5:$A$546,$B50,'Raw IC'!$B$5:$B$546,10))</x:f>
        <x:v>-0.04263355463572557</x:v>
      </x:c>
      <x:c r="I50" s="30" t="n">
        <x:f>IF(COUNTIFS('Raw IC'!$A$5:$A$546,$B50,'Raw IC'!$B$5:$B$546,10)=0,"",SUMIFS('Raw IC'!$H$5:$H$546,'Raw IC'!$A$5:$A$546,$B50,'Raw IC'!$B$5:$B$546,10))</x:f>
        <x:v>-0.3969896373385323</x:v>
      </x:c>
      <x:c r="J50" s="30" t="n">
        <x:f>IF(COUNTIFS('Raw IC'!$A$5:$A$546,$B50,'Raw IC'!$B$5:$B$546,20)=0,"",SUMIFS('Raw IC'!$F$5:$F$546,'Raw IC'!$A$5:$A$546,$B50,'Raw IC'!$B$5:$B$546,20))</x:f>
        <x:v>-0.04812829792905713</x:v>
      </x:c>
      <x:c r="K50" s="30" t="n">
        <x:f>IF(COUNTIFS('Raw IC'!$A$5:$A$546,$B50,'Raw IC'!$B$5:$B$546,20)=0,"",SUMIFS('Raw IC'!$H$5:$H$546,'Raw IC'!$A$5:$A$546,$B50,'Raw IC'!$B$5:$B$546,20))</x:f>
        <x:v>-0.4403315004051099</x:v>
      </x:c>
      <x:c r="L50" s="30" t="n">
        <x:f>IF(COUNT(I50,K50)&lt;2,"",AVERAGE(ABS(I50),ABS(K50)))</x:f>
        <x:v>0.4186605688718211</x:v>
      </x:c>
      <x:c r="M50" t="str">
        <x:f>IF(COUNT(H50,J50)&lt;2,"",IF(H50*J50&gt;=0,IF(H50&gt;=0,"positive","negative"),"mixed"))</x:f>
        <x:v>negative</x:v>
      </x:c>
      <x:c r="N50" s="74" t="n">
        <x:v>46210.74197935185</x:v>
      </x:c>
      <x:c r="O50" s="19" t="n">
        <x:v>8902245</x:v>
      </x:c>
      <x:c r="P50" t="str">
        <x:v>40355b29bce094aef0e99358bdfd4011b92e72a54440a67760de4afae4883c33</x:v>
      </x:c>
      <x:c r="Q50" t="str">
        <x:v>factor_report/gtja191_batch/gtja_134</x:v>
      </x:c>
    </x:row>
    <x:row r="51">
      <x:c r="A51" s="50" t="n">
        <x:f>IF($C51="ranked",1+COUNTIFS($C$5:$C$190,"ranked",$L$5:$L$190,"&gt;"&amp;$L51),"")</x:f>
        <x:v>47</x:v>
      </x:c>
      <x:c r="B51" t="str">
        <x:v>gtja_067</x:v>
      </x:c>
      <x:c r="C51" t="str">
        <x:v>ranked</x:v>
      </x:c>
      <x:c r="D51" s="30" t="n">
        <x:f>IF(COUNTIFS('Raw IC'!$A$5:$A$546,$B51,'Raw IC'!$B$5:$B$546,1)=0,"",SUMIFS('Raw IC'!$F$5:$F$546,'Raw IC'!$A$5:$A$546,$B51,'Raw IC'!$B$5:$B$546,1))</x:f>
        <x:v>-0.035647739055671576</x:v>
      </x:c>
      <x:c r="E51" s="30" t="n">
        <x:f>IF(COUNTIFS('Raw IC'!$A$5:$A$546,$B51,'Raw IC'!$B$5:$B$546,1)=0,"",SUMIFS('Raw IC'!$H$5:$H$546,'Raw IC'!$A$5:$A$546,$B51,'Raw IC'!$B$5:$B$546,1))</x:f>
        <x:v>-0.23831357386364574</x:v>
      </x:c>
      <x:c r="F51" s="30" t="n">
        <x:f>IF(COUNTIFS('Raw IC'!$A$5:$A$546,$B51,'Raw IC'!$B$5:$B$546,5)=0,"",SUMIFS('Raw IC'!$F$5:$F$546,'Raw IC'!$A$5:$A$546,$B51,'Raw IC'!$B$5:$B$546,5))</x:f>
        <x:v>-0.04705781725656033</x:v>
      </x:c>
      <x:c r="G51" s="30" t="n">
        <x:f>IF(COUNTIFS('Raw IC'!$A$5:$A$546,$B51,'Raw IC'!$B$5:$B$546,5)=0,"",SUMIFS('Raw IC'!$H$5:$H$546,'Raw IC'!$A$5:$A$546,$B51,'Raw IC'!$B$5:$B$546,5))</x:f>
        <x:v>-0.34122816505626746</x:v>
      </x:c>
      <x:c r="H51" s="30" t="n">
        <x:f>IF(COUNTIFS('Raw IC'!$A$5:$A$546,$B51,'Raw IC'!$B$5:$B$546,10)=0,"",SUMIFS('Raw IC'!$F$5:$F$546,'Raw IC'!$A$5:$A$546,$B51,'Raw IC'!$B$5:$B$546,10))</x:f>
        <x:v>-0.05255950591082112</x:v>
      </x:c>
      <x:c r="I51" s="30" t="n">
        <x:f>IF(COUNTIFS('Raw IC'!$A$5:$A$546,$B51,'Raw IC'!$B$5:$B$546,10)=0,"",SUMIFS('Raw IC'!$H$5:$H$546,'Raw IC'!$A$5:$A$546,$B51,'Raw IC'!$B$5:$B$546,10))</x:f>
        <x:v>-0.3972016394626807</x:v>
      </x:c>
      <x:c r="J51" s="30" t="n">
        <x:f>IF(COUNTIFS('Raw IC'!$A$5:$A$546,$B51,'Raw IC'!$B$5:$B$546,20)=0,"",SUMIFS('Raw IC'!$F$5:$F$546,'Raw IC'!$A$5:$A$546,$B51,'Raw IC'!$B$5:$B$546,20))</x:f>
        <x:v>-0.059236911325706305</x:v>
      </x:c>
      <x:c r="K51" s="30" t="n">
        <x:f>IF(COUNTIFS('Raw IC'!$A$5:$A$546,$B51,'Raw IC'!$B$5:$B$546,20)=0,"",SUMIFS('Raw IC'!$H$5:$H$546,'Raw IC'!$A$5:$A$546,$B51,'Raw IC'!$B$5:$B$546,20))</x:f>
        <x:v>-0.43969659796301225</x:v>
      </x:c>
      <x:c r="L51" s="30" t="n">
        <x:f>IF(COUNT(I51,K51)&lt;2,"",AVERAGE(ABS(I51),ABS(K51)))</x:f>
        <x:v>0.4184491187128465</x:v>
      </x:c>
      <x:c r="M51" t="str">
        <x:f>IF(COUNT(H51,J51)&lt;2,"",IF(H51*J51&gt;=0,IF(H51&gt;=0,"positive","negative"),"mixed"))</x:f>
        <x:v>negative</x:v>
      </x:c>
      <x:c r="N51" s="74" t="n">
        <x:v>46210.40343721065</x:v>
      </x:c>
      <x:c r="O51" s="19" t="n">
        <x:v>8902245</x:v>
      </x:c>
      <x:c r="P51" t="str">
        <x:v>40355b29bce094aef0e99358bdfd4011b92e72a54440a67760de4afae4883c33</x:v>
      </x:c>
      <x:c r="Q51" t="str">
        <x:v>factor_report/gtja191_batch/gtja_067</x:v>
      </x:c>
    </x:row>
    <x:row r="52">
      <x:c r="A52" s="50" t="n">
        <x:f>IF($C52="ranked",1+COUNTIFS($C$5:$C$190,"ranked",$L$5:$L$190,"&gt;"&amp;$L52),"")</x:f>
        <x:v>48</x:v>
      </x:c>
      <x:c r="B52" t="str">
        <x:v>gtja_187</x:v>
      </x:c>
      <x:c r="C52" t="str">
        <x:v>ranked</x:v>
      </x:c>
      <x:c r="D52" s="30" t="n">
        <x:f>IF(COUNTIFS('Raw IC'!$A$5:$A$546,$B52,'Raw IC'!$B$5:$B$546,1)=0,"",SUMIFS('Raw IC'!$F$5:$F$546,'Raw IC'!$A$5:$A$546,$B52,'Raw IC'!$B$5:$B$546,1))</x:f>
        <x:v>-0.04001399004176851</x:v>
      </x:c>
      <x:c r="E52" s="30" t="n">
        <x:f>IF(COUNTIFS('Raw IC'!$A$5:$A$546,$B52,'Raw IC'!$B$5:$B$546,1)=0,"",SUMIFS('Raw IC'!$H$5:$H$546,'Raw IC'!$A$5:$A$546,$B52,'Raw IC'!$B$5:$B$546,1))</x:f>
        <x:v>-0.22320659517452643</x:v>
      </x:c>
      <x:c r="F52" s="30" t="n">
        <x:f>IF(COUNTIFS('Raw IC'!$A$5:$A$546,$B52,'Raw IC'!$B$5:$B$546,5)=0,"",SUMIFS('Raw IC'!$F$5:$F$546,'Raw IC'!$A$5:$A$546,$B52,'Raw IC'!$B$5:$B$546,5))</x:f>
        <x:v>-0.05934867361119837</x:v>
      </x:c>
      <x:c r="G52" s="30" t="n">
        <x:f>IF(COUNTIFS('Raw IC'!$A$5:$A$546,$B52,'Raw IC'!$B$5:$B$546,5)=0,"",SUMIFS('Raw IC'!$H$5:$H$546,'Raw IC'!$A$5:$A$546,$B52,'Raw IC'!$B$5:$B$546,5))</x:f>
        <x:v>-0.3277314778380092</x:v>
      </x:c>
      <x:c r="H52" s="30" t="n">
        <x:f>IF(COUNTIFS('Raw IC'!$A$5:$A$546,$B52,'Raw IC'!$B$5:$B$546,10)=0,"",SUMIFS('Raw IC'!$F$5:$F$546,'Raw IC'!$A$5:$A$546,$B52,'Raw IC'!$B$5:$B$546,10))</x:f>
        <x:v>-0.07167235594661475</x:v>
      </x:c>
      <x:c r="I52" s="30" t="n">
        <x:f>IF(COUNTIFS('Raw IC'!$A$5:$A$546,$B52,'Raw IC'!$B$5:$B$546,10)=0,"",SUMIFS('Raw IC'!$H$5:$H$546,'Raw IC'!$A$5:$A$546,$B52,'Raw IC'!$B$5:$B$546,10))</x:f>
        <x:v>-0.3835743060128049</x:v>
      </x:c>
      <x:c r="J52" s="30" t="n">
        <x:f>IF(COUNTIFS('Raw IC'!$A$5:$A$546,$B52,'Raw IC'!$B$5:$B$546,20)=0,"",SUMIFS('Raw IC'!$F$5:$F$546,'Raw IC'!$A$5:$A$546,$B52,'Raw IC'!$B$5:$B$546,20))</x:f>
        <x:v>-0.0865927503170856</x:v>
      </x:c>
      <x:c r="K52" s="30" t="n">
        <x:f>IF(COUNTIFS('Raw IC'!$A$5:$A$546,$B52,'Raw IC'!$B$5:$B$546,20)=0,"",SUMIFS('Raw IC'!$H$5:$H$546,'Raw IC'!$A$5:$A$546,$B52,'Raw IC'!$B$5:$B$546,20))</x:f>
        <x:v>-0.44816176260789253</x:v>
      </x:c>
      <x:c r="L52" s="30" t="n">
        <x:f>IF(COUNT(I52,K52)&lt;2,"",AVERAGE(ABS(I52),ABS(K52)))</x:f>
        <x:v>0.4158680343103487</x:v>
      </x:c>
      <x:c r="M52" t="str">
        <x:f>IF(COUNT(H52,J52)&lt;2,"",IF(H52*J52&gt;=0,IF(H52&gt;=0,"positive","negative"),"mixed"))</x:f>
        <x:v>negative</x:v>
      </x:c>
      <x:c r="N52" s="74" t="n">
        <x:v>46210.96675238426</x:v>
      </x:c>
      <x:c r="O52" s="19" t="n">
        <x:v>8902245</x:v>
      </x:c>
      <x:c r="P52" t="str">
        <x:v>40355b29bce094aef0e99358bdfd4011b92e72a54440a67760de4afae4883c33</x:v>
      </x:c>
      <x:c r="Q52" t="str">
        <x:v>factor_report/gtja191_batch/gtja_187</x:v>
      </x:c>
    </x:row>
    <x:row r="53">
      <x:c r="A53" s="50" t="n">
        <x:f>IF($C53="ranked",1+COUNTIFS($C$5:$C$190,"ranked",$L$5:$L$190,"&gt;"&amp;$L53),"")</x:f>
        <x:v>49</x:v>
      </x:c>
      <x:c r="B53" t="str">
        <x:v>gtja_101</x:v>
      </x:c>
      <x:c r="C53" t="str">
        <x:v>ranked</x:v>
      </x:c>
      <x:c r="D53" s="30" t="str">
        <x:f>IF(COUNTIFS('Raw IC'!$A$5:$A$546,$B53,'Raw IC'!$B$5:$B$546,1)=0,"",SUMIFS('Raw IC'!$F$5:$F$546,'Raw IC'!$A$5:$A$546,$B53,'Raw IC'!$B$5:$B$546,1))</x:f>
      </x:c>
      <x:c r="E53" s="30" t="str">
        <x:f>IF(COUNTIFS('Raw IC'!$A$5:$A$546,$B53,'Raw IC'!$B$5:$B$546,1)=0,"",SUMIFS('Raw IC'!$H$5:$H$546,'Raw IC'!$A$5:$A$546,$B53,'Raw IC'!$B$5:$B$546,1))</x:f>
      </x:c>
      <x:c r="F53" s="30" t="str">
        <x:f>IF(COUNTIFS('Raw IC'!$A$5:$A$546,$B53,'Raw IC'!$B$5:$B$546,5)=0,"",SUMIFS('Raw IC'!$F$5:$F$546,'Raw IC'!$A$5:$A$546,$B53,'Raw IC'!$B$5:$B$546,5))</x:f>
      </x:c>
      <x:c r="G53" s="30" t="str">
        <x:f>IF(COUNTIFS('Raw IC'!$A$5:$A$546,$B53,'Raw IC'!$B$5:$B$546,5)=0,"",SUMIFS('Raw IC'!$H$5:$H$546,'Raw IC'!$A$5:$A$546,$B53,'Raw IC'!$B$5:$B$546,5))</x:f>
      </x:c>
      <x:c r="H53" s="30" t="n">
        <x:f>IF(COUNTIFS('Raw IC'!$A$5:$A$546,$B53,'Raw IC'!$B$5:$B$546,10)=0,"",SUMIFS('Raw IC'!$F$5:$F$546,'Raw IC'!$A$5:$A$546,$B53,'Raw IC'!$B$5:$B$546,10))</x:f>
        <x:v>0.02186142074971069</x:v>
      </x:c>
      <x:c r="I53" s="30" t="n">
        <x:f>IF(COUNTIFS('Raw IC'!$A$5:$A$546,$B53,'Raw IC'!$B$5:$B$546,10)=0,"",SUMIFS('Raw IC'!$H$5:$H$546,'Raw IC'!$A$5:$A$546,$B53,'Raw IC'!$B$5:$B$546,10))</x:f>
        <x:v>0.3946447911765613</x:v>
      </x:c>
      <x:c r="J53" s="30" t="n">
        <x:f>IF(COUNTIFS('Raw IC'!$A$5:$A$546,$B53,'Raw IC'!$B$5:$B$546,20)=0,"",SUMIFS('Raw IC'!$F$5:$F$546,'Raw IC'!$A$5:$A$546,$B53,'Raw IC'!$B$5:$B$546,20))</x:f>
        <x:v>0.024210244793398127</x:v>
      </x:c>
      <x:c r="K53" s="30" t="n">
        <x:f>IF(COUNTIFS('Raw IC'!$A$5:$A$546,$B53,'Raw IC'!$B$5:$B$546,20)=0,"",SUMIFS('Raw IC'!$H$5:$H$546,'Raw IC'!$A$5:$A$546,$B53,'Raw IC'!$B$5:$B$546,20))</x:f>
        <x:v>0.4320947781891948</x:v>
      </x:c>
      <x:c r="L53" s="30" t="n">
        <x:f>IF(COUNT(I53,K53)&lt;2,"",AVERAGE(ABS(I53),ABS(K53)))</x:f>
        <x:v>0.41336978468287805</x:v>
      </x:c>
      <x:c r="M53" t="str">
        <x:f>IF(COUNT(H53,J53)&lt;2,"",IF(H53*J53&gt;=0,IF(H53&gt;=0,"positive","negative"),"mixed"))</x:f>
        <x:v>positive</x:v>
      </x:c>
      <x:c r="N53" s="74" t="n">
        <x:v>46211.35053340278</x:v>
      </x:c>
      <x:c r="O53" s="19" t="n">
        <x:v>8902245</x:v>
      </x:c>
      <x:c r="P53" t="str">
        <x:v>8f7e606554926462248cbcc654181861438ca768a0063f6b317223ede37d16fb</x:v>
      </x:c>
      <x:c r="Q53" t="str">
        <x:v>factor_report/gtja191_batch/gtja_101</x:v>
      </x:c>
    </x:row>
    <x:row r="54">
      <x:c r="A54" s="50" t="n">
        <x:f>IF($C54="ranked",1+COUNTIFS($C$5:$C$190,"ranked",$L$5:$L$190,"&gt;"&amp;$L54),"")</x:f>
        <x:v>50</x:v>
      </x:c>
      <x:c r="B54" t="str">
        <x:v>gtja_116</x:v>
      </x:c>
      <x:c r="C54" t="str">
        <x:v>ranked</x:v>
      </x:c>
      <x:c r="D54" s="30" t="n">
        <x:f>IF(COUNTIFS('Raw IC'!$A$5:$A$546,$B54,'Raw IC'!$B$5:$B$546,1)=0,"",SUMIFS('Raw IC'!$F$5:$F$546,'Raw IC'!$A$5:$A$546,$B54,'Raw IC'!$B$5:$B$546,1))</x:f>
        <x:v>-0.02825792301025803</x:v>
      </x:c>
      <x:c r="E54" s="30" t="n">
        <x:f>IF(COUNTIFS('Raw IC'!$A$5:$A$546,$B54,'Raw IC'!$B$5:$B$546,1)=0,"",SUMIFS('Raw IC'!$H$5:$H$546,'Raw IC'!$A$5:$A$546,$B54,'Raw IC'!$B$5:$B$546,1))</x:f>
        <x:v>-0.19495129740045095</x:v>
      </x:c>
      <x:c r="F54" s="30" t="n">
        <x:f>IF(COUNTIFS('Raw IC'!$A$5:$A$546,$B54,'Raw IC'!$B$5:$B$546,5)=0,"",SUMIFS('Raw IC'!$F$5:$F$546,'Raw IC'!$A$5:$A$546,$B54,'Raw IC'!$B$5:$B$546,5))</x:f>
        <x:v>-0.04277419174351928</x:v>
      </x:c>
      <x:c r="G54" s="30" t="n">
        <x:f>IF(COUNTIFS('Raw IC'!$A$5:$A$546,$B54,'Raw IC'!$B$5:$B$546,5)=0,"",SUMIFS('Raw IC'!$H$5:$H$546,'Raw IC'!$A$5:$A$546,$B54,'Raw IC'!$B$5:$B$546,5))</x:f>
        <x:v>-0.3189256385879352</x:v>
      </x:c>
      <x:c r="H54" s="30" t="n">
        <x:f>IF(COUNTIFS('Raw IC'!$A$5:$A$546,$B54,'Raw IC'!$B$5:$B$546,10)=0,"",SUMIFS('Raw IC'!$F$5:$F$546,'Raw IC'!$A$5:$A$546,$B54,'Raw IC'!$B$5:$B$546,10))</x:f>
        <x:v>-0.05109072393000672</x:v>
      </x:c>
      <x:c r="I54" s="30" t="n">
        <x:f>IF(COUNTIFS('Raw IC'!$A$5:$A$546,$B54,'Raw IC'!$B$5:$B$546,10)=0,"",SUMIFS('Raw IC'!$H$5:$H$546,'Raw IC'!$A$5:$A$546,$B54,'Raw IC'!$B$5:$B$546,10))</x:f>
        <x:v>-0.3952596331864464</x:v>
      </x:c>
      <x:c r="J54" s="30" t="n">
        <x:f>IF(COUNTIFS('Raw IC'!$A$5:$A$546,$B54,'Raw IC'!$B$5:$B$546,20)=0,"",SUMIFS('Raw IC'!$F$5:$F$546,'Raw IC'!$A$5:$A$546,$B54,'Raw IC'!$B$5:$B$546,20))</x:f>
        <x:v>-0.056171338403911066</x:v>
      </x:c>
      <x:c r="K54" s="30" t="n">
        <x:f>IF(COUNTIFS('Raw IC'!$A$5:$A$546,$B54,'Raw IC'!$B$5:$B$546,20)=0,"",SUMIFS('Raw IC'!$H$5:$H$546,'Raw IC'!$A$5:$A$546,$B54,'Raw IC'!$B$5:$B$546,20))</x:f>
        <x:v>-0.42481768342080084</x:v>
      </x:c>
      <x:c r="L54" s="30" t="n">
        <x:f>IF(COUNT(I54,K54)&lt;2,"",AVERAGE(ABS(I54),ABS(K54)))</x:f>
        <x:v>0.4100386583036236</x:v>
      </x:c>
      <x:c r="M54" t="str">
        <x:f>IF(COUNT(H54,J54)&lt;2,"",IF(H54*J54&gt;=0,IF(H54&gt;=0,"positive","negative"),"mixed"))</x:f>
        <x:v>negative</x:v>
      </x:c>
      <x:c r="N54" s="74" t="n">
        <x:v>46210.64638673611</x:v>
      </x:c>
      <x:c r="O54" s="19" t="n">
        <x:v>8902245</x:v>
      </x:c>
      <x:c r="P54" t="str">
        <x:v>40355b29bce094aef0e99358bdfd4011b92e72a54440a67760de4afae4883c33</x:v>
      </x:c>
      <x:c r="Q54" t="str">
        <x:v>factor_report/gtja191_batch/gtja_116</x:v>
      </x:c>
    </x:row>
    <x:row r="55">
      <x:c r="A55" s="50" t="n">
        <x:f>IF($C55="ranked",1+COUNTIFS($C$5:$C$190,"ranked",$L$5:$L$190,"&gt;"&amp;$L55),"")</x:f>
        <x:v>51</x:v>
      </x:c>
      <x:c r="B55" t="str">
        <x:v>gtja_154</x:v>
      </x:c>
      <x:c r="C55" t="str">
        <x:v>ranked</x:v>
      </x:c>
      <x:c r="D55" s="30" t="str">
        <x:f>IF(COUNTIFS('Raw IC'!$A$5:$A$546,$B55,'Raw IC'!$B$5:$B$546,1)=0,"",SUMIFS('Raw IC'!$F$5:$F$546,'Raw IC'!$A$5:$A$546,$B55,'Raw IC'!$B$5:$B$546,1))</x:f>
      </x:c>
      <x:c r="E55" s="30" t="str">
        <x:f>IF(COUNTIFS('Raw IC'!$A$5:$A$546,$B55,'Raw IC'!$B$5:$B$546,1)=0,"",SUMIFS('Raw IC'!$H$5:$H$546,'Raw IC'!$A$5:$A$546,$B55,'Raw IC'!$B$5:$B$546,1))</x:f>
      </x:c>
      <x:c r="F55" s="30" t="str">
        <x:f>IF(COUNTIFS('Raw IC'!$A$5:$A$546,$B55,'Raw IC'!$B$5:$B$546,5)=0,"",SUMIFS('Raw IC'!$F$5:$F$546,'Raw IC'!$A$5:$A$546,$B55,'Raw IC'!$B$5:$B$546,5))</x:f>
      </x:c>
      <x:c r="G55" s="30" t="str">
        <x:f>IF(COUNTIFS('Raw IC'!$A$5:$A$546,$B55,'Raw IC'!$B$5:$B$546,5)=0,"",SUMIFS('Raw IC'!$H$5:$H$546,'Raw IC'!$A$5:$A$546,$B55,'Raw IC'!$B$5:$B$546,5))</x:f>
      </x:c>
      <x:c r="H55" s="30" t="n">
        <x:f>IF(COUNTIFS('Raw IC'!$A$5:$A$546,$B55,'Raw IC'!$B$5:$B$546,10)=0,"",SUMIFS('Raw IC'!$F$5:$F$546,'Raw IC'!$A$5:$A$546,$B55,'Raw IC'!$B$5:$B$546,10))</x:f>
        <x:v>0.029524560602556423</x:v>
      </x:c>
      <x:c r="I55" s="30" t="n">
        <x:f>IF(COUNTIFS('Raw IC'!$A$5:$A$546,$B55,'Raw IC'!$B$5:$B$546,10)=0,"",SUMIFS('Raw IC'!$H$5:$H$546,'Raw IC'!$A$5:$A$546,$B55,'Raw IC'!$B$5:$B$546,10))</x:f>
        <x:v>0.3643953281357276</x:v>
      </x:c>
      <x:c r="J55" s="30" t="n">
        <x:f>IF(COUNTIFS('Raw IC'!$A$5:$A$546,$B55,'Raw IC'!$B$5:$B$546,20)=0,"",SUMIFS('Raw IC'!$F$5:$F$546,'Raw IC'!$A$5:$A$546,$B55,'Raw IC'!$B$5:$B$546,20))</x:f>
        <x:v>0.03766733258790282</x:v>
      </x:c>
      <x:c r="K55" s="30" t="n">
        <x:f>IF(COUNTIFS('Raw IC'!$A$5:$A$546,$B55,'Raw IC'!$B$5:$B$546,20)=0,"",SUMIFS('Raw IC'!$H$5:$H$546,'Raw IC'!$A$5:$A$546,$B55,'Raw IC'!$B$5:$B$546,20))</x:f>
        <x:v>0.45070195103434524</x:v>
      </x:c>
      <x:c r="L55" s="30" t="n">
        <x:f>IF(COUNT(I55,K55)&lt;2,"",AVERAGE(ABS(I55),ABS(K55)))</x:f>
        <x:v>0.4075486395850364</x:v>
      </x:c>
      <x:c r="M55" t="str">
        <x:f>IF(COUNT(H55,J55)&lt;2,"",IF(H55*J55&gt;=0,IF(H55&gt;=0,"positive","negative"),"mixed"))</x:f>
        <x:v>positive</x:v>
      </x:c>
      <x:c r="N55" s="74" t="n">
        <x:v>46211.49520696759</x:v>
      </x:c>
      <x:c r="O55" s="19" t="n">
        <x:v>8902245</x:v>
      </x:c>
      <x:c r="P55" t="str">
        <x:v>8f7e606554926462248cbcc654181861438ca768a0063f6b317223ede37d16fb</x:v>
      </x:c>
      <x:c r="Q55" t="str">
        <x:v>factor_report/gtja191_batch/gtja_154</x:v>
      </x:c>
    </x:row>
    <x:row r="56">
      <x:c r="A56" s="50" t="n">
        <x:f>IF($C56="ranked",1+COUNTIFS($C$5:$C$190,"ranked",$L$5:$L$190,"&gt;"&amp;$L56),"")</x:f>
        <x:v>52</x:v>
      </x:c>
      <x:c r="B56" t="str">
        <x:v>gtja_052</x:v>
      </x:c>
      <x:c r="C56" t="str">
        <x:v>ranked</x:v>
      </x:c>
      <x:c r="D56" s="30" t="n">
        <x:f>IF(COUNTIFS('Raw IC'!$A$5:$A$546,$B56,'Raw IC'!$B$5:$B$546,1)=0,"",SUMIFS('Raw IC'!$F$5:$F$546,'Raw IC'!$A$5:$A$546,$B56,'Raw IC'!$B$5:$B$546,1))</x:f>
        <x:v>-0.034557619492661715</x:v>
      </x:c>
      <x:c r="E56" s="30" t="n">
        <x:f>IF(COUNTIFS('Raw IC'!$A$5:$A$546,$B56,'Raw IC'!$B$5:$B$546,1)=0,"",SUMIFS('Raw IC'!$H$5:$H$546,'Raw IC'!$A$5:$A$546,$B56,'Raw IC'!$B$5:$B$546,1))</x:f>
        <x:v>-0.2369759824430366</x:v>
      </x:c>
      <x:c r="F56" s="30" t="n">
        <x:f>IF(COUNTIFS('Raw IC'!$A$5:$A$546,$B56,'Raw IC'!$B$5:$B$546,5)=0,"",SUMIFS('Raw IC'!$F$5:$F$546,'Raw IC'!$A$5:$A$546,$B56,'Raw IC'!$B$5:$B$546,5))</x:f>
        <x:v>-0.04605223865343787</x:v>
      </x:c>
      <x:c r="G56" s="30" t="n">
        <x:f>IF(COUNTIFS('Raw IC'!$A$5:$A$546,$B56,'Raw IC'!$B$5:$B$546,5)=0,"",SUMIFS('Raw IC'!$H$5:$H$546,'Raw IC'!$A$5:$A$546,$B56,'Raw IC'!$B$5:$B$546,5))</x:f>
        <x:v>-0.3419418344779943</x:v>
      </x:c>
      <x:c r="H56" s="30" t="n">
        <x:f>IF(COUNTIFS('Raw IC'!$A$5:$A$546,$B56,'Raw IC'!$B$5:$B$546,10)=0,"",SUMIFS('Raw IC'!$F$5:$F$546,'Raw IC'!$A$5:$A$546,$B56,'Raw IC'!$B$5:$B$546,10))</x:f>
        <x:v>-0.050813754781149335</x:v>
      </x:c>
      <x:c r="I56" s="30" t="n">
        <x:f>IF(COUNTIFS('Raw IC'!$A$5:$A$546,$B56,'Raw IC'!$B$5:$B$546,10)=0,"",SUMIFS('Raw IC'!$H$5:$H$546,'Raw IC'!$A$5:$A$546,$B56,'Raw IC'!$B$5:$B$546,10))</x:f>
        <x:v>-0.3893935625948517</x:v>
      </x:c>
      <x:c r="J56" s="30" t="n">
        <x:f>IF(COUNTIFS('Raw IC'!$A$5:$A$546,$B56,'Raw IC'!$B$5:$B$546,20)=0,"",SUMIFS('Raw IC'!$F$5:$F$546,'Raw IC'!$A$5:$A$546,$B56,'Raw IC'!$B$5:$B$546,20))</x:f>
        <x:v>-0.05688399120856618</x:v>
      </x:c>
      <x:c r="K56" s="30" t="n">
        <x:f>IF(COUNTIFS('Raw IC'!$A$5:$A$546,$B56,'Raw IC'!$B$5:$B$546,20)=0,"",SUMIFS('Raw IC'!$H$5:$H$546,'Raw IC'!$A$5:$A$546,$B56,'Raw IC'!$B$5:$B$546,20))</x:f>
        <x:v>-0.4248672831175565</x:v>
      </x:c>
      <x:c r="L56" s="30" t="n">
        <x:f>IF(COUNT(I56,K56)&lt;2,"",AVERAGE(ABS(I56),ABS(K56)))</x:f>
        <x:v>0.4071304228562041</x:v>
      </x:c>
      <x:c r="M56" t="str">
        <x:f>IF(COUNT(H56,J56)&lt;2,"",IF(H56*J56&gt;=0,IF(H56&gt;=0,"positive","negative"),"mixed"))</x:f>
        <x:v>negative</x:v>
      </x:c>
      <x:c r="N56" s="74" t="n">
        <x:v>46210.3353965162</x:v>
      </x:c>
      <x:c r="O56" s="19" t="n">
        <x:v>8902245</x:v>
      </x:c>
      <x:c r="P56" t="str">
        <x:v>40355b29bce094aef0e99358bdfd4011b92e72a54440a67760de4afae4883c33</x:v>
      </x:c>
      <x:c r="Q56" t="str">
        <x:v>factor_report/gtja191_batch/gtja_052</x:v>
      </x:c>
    </x:row>
    <x:row r="57">
      <x:c r="A57" s="50" t="n">
        <x:f>IF($C57="ranked",1+COUNTIFS($C$5:$C$190,"ranked",$L$5:$L$190,"&gt;"&amp;$L57),"")</x:f>
        <x:v>53</x:v>
      </x:c>
      <x:c r="B57" t="str">
        <x:v>gtja_135</x:v>
      </x:c>
      <x:c r="C57" t="str">
        <x:v>ranked</x:v>
      </x:c>
      <x:c r="D57" s="30" t="n">
        <x:f>IF(COUNTIFS('Raw IC'!$A$5:$A$546,$B57,'Raw IC'!$B$5:$B$546,1)=0,"",SUMIFS('Raw IC'!$F$5:$F$546,'Raw IC'!$A$5:$A$546,$B57,'Raw IC'!$B$5:$B$546,1))</x:f>
        <x:v>-0.0271013404194672</x:v>
      </x:c>
      <x:c r="E57" s="30" t="n">
        <x:f>IF(COUNTIFS('Raw IC'!$A$5:$A$546,$B57,'Raw IC'!$B$5:$B$546,1)=0,"",SUMIFS('Raw IC'!$H$5:$H$546,'Raw IC'!$A$5:$A$546,$B57,'Raw IC'!$B$5:$B$546,1))</x:f>
        <x:v>-0.16908905128783205</x:v>
      </x:c>
      <x:c r="F57" s="30" t="n">
        <x:f>IF(COUNTIFS('Raw IC'!$A$5:$A$546,$B57,'Raw IC'!$B$5:$B$546,5)=0,"",SUMIFS('Raw IC'!$F$5:$F$546,'Raw IC'!$A$5:$A$546,$B57,'Raw IC'!$B$5:$B$546,5))</x:f>
        <x:v>-0.0456536266840207</x:v>
      </x:c>
      <x:c r="G57" s="30" t="n">
        <x:f>IF(COUNTIFS('Raw IC'!$A$5:$A$546,$B57,'Raw IC'!$B$5:$B$546,5)=0,"",SUMIFS('Raw IC'!$H$5:$H$546,'Raw IC'!$A$5:$A$546,$B57,'Raw IC'!$B$5:$B$546,5))</x:f>
        <x:v>-0.303921171897402</x:v>
      </x:c>
      <x:c r="H57" s="30" t="n">
        <x:f>IF(COUNTIFS('Raw IC'!$A$5:$A$546,$B57,'Raw IC'!$B$5:$B$546,10)=0,"",SUMIFS('Raw IC'!$F$5:$F$546,'Raw IC'!$A$5:$A$546,$B57,'Raw IC'!$B$5:$B$546,10))</x:f>
        <x:v>-0.05522083927672666</x:v>
      </x:c>
      <x:c r="I57" s="30" t="n">
        <x:f>IF(COUNTIFS('Raw IC'!$A$5:$A$546,$B57,'Raw IC'!$B$5:$B$546,10)=0,"",SUMIFS('Raw IC'!$H$5:$H$546,'Raw IC'!$A$5:$A$546,$B57,'Raw IC'!$B$5:$B$546,10))</x:f>
        <x:v>-0.3767448642268038</x:v>
      </x:c>
      <x:c r="J57" s="30" t="n">
        <x:f>IF(COUNTIFS('Raw IC'!$A$5:$A$546,$B57,'Raw IC'!$B$5:$B$546,20)=0,"",SUMIFS('Raw IC'!$F$5:$F$546,'Raw IC'!$A$5:$A$546,$B57,'Raw IC'!$B$5:$B$546,20))</x:f>
        <x:v>-0.06280560668826968</x:v>
      </x:c>
      <x:c r="K57" s="30" t="n">
        <x:f>IF(COUNTIFS('Raw IC'!$A$5:$A$546,$B57,'Raw IC'!$B$5:$B$546,20)=0,"",SUMIFS('Raw IC'!$H$5:$H$546,'Raw IC'!$A$5:$A$546,$B57,'Raw IC'!$B$5:$B$546,20))</x:f>
        <x:v>-0.42760829604179884</x:v>
      </x:c>
      <x:c r="L57" s="30" t="n">
        <x:f>IF(COUNT(I57,K57)&lt;2,"",AVERAGE(ABS(I57),ABS(K57)))</x:f>
        <x:v>0.40217658013430135</x:v>
      </x:c>
      <x:c r="M57" t="str">
        <x:f>IF(COUNT(H57,J57)&lt;2,"",IF(H57*J57&gt;=0,IF(H57&gt;=0,"positive","negative"),"mixed"))</x:f>
        <x:v>negative</x:v>
      </x:c>
      <x:c r="N57" s="74" t="n">
        <x:v>46210.7465330787</x:v>
      </x:c>
      <x:c r="O57" s="19" t="n">
        <x:v>8902245</x:v>
      </x:c>
      <x:c r="P57" t="str">
        <x:v>40355b29bce094aef0e99358bdfd4011b92e72a54440a67760de4afae4883c33</x:v>
      </x:c>
      <x:c r="Q57" t="str">
        <x:v>factor_report/gtja191_batch/gtja_135</x:v>
      </x:c>
    </x:row>
    <x:row r="58">
      <x:c r="A58" s="50" t="n">
        <x:f>IF($C58="ranked",1+COUNTIFS($C$5:$C$190,"ranked",$L$5:$L$190,"&gt;"&amp;$L58),"")</x:f>
        <x:v>54</x:v>
      </x:c>
      <x:c r="B58" t="str">
        <x:v>gtja_122</x:v>
      </x:c>
      <x:c r="C58" t="str">
        <x:v>ranked</x:v>
      </x:c>
      <x:c r="D58" s="30" t="n">
        <x:f>IF(COUNTIFS('Raw IC'!$A$5:$A$546,$B58,'Raw IC'!$B$5:$B$546,1)=0,"",SUMIFS('Raw IC'!$F$5:$F$546,'Raw IC'!$A$5:$A$546,$B58,'Raw IC'!$B$5:$B$546,1))</x:f>
        <x:v>-0.02822400894571206</x:v>
      </x:c>
      <x:c r="E58" s="30" t="n">
        <x:f>IF(COUNTIFS('Raw IC'!$A$5:$A$546,$B58,'Raw IC'!$B$5:$B$546,1)=0,"",SUMIFS('Raw IC'!$H$5:$H$546,'Raw IC'!$A$5:$A$546,$B58,'Raw IC'!$B$5:$B$546,1))</x:f>
        <x:v>-0.18725283158334297</x:v>
      </x:c>
      <x:c r="F58" s="30" t="n">
        <x:f>IF(COUNTIFS('Raw IC'!$A$5:$A$546,$B58,'Raw IC'!$B$5:$B$546,5)=0,"",SUMIFS('Raw IC'!$F$5:$F$546,'Raw IC'!$A$5:$A$546,$B58,'Raw IC'!$B$5:$B$546,5))</x:f>
        <x:v>-0.0438131005715145</x:v>
      </x:c>
      <x:c r="G58" s="30" t="n">
        <x:f>IF(COUNTIFS('Raw IC'!$A$5:$A$546,$B58,'Raw IC'!$B$5:$B$546,5)=0,"",SUMIFS('Raw IC'!$H$5:$H$546,'Raw IC'!$A$5:$A$546,$B58,'Raw IC'!$B$5:$B$546,5))</x:f>
        <x:v>-0.3056013485716539</x:v>
      </x:c>
      <x:c r="H58" s="30" t="n">
        <x:f>IF(COUNTIFS('Raw IC'!$A$5:$A$546,$B58,'Raw IC'!$B$5:$B$546,10)=0,"",SUMIFS('Raw IC'!$F$5:$F$546,'Raw IC'!$A$5:$A$546,$B58,'Raw IC'!$B$5:$B$546,10))</x:f>
        <x:v>-0.052148612256162144</x:v>
      </x:c>
      <x:c r="I58" s="30" t="n">
        <x:f>IF(COUNTIFS('Raw IC'!$A$5:$A$546,$B58,'Raw IC'!$B$5:$B$546,10)=0,"",SUMIFS('Raw IC'!$H$5:$H$546,'Raw IC'!$A$5:$A$546,$B58,'Raw IC'!$B$5:$B$546,10))</x:f>
        <x:v>-0.3715562072541715</x:v>
      </x:c>
      <x:c r="J58" s="30" t="n">
        <x:f>IF(COUNTIFS('Raw IC'!$A$5:$A$546,$B58,'Raw IC'!$B$5:$B$546,20)=0,"",SUMIFS('Raw IC'!$F$5:$F$546,'Raw IC'!$A$5:$A$546,$B58,'Raw IC'!$B$5:$B$546,20))</x:f>
        <x:v>-0.06169555004624976</x:v>
      </x:c>
      <x:c r="K58" s="30" t="n">
        <x:f>IF(COUNTIFS('Raw IC'!$A$5:$A$546,$B58,'Raw IC'!$B$5:$B$546,20)=0,"",SUMIFS('Raw IC'!$H$5:$H$546,'Raw IC'!$A$5:$A$546,$B58,'Raw IC'!$B$5:$B$546,20))</x:f>
        <x:v>-0.42913898920507443</x:v>
      </x:c>
      <x:c r="L58" s="30" t="n">
        <x:f>IF(COUNT(I58,K58)&lt;2,"",AVERAGE(ABS(I58),ABS(K58)))</x:f>
        <x:v>0.40034759822962296</x:v>
      </x:c>
      <x:c r="M58" t="str">
        <x:f>IF(COUNT(H58,J58)&lt;2,"",IF(H58*J58&gt;=0,IF(H58&gt;=0,"positive","negative"),"mixed"))</x:f>
        <x:v>negative</x:v>
      </x:c>
      <x:c r="N58" s="74" t="n">
        <x:v>46210.69213701389</x:v>
      </x:c>
      <x:c r="O58" s="19" t="n">
        <x:v>8902245</x:v>
      </x:c>
      <x:c r="P58" t="str">
        <x:v>40355b29bce094aef0e99358bdfd4011b92e72a54440a67760de4afae4883c33</x:v>
      </x:c>
      <x:c r="Q58" t="str">
        <x:v>factor_report/gtja191_batch/gtja_122</x:v>
      </x:c>
    </x:row>
    <x:row r="59">
      <x:c r="A59" s="50" t="n">
        <x:f>IF($C59="ranked",1+COUNTIFS($C$5:$C$190,"ranked",$L$5:$L$190,"&gt;"&amp;$L59),"")</x:f>
        <x:v>55</x:v>
      </x:c>
      <x:c r="B59" t="str">
        <x:v>gtja_027</x:v>
      </x:c>
      <x:c r="C59" t="str">
        <x:v>ranked</x:v>
      </x:c>
      <x:c r="D59" s="30" t="n">
        <x:f>IF(COUNTIFS('Raw IC'!$A$5:$A$546,$B59,'Raw IC'!$B$5:$B$546,1)=0,"",SUMIFS('Raw IC'!$F$5:$F$546,'Raw IC'!$A$5:$A$546,$B59,'Raw IC'!$B$5:$B$546,1))</x:f>
        <x:v>-0.03227867179282106</x:v>
      </x:c>
      <x:c r="E59" s="30" t="n">
        <x:f>IF(COUNTIFS('Raw IC'!$A$5:$A$546,$B59,'Raw IC'!$B$5:$B$546,1)=0,"",SUMIFS('Raw IC'!$H$5:$H$546,'Raw IC'!$A$5:$A$546,$B59,'Raw IC'!$B$5:$B$546,1))</x:f>
        <x:v>-0.21519589774243855</x:v>
      </x:c>
      <x:c r="F59" s="30" t="n">
        <x:f>IF(COUNTIFS('Raw IC'!$A$5:$A$546,$B59,'Raw IC'!$B$5:$B$546,5)=0,"",SUMIFS('Raw IC'!$F$5:$F$546,'Raw IC'!$A$5:$A$546,$B59,'Raw IC'!$B$5:$B$546,5))</x:f>
        <x:v>-0.04258089304277106</x:v>
      </x:c>
      <x:c r="G59" s="30" t="n">
        <x:f>IF(COUNTIFS('Raw IC'!$A$5:$A$546,$B59,'Raw IC'!$B$5:$B$546,5)=0,"",SUMIFS('Raw IC'!$H$5:$H$546,'Raw IC'!$A$5:$A$546,$B59,'Raw IC'!$B$5:$B$546,5))</x:f>
        <x:v>-0.30503094682410564</x:v>
      </x:c>
      <x:c r="H59" s="30" t="n">
        <x:f>IF(COUNTIFS('Raw IC'!$A$5:$A$546,$B59,'Raw IC'!$B$5:$B$546,10)=0,"",SUMIFS('Raw IC'!$F$5:$F$546,'Raw IC'!$A$5:$A$546,$B59,'Raw IC'!$B$5:$B$546,10))</x:f>
        <x:v>-0.04865420573089825</x:v>
      </x:c>
      <x:c r="I59" s="30" t="n">
        <x:f>IF(COUNTIFS('Raw IC'!$A$5:$A$546,$B59,'Raw IC'!$B$5:$B$546,10)=0,"",SUMIFS('Raw IC'!$H$5:$H$546,'Raw IC'!$A$5:$A$546,$B59,'Raw IC'!$B$5:$B$546,10))</x:f>
        <x:v>-0.366220657807867</x:v>
      </x:c>
      <x:c r="J59" s="30" t="n">
        <x:f>IF(COUNTIFS('Raw IC'!$A$5:$A$546,$B59,'Raw IC'!$B$5:$B$546,20)=0,"",SUMIFS('Raw IC'!$F$5:$F$546,'Raw IC'!$A$5:$A$546,$B59,'Raw IC'!$B$5:$B$546,20))</x:f>
        <x:v>-0.057093229495932894</x:v>
      </x:c>
      <x:c r="K59" s="30" t="n">
        <x:f>IF(COUNTIFS('Raw IC'!$A$5:$A$546,$B59,'Raw IC'!$B$5:$B$546,20)=0,"",SUMIFS('Raw IC'!$H$5:$H$546,'Raw IC'!$A$5:$A$546,$B59,'Raw IC'!$B$5:$B$546,20))</x:f>
        <x:v>-0.4320561687628225</x:v>
      </x:c>
      <x:c r="L59" s="30" t="n">
        <x:f>IF(COUNT(I59,K59)&lt;2,"",AVERAGE(ABS(I59),ABS(K59)))</x:f>
        <x:v>0.3991384132853447</x:v>
      </x:c>
      <x:c r="M59" t="str">
        <x:f>IF(COUNT(H59,J59)&lt;2,"",IF(H59*J59&gt;=0,IF(H59&gt;=0,"positive","negative"),"mixed"))</x:f>
        <x:v>negative</x:v>
      </x:c>
      <x:c r="N59" s="74" t="n">
        <x:v>46210.22519262732</x:v>
      </x:c>
      <x:c r="O59" s="19" t="n">
        <x:v>8902245</x:v>
      </x:c>
      <x:c r="P59" t="str">
        <x:v>40355b29bce094aef0e99358bdfd4011b92e72a54440a67760de4afae4883c33</x:v>
      </x:c>
      <x:c r="Q59" t="str">
        <x:v>factor_report/gtja191_batch/gtja_027</x:v>
      </x:c>
    </x:row>
    <x:row r="60">
      <x:c r="A60" s="50" t="n">
        <x:f>IF($C60="ranked",1+COUNTIFS($C$5:$C$190,"ranked",$L$5:$L$190,"&gt;"&amp;$L60),"")</x:f>
        <x:v>56</x:v>
      </x:c>
      <x:c r="B60" t="str">
        <x:v>gtja_185</x:v>
      </x:c>
      <x:c r="C60" t="str">
        <x:v>ranked</x:v>
      </x:c>
      <x:c r="D60" s="30" t="str">
        <x:f>IF(COUNTIFS('Raw IC'!$A$5:$A$546,$B60,'Raw IC'!$B$5:$B$546,1)=0,"",SUMIFS('Raw IC'!$F$5:$F$546,'Raw IC'!$A$5:$A$546,$B60,'Raw IC'!$B$5:$B$546,1))</x:f>
      </x:c>
      <x:c r="E60" s="30" t="str">
        <x:f>IF(COUNTIFS('Raw IC'!$A$5:$A$546,$B60,'Raw IC'!$B$5:$B$546,1)=0,"",SUMIFS('Raw IC'!$H$5:$H$546,'Raw IC'!$A$5:$A$546,$B60,'Raw IC'!$B$5:$B$546,1))</x:f>
      </x:c>
      <x:c r="F60" s="30" t="str">
        <x:f>IF(COUNTIFS('Raw IC'!$A$5:$A$546,$B60,'Raw IC'!$B$5:$B$546,5)=0,"",SUMIFS('Raw IC'!$F$5:$F$546,'Raw IC'!$A$5:$A$546,$B60,'Raw IC'!$B$5:$B$546,5))</x:f>
      </x:c>
      <x:c r="G60" s="30" t="str">
        <x:f>IF(COUNTIFS('Raw IC'!$A$5:$A$546,$B60,'Raw IC'!$B$5:$B$546,5)=0,"",SUMIFS('Raw IC'!$H$5:$H$546,'Raw IC'!$A$5:$A$546,$B60,'Raw IC'!$B$5:$B$546,5))</x:f>
      </x:c>
      <x:c r="H60" s="30" t="n">
        <x:f>IF(COUNTIFS('Raw IC'!$A$5:$A$546,$B60,'Raw IC'!$B$5:$B$546,10)=0,"",SUMIFS('Raw IC'!$F$5:$F$546,'Raw IC'!$A$5:$A$546,$B60,'Raw IC'!$B$5:$B$546,10))</x:f>
        <x:v>0.03876024836720656</x:v>
      </x:c>
      <x:c r="I60" s="30" t="n">
        <x:f>IF(COUNTIFS('Raw IC'!$A$5:$A$546,$B60,'Raw IC'!$B$5:$B$546,10)=0,"",SUMIFS('Raw IC'!$H$5:$H$546,'Raw IC'!$A$5:$A$546,$B60,'Raw IC'!$B$5:$B$546,10))</x:f>
        <x:v>0.37413212083301284</x:v>
      </x:c>
      <x:c r="J60" s="30" t="n">
        <x:f>IF(COUNTIFS('Raw IC'!$A$5:$A$546,$B60,'Raw IC'!$B$5:$B$546,20)=0,"",SUMIFS('Raw IC'!$F$5:$F$546,'Raw IC'!$A$5:$A$546,$B60,'Raw IC'!$B$5:$B$546,20))</x:f>
        <x:v>0.04305487070574985</x:v>
      </x:c>
      <x:c r="K60" s="30" t="n">
        <x:f>IF(COUNTIFS('Raw IC'!$A$5:$A$546,$B60,'Raw IC'!$B$5:$B$546,20)=0,"",SUMIFS('Raw IC'!$H$5:$H$546,'Raw IC'!$A$5:$A$546,$B60,'Raw IC'!$B$5:$B$546,20))</x:f>
        <x:v>0.4173238317218113</x:v>
      </x:c>
      <x:c r="L60" s="30" t="n">
        <x:f>IF(COUNT(I60,K60)&lt;2,"",AVERAGE(ABS(I60),ABS(K60)))</x:f>
        <x:v>0.3957279762774121</x:v>
      </x:c>
      <x:c r="M60" t="str">
        <x:f>IF(COUNT(H60,J60)&lt;2,"",IF(H60*J60&gt;=0,IF(H60&gt;=0,"positive","negative"),"mixed"))</x:f>
        <x:v>positive</x:v>
      </x:c>
      <x:c r="N60" s="74" t="n">
        <x:v>46211.545996712965</x:v>
      </x:c>
      <x:c r="O60" s="19" t="n">
        <x:v>8902245</x:v>
      </x:c>
      <x:c r="P60" t="str">
        <x:v>8f7e606554926462248cbcc654181861438ca768a0063f6b317223ede37d16fb</x:v>
      </x:c>
      <x:c r="Q60" t="str">
        <x:v>factor_report/gtja191_batch/gtja_185</x:v>
      </x:c>
    </x:row>
    <x:row r="61">
      <x:c r="A61" s="50" t="n">
        <x:f>IF($C61="ranked",1+COUNTIFS($C$5:$C$190,"ranked",$L$5:$L$190,"&gt;"&amp;$L61),"")</x:f>
        <x:v>57</x:v>
      </x:c>
      <x:c r="B61" t="str">
        <x:v>gtja_175</x:v>
      </x:c>
      <x:c r="C61" t="str">
        <x:v>ranked</x:v>
      </x:c>
      <x:c r="D61" s="30" t="n">
        <x:f>IF(COUNTIFS('Raw IC'!$A$5:$A$546,$B61,'Raw IC'!$B$5:$B$546,1)=0,"",SUMIFS('Raw IC'!$F$5:$F$546,'Raw IC'!$A$5:$A$546,$B61,'Raw IC'!$B$5:$B$546,1))</x:f>
        <x:v>-0.04022078430442937</x:v>
      </x:c>
      <x:c r="E61" s="30" t="n">
        <x:f>IF(COUNTIFS('Raw IC'!$A$5:$A$546,$B61,'Raw IC'!$B$5:$B$546,1)=0,"",SUMIFS('Raw IC'!$H$5:$H$546,'Raw IC'!$A$5:$A$546,$B61,'Raw IC'!$B$5:$B$546,1))</x:f>
        <x:v>-0.22122477706679172</x:v>
      </x:c>
      <x:c r="F61" s="30" t="n">
        <x:f>IF(COUNTIFS('Raw IC'!$A$5:$A$546,$B61,'Raw IC'!$B$5:$B$546,5)=0,"",SUMIFS('Raw IC'!$F$5:$F$546,'Raw IC'!$A$5:$A$546,$B61,'Raw IC'!$B$5:$B$546,5))</x:f>
        <x:v>-0.058075668845902644</x:v>
      </x:c>
      <x:c r="G61" s="30" t="n">
        <x:f>IF(COUNTIFS('Raw IC'!$A$5:$A$546,$B61,'Raw IC'!$B$5:$B$546,5)=0,"",SUMIFS('Raw IC'!$H$5:$H$546,'Raw IC'!$A$5:$A$546,$B61,'Raw IC'!$B$5:$B$546,5))</x:f>
        <x:v>-0.3134421698857631</x:v>
      </x:c>
      <x:c r="H61" s="30" t="n">
        <x:f>IF(COUNTIFS('Raw IC'!$A$5:$A$546,$B61,'Raw IC'!$B$5:$B$546,10)=0,"",SUMIFS('Raw IC'!$F$5:$F$546,'Raw IC'!$A$5:$A$546,$B61,'Raw IC'!$B$5:$B$546,10))</x:f>
        <x:v>-0.06974166759422153</x:v>
      </x:c>
      <x:c r="I61" s="30" t="n">
        <x:f>IF(COUNTIFS('Raw IC'!$A$5:$A$546,$B61,'Raw IC'!$B$5:$B$546,10)=0,"",SUMIFS('Raw IC'!$H$5:$H$546,'Raw IC'!$A$5:$A$546,$B61,'Raw IC'!$B$5:$B$546,10))</x:f>
        <x:v>-0.3637594247918854</x:v>
      </x:c>
      <x:c r="J61" s="30" t="n">
        <x:f>IF(COUNTIFS('Raw IC'!$A$5:$A$546,$B61,'Raw IC'!$B$5:$B$546,20)=0,"",SUMIFS('Raw IC'!$F$5:$F$546,'Raw IC'!$A$5:$A$546,$B61,'Raw IC'!$B$5:$B$546,20))</x:f>
        <x:v>-0.08375038278283142</x:v>
      </x:c>
      <x:c r="K61" s="30" t="n">
        <x:f>IF(COUNTIFS('Raw IC'!$A$5:$A$546,$B61,'Raw IC'!$B$5:$B$546,20)=0,"",SUMIFS('Raw IC'!$H$5:$H$546,'Raw IC'!$A$5:$A$546,$B61,'Raw IC'!$B$5:$B$546,20))</x:f>
        <x:v>-0.4248591313536239</x:v>
      </x:c>
      <x:c r="L61" s="30" t="n">
        <x:f>IF(COUNT(I61,K61)&lt;2,"",AVERAGE(ABS(I61),ABS(K61)))</x:f>
        <x:v>0.3943092780727546</x:v>
      </x:c>
      <x:c r="M61" t="str">
        <x:f>IF(COUNT(H61,J61)&lt;2,"",IF(H61*J61&gt;=0,IF(H61&gt;=0,"positive","negative"),"mixed"))</x:f>
        <x:v>negative</x:v>
      </x:c>
      <x:c r="N61" s="74" t="n">
        <x:v>46210.925217731485</x:v>
      </x:c>
      <x:c r="O61" s="19" t="n">
        <x:v>8902245</x:v>
      </x:c>
      <x:c r="P61" t="str">
        <x:v>40355b29bce094aef0e99358bdfd4011b92e72a54440a67760de4afae4883c33</x:v>
      </x:c>
      <x:c r="Q61" t="str">
        <x:v>factor_report/gtja191_batch/gtja_175</x:v>
      </x:c>
    </x:row>
    <x:row r="62">
      <x:c r="A62" s="50" t="n">
        <x:f>IF($C62="ranked",1+COUNTIFS($C$5:$C$190,"ranked",$L$5:$L$190,"&gt;"&amp;$L62),"")</x:f>
        <x:v>58</x:v>
      </x:c>
      <x:c r="B62" t="str">
        <x:v>gtja_109</x:v>
      </x:c>
      <x:c r="C62" t="str">
        <x:v>ranked</x:v>
      </x:c>
      <x:c r="D62" s="30" t="n">
        <x:f>IF(COUNTIFS('Raw IC'!$A$5:$A$546,$B62,'Raw IC'!$B$5:$B$546,1)=0,"",SUMIFS('Raw IC'!$F$5:$F$546,'Raw IC'!$A$5:$A$546,$B62,'Raw IC'!$B$5:$B$546,1))</x:f>
        <x:v>-0.0301935078494394</x:v>
      </x:c>
      <x:c r="E62" s="30" t="n">
        <x:f>IF(COUNTIFS('Raw IC'!$A$5:$A$546,$B62,'Raw IC'!$B$5:$B$546,1)=0,"",SUMIFS('Raw IC'!$H$5:$H$546,'Raw IC'!$A$5:$A$546,$B62,'Raw IC'!$B$5:$B$546,1))</x:f>
        <x:v>-0.29927798795500865</x:v>
      </x:c>
      <x:c r="F62" s="30" t="n">
        <x:f>IF(COUNTIFS('Raw IC'!$A$5:$A$546,$B62,'Raw IC'!$B$5:$B$546,5)=0,"",SUMIFS('Raw IC'!$F$5:$F$546,'Raw IC'!$A$5:$A$546,$B62,'Raw IC'!$B$5:$B$546,5))</x:f>
        <x:v>-0.031379071152616365</x:v>
      </x:c>
      <x:c r="G62" s="30" t="n">
        <x:f>IF(COUNTIFS('Raw IC'!$A$5:$A$546,$B62,'Raw IC'!$B$5:$B$546,5)=0,"",SUMIFS('Raw IC'!$H$5:$H$546,'Raw IC'!$A$5:$A$546,$B62,'Raw IC'!$B$5:$B$546,5))</x:f>
        <x:v>-0.336515386448632</x:v>
      </x:c>
      <x:c r="H62" s="30" t="n">
        <x:f>IF(COUNTIFS('Raw IC'!$A$5:$A$546,$B62,'Raw IC'!$B$5:$B$546,10)=0,"",SUMIFS('Raw IC'!$F$5:$F$546,'Raw IC'!$A$5:$A$546,$B62,'Raw IC'!$B$5:$B$546,10))</x:f>
        <x:v>-0.03266799806433209</x:v>
      </x:c>
      <x:c r="I62" s="30" t="n">
        <x:f>IF(COUNTIFS('Raw IC'!$A$5:$A$546,$B62,'Raw IC'!$B$5:$B$546,10)=0,"",SUMIFS('Raw IC'!$H$5:$H$546,'Raw IC'!$A$5:$A$546,$B62,'Raw IC'!$B$5:$B$546,10))</x:f>
        <x:v>-0.3697926888190884</x:v>
      </x:c>
      <x:c r="J62" s="30" t="n">
        <x:f>IF(COUNTIFS('Raw IC'!$A$5:$A$546,$B62,'Raw IC'!$B$5:$B$546,20)=0,"",SUMIFS('Raw IC'!$F$5:$F$546,'Raw IC'!$A$5:$A$546,$B62,'Raw IC'!$B$5:$B$546,20))</x:f>
        <x:v>-0.03460018068250707</x:v>
      </x:c>
      <x:c r="K62" s="30" t="n">
        <x:f>IF(COUNTIFS('Raw IC'!$A$5:$A$546,$B62,'Raw IC'!$B$5:$B$546,20)=0,"",SUMIFS('Raw IC'!$H$5:$H$546,'Raw IC'!$A$5:$A$546,$B62,'Raw IC'!$B$5:$B$546,20))</x:f>
        <x:v>-0.409586314974142</x:v>
      </x:c>
      <x:c r="L62" s="30" t="n">
        <x:f>IF(COUNT(I62,K62)&lt;2,"",AVERAGE(ABS(I62),ABS(K62)))</x:f>
        <x:v>0.3896895018966152</x:v>
      </x:c>
      <x:c r="M62" t="str">
        <x:f>IF(COUNT(H62,J62)&lt;2,"",IF(H62*J62&gt;=0,IF(H62&gt;=0,"positive","negative"),"mixed"))</x:f>
        <x:v>negative</x:v>
      </x:c>
      <x:c r="N62" s="74" t="n">
        <x:v>46210.612487280094</x:v>
      </x:c>
      <x:c r="O62" s="19" t="n">
        <x:v>8902245</x:v>
      </x:c>
      <x:c r="P62" t="str">
        <x:v>40355b29bce094aef0e99358bdfd4011b92e72a54440a67760de4afae4883c33</x:v>
      </x:c>
      <x:c r="Q62" t="str">
        <x:v>factor_report/gtja191_batch/gtja_109</x:v>
      </x:c>
    </x:row>
    <x:row r="63">
      <x:c r="A63" s="50" t="n">
        <x:f>IF($C63="ranked",1+COUNTIFS($C$5:$C$190,"ranked",$L$5:$L$190,"&gt;"&amp;$L63),"")</x:f>
        <x:v>59</x:v>
      </x:c>
      <x:c r="B63" t="str">
        <x:v>gtja_177</x:v>
      </x:c>
      <x:c r="C63" t="str">
        <x:v>ranked</x:v>
      </x:c>
      <x:c r="D63" s="30" t="n">
        <x:f>IF(COUNTIFS('Raw IC'!$A$5:$A$546,$B63,'Raw IC'!$B$5:$B$546,1)=0,"",SUMIFS('Raw IC'!$F$5:$F$546,'Raw IC'!$A$5:$A$546,$B63,'Raw IC'!$B$5:$B$546,1))</x:f>
        <x:v>-0.025157689246815995</x:v>
      </x:c>
      <x:c r="E63" s="30" t="n">
        <x:f>IF(COUNTIFS('Raw IC'!$A$5:$A$546,$B63,'Raw IC'!$B$5:$B$546,1)=0,"",SUMIFS('Raw IC'!$H$5:$H$546,'Raw IC'!$A$5:$A$546,$B63,'Raw IC'!$B$5:$B$546,1))</x:f>
        <x:v>-0.2285676401172934</x:v>
      </x:c>
      <x:c r="F63" s="30" t="n">
        <x:f>IF(COUNTIFS('Raw IC'!$A$5:$A$546,$B63,'Raw IC'!$B$5:$B$546,5)=0,"",SUMIFS('Raw IC'!$F$5:$F$546,'Raw IC'!$A$5:$A$546,$B63,'Raw IC'!$B$5:$B$546,5))</x:f>
        <x:v>-0.032231683722138145</x:v>
      </x:c>
      <x:c r="G63" s="30" t="n">
        <x:f>IF(COUNTIFS('Raw IC'!$A$5:$A$546,$B63,'Raw IC'!$B$5:$B$546,5)=0,"",SUMIFS('Raw IC'!$H$5:$H$546,'Raw IC'!$A$5:$A$546,$B63,'Raw IC'!$B$5:$B$546,5))</x:f>
        <x:v>-0.31228597273625397</x:v>
      </x:c>
      <x:c r="H63" s="30" t="n">
        <x:f>IF(COUNTIFS('Raw IC'!$A$5:$A$546,$B63,'Raw IC'!$B$5:$B$546,10)=0,"",SUMIFS('Raw IC'!$F$5:$F$546,'Raw IC'!$A$5:$A$546,$B63,'Raw IC'!$B$5:$B$546,10))</x:f>
        <x:v>-0.036733152768811825</x:v>
      </x:c>
      <x:c r="I63" s="30" t="n">
        <x:f>IF(COUNTIFS('Raw IC'!$A$5:$A$546,$B63,'Raw IC'!$B$5:$B$546,10)=0,"",SUMIFS('Raw IC'!$H$5:$H$546,'Raw IC'!$A$5:$A$546,$B63,'Raw IC'!$B$5:$B$546,10))</x:f>
        <x:v>-0.3672461378767458</x:v>
      </x:c>
      <x:c r="J63" s="30" t="n">
        <x:f>IF(COUNTIFS('Raw IC'!$A$5:$A$546,$B63,'Raw IC'!$B$5:$B$546,20)=0,"",SUMIFS('Raw IC'!$F$5:$F$546,'Raw IC'!$A$5:$A$546,$B63,'Raw IC'!$B$5:$B$546,20))</x:f>
        <x:v>-0.04136338386476683</x:v>
      </x:c>
      <x:c r="K63" s="30" t="n">
        <x:f>IF(COUNTIFS('Raw IC'!$A$5:$A$546,$B63,'Raw IC'!$B$5:$B$546,20)=0,"",SUMIFS('Raw IC'!$H$5:$H$546,'Raw IC'!$A$5:$A$546,$B63,'Raw IC'!$B$5:$B$546,20))</x:f>
        <x:v>-0.4120134700539778</x:v>
      </x:c>
      <x:c r="L63" s="30" t="n">
        <x:f>IF(COUNT(I63,K63)&lt;2,"",AVERAGE(ABS(I63),ABS(K63)))</x:f>
        <x:v>0.38962980396536184</x:v>
      </x:c>
      <x:c r="M63" t="str">
        <x:f>IF(COUNT(H63,J63)&lt;2,"",IF(H63*J63&gt;=0,IF(H63&gt;=0,"positive","negative"),"mixed"))</x:f>
        <x:v>negative</x:v>
      </x:c>
      <x:c r="N63" s="74" t="n">
        <x:v>46210.93332200232</x:v>
      </x:c>
      <x:c r="O63" s="19" t="n">
        <x:v>8902245</x:v>
      </x:c>
      <x:c r="P63" t="str">
        <x:v>40355b29bce094aef0e99358bdfd4011b92e72a54440a67760de4afae4883c33</x:v>
      </x:c>
      <x:c r="Q63" t="str">
        <x:v>factor_report/gtja191_batch/gtja_177</x:v>
      </x:c>
    </x:row>
    <x:row r="64">
      <x:c r="A64" s="50" t="n">
        <x:f>IF($C64="ranked",1+COUNTIFS($C$5:$C$190,"ranked",$L$5:$L$190,"&gt;"&amp;$L64),"")</x:f>
        <x:v>60</x:v>
      </x:c>
      <x:c r="B64" t="str">
        <x:v>gtja_110</x:v>
      </x:c>
      <x:c r="C64" t="str">
        <x:v>ranked</x:v>
      </x:c>
      <x:c r="D64" s="30" t="n">
        <x:f>IF(COUNTIFS('Raw IC'!$A$5:$A$546,$B64,'Raw IC'!$B$5:$B$546,1)=0,"",SUMIFS('Raw IC'!$F$5:$F$546,'Raw IC'!$A$5:$A$546,$B64,'Raw IC'!$B$5:$B$546,1))</x:f>
        <x:v>-0.031266266000029894</x:v>
      </x:c>
      <x:c r="E64" s="30" t="n">
        <x:f>IF(COUNTIFS('Raw IC'!$A$5:$A$546,$B64,'Raw IC'!$B$5:$B$546,1)=0,"",SUMIFS('Raw IC'!$H$5:$H$546,'Raw IC'!$A$5:$A$546,$B64,'Raw IC'!$B$5:$B$546,1))</x:f>
        <x:v>-0.24395406863385982</x:v>
      </x:c>
      <x:c r="F64" s="30" t="n">
        <x:f>IF(COUNTIFS('Raw IC'!$A$5:$A$546,$B64,'Raw IC'!$B$5:$B$546,5)=0,"",SUMIFS('Raw IC'!$F$5:$F$546,'Raw IC'!$A$5:$A$546,$B64,'Raw IC'!$B$5:$B$546,5))</x:f>
        <x:v>-0.03999776918303655</x:v>
      </x:c>
      <x:c r="G64" s="30" t="n">
        <x:f>IF(COUNTIFS('Raw IC'!$A$5:$A$546,$B64,'Raw IC'!$B$5:$B$546,5)=0,"",SUMIFS('Raw IC'!$H$5:$H$546,'Raw IC'!$A$5:$A$546,$B64,'Raw IC'!$B$5:$B$546,5))</x:f>
        <x:v>-0.33871964105575875</x:v>
      </x:c>
      <x:c r="H64" s="30" t="n">
        <x:f>IF(COUNTIFS('Raw IC'!$A$5:$A$546,$B64,'Raw IC'!$B$5:$B$546,10)=0,"",SUMIFS('Raw IC'!$F$5:$F$546,'Raw IC'!$A$5:$A$546,$B64,'Raw IC'!$B$5:$B$546,10))</x:f>
        <x:v>-0.043642664763510655</x:v>
      </x:c>
      <x:c r="I64" s="30" t="n">
        <x:f>IF(COUNTIFS('Raw IC'!$A$5:$A$546,$B64,'Raw IC'!$B$5:$B$546,10)=0,"",SUMIFS('Raw IC'!$H$5:$H$546,'Raw IC'!$A$5:$A$546,$B64,'Raw IC'!$B$5:$B$546,10))</x:f>
        <x:v>-0.3809059693244731</x:v>
      </x:c>
      <x:c r="J64" s="30" t="n">
        <x:f>IF(COUNTIFS('Raw IC'!$A$5:$A$546,$B64,'Raw IC'!$B$5:$B$546,20)=0,"",SUMIFS('Raw IC'!$F$5:$F$546,'Raw IC'!$A$5:$A$546,$B64,'Raw IC'!$B$5:$B$546,20))</x:f>
        <x:v>-0.04728066301414187</x:v>
      </x:c>
      <x:c r="K64" s="30" t="n">
        <x:f>IF(COUNTIFS('Raw IC'!$A$5:$A$546,$B64,'Raw IC'!$B$5:$B$546,20)=0,"",SUMIFS('Raw IC'!$H$5:$H$546,'Raw IC'!$A$5:$A$546,$B64,'Raw IC'!$B$5:$B$546,20))</x:f>
        <x:v>-0.3980371686093581</x:v>
      </x:c>
      <x:c r="L64" s="30" t="n">
        <x:f>IF(COUNT(I64,K64)&lt;2,"",AVERAGE(ABS(I64),ABS(K64)))</x:f>
        <x:v>0.3894715689669156</x:v>
      </x:c>
      <x:c r="M64" t="str">
        <x:f>IF(COUNT(H64,J64)&lt;2,"",IF(H64*J64&gt;=0,IF(H64&gt;=0,"positive","negative"),"mixed"))</x:f>
        <x:v>negative</x:v>
      </x:c>
      <x:c r="N64" s="74" t="n">
        <x:v>46210.616483287034</x:v>
      </x:c>
      <x:c r="O64" s="19" t="n">
        <x:v>8902245</x:v>
      </x:c>
      <x:c r="P64" t="str">
        <x:v>40355b29bce094aef0e99358bdfd4011b92e72a54440a67760de4afae4883c33</x:v>
      </x:c>
      <x:c r="Q64" t="str">
        <x:v>factor_report/gtja191_batch/gtja_110</x:v>
      </x:c>
    </x:row>
    <x:row r="65">
      <x:c r="A65" s="50" t="n">
        <x:f>IF($C65="ranked",1+COUNTIFS($C$5:$C$190,"ranked",$L$5:$L$190,"&gt;"&amp;$L65),"")</x:f>
        <x:v>61</x:v>
      </x:c>
      <x:c r="B65" t="str">
        <x:v>gtja_144</x:v>
      </x:c>
      <x:c r="C65" t="str">
        <x:v>ranked</x:v>
      </x:c>
      <x:c r="D65" s="30" t="str">
        <x:f>IF(COUNTIFS('Raw IC'!$A$5:$A$546,$B65,'Raw IC'!$B$5:$B$546,1)=0,"",SUMIFS('Raw IC'!$F$5:$F$546,'Raw IC'!$A$5:$A$546,$B65,'Raw IC'!$B$5:$B$546,1))</x:f>
      </x:c>
      <x:c r="E65" s="30" t="str">
        <x:f>IF(COUNTIFS('Raw IC'!$A$5:$A$546,$B65,'Raw IC'!$B$5:$B$546,1)=0,"",SUMIFS('Raw IC'!$H$5:$H$546,'Raw IC'!$A$5:$A$546,$B65,'Raw IC'!$B$5:$B$546,1))</x:f>
      </x:c>
      <x:c r="F65" s="30" t="str">
        <x:f>IF(COUNTIFS('Raw IC'!$A$5:$A$546,$B65,'Raw IC'!$B$5:$B$546,5)=0,"",SUMIFS('Raw IC'!$F$5:$F$546,'Raw IC'!$A$5:$A$546,$B65,'Raw IC'!$B$5:$B$546,5))</x:f>
      </x:c>
      <x:c r="G65" s="30" t="str">
        <x:f>IF(COUNTIFS('Raw IC'!$A$5:$A$546,$B65,'Raw IC'!$B$5:$B$546,5)=0,"",SUMIFS('Raw IC'!$H$5:$H$546,'Raw IC'!$A$5:$A$546,$B65,'Raw IC'!$B$5:$B$546,5))</x:f>
      </x:c>
      <x:c r="H65" s="30" t="n">
        <x:f>IF(COUNTIFS('Raw IC'!$A$5:$A$546,$B65,'Raw IC'!$B$5:$B$546,10)=0,"",SUMIFS('Raw IC'!$F$5:$F$546,'Raw IC'!$A$5:$A$546,$B65,'Raw IC'!$B$5:$B$546,10))</x:f>
        <x:v>0.052773687297313424</x:v>
      </x:c>
      <x:c r="I65" s="30" t="n">
        <x:f>IF(COUNTIFS('Raw IC'!$A$5:$A$546,$B65,'Raw IC'!$B$5:$B$546,10)=0,"",SUMIFS('Raw IC'!$H$5:$H$546,'Raw IC'!$A$5:$A$546,$B65,'Raw IC'!$B$5:$B$546,10))</x:f>
        <x:v>0.3408198242974335</x:v>
      </x:c>
      <x:c r="J65" s="30" t="n">
        <x:f>IF(COUNTIFS('Raw IC'!$A$5:$A$546,$B65,'Raw IC'!$B$5:$B$546,20)=0,"",SUMIFS('Raw IC'!$F$5:$F$546,'Raw IC'!$A$5:$A$546,$B65,'Raw IC'!$B$5:$B$546,20))</x:f>
        <x:v>0.06900964811763187</x:v>
      </x:c>
      <x:c r="K65" s="30" t="n">
        <x:f>IF(COUNTIFS('Raw IC'!$A$5:$A$546,$B65,'Raw IC'!$B$5:$B$546,20)=0,"",SUMIFS('Raw IC'!$H$5:$H$546,'Raw IC'!$A$5:$A$546,$B65,'Raw IC'!$B$5:$B$546,20))</x:f>
        <x:v>0.4311959110963132</x:v>
      </x:c>
      <x:c r="L65" s="30" t="n">
        <x:f>IF(COUNT(I65,K65)&lt;2,"",AVERAGE(ABS(I65),ABS(K65)))</x:f>
        <x:v>0.38600786769687334</x:v>
      </x:c>
      <x:c r="M65" t="str">
        <x:f>IF(COUNT(H65,J65)&lt;2,"",IF(H65*J65&gt;=0,IF(H65&gt;=0,"positive","negative"),"mixed"))</x:f>
        <x:v>positive</x:v>
      </x:c>
      <x:c r="N65" s="74" t="n">
        <x:v>46211.45256542824</x:v>
      </x:c>
      <x:c r="O65" s="19" t="n">
        <x:v>8902245</x:v>
      </x:c>
      <x:c r="P65" t="str">
        <x:v>8f7e606554926462248cbcc654181861438ca768a0063f6b317223ede37d16fb</x:v>
      </x:c>
      <x:c r="Q65" t="str">
        <x:v>factor_report/gtja191_batch/gtja_144</x:v>
      </x:c>
    </x:row>
    <x:row r="66">
      <x:c r="A66" s="50" t="n">
        <x:f>IF($C66="ranked",1+COUNTIFS($C$5:$C$190,"ranked",$L$5:$L$190,"&gt;"&amp;$L66),"")</x:f>
        <x:v>62</x:v>
      </x:c>
      <x:c r="B66" t="str">
        <x:v>gtja_133</x:v>
      </x:c>
      <x:c r="C66" t="str">
        <x:v>ranked</x:v>
      </x:c>
      <x:c r="D66" s="30" t="n">
        <x:f>IF(COUNTIFS('Raw IC'!$A$5:$A$546,$B66,'Raw IC'!$B$5:$B$546,1)=0,"",SUMIFS('Raw IC'!$F$5:$F$546,'Raw IC'!$A$5:$A$546,$B66,'Raw IC'!$B$5:$B$546,1))</x:f>
        <x:v>-0.025732485756695758</x:v>
      </x:c>
      <x:c r="E66" s="30" t="n">
        <x:f>IF(COUNTIFS('Raw IC'!$A$5:$A$546,$B66,'Raw IC'!$B$5:$B$546,1)=0,"",SUMIFS('Raw IC'!$H$5:$H$546,'Raw IC'!$A$5:$A$546,$B66,'Raw IC'!$B$5:$B$546,1))</x:f>
        <x:v>-0.20962566544804578</x:v>
      </x:c>
      <x:c r="F66" s="30" t="n">
        <x:f>IF(COUNTIFS('Raw IC'!$A$5:$A$546,$B66,'Raw IC'!$B$5:$B$546,5)=0,"",SUMIFS('Raw IC'!$F$5:$F$546,'Raw IC'!$A$5:$A$546,$B66,'Raw IC'!$B$5:$B$546,5))</x:f>
        <x:v>-0.03565714629846609</x:v>
      </x:c>
      <x:c r="G66" s="30" t="n">
        <x:f>IF(COUNTIFS('Raw IC'!$A$5:$A$546,$B66,'Raw IC'!$B$5:$B$546,5)=0,"",SUMIFS('Raw IC'!$H$5:$H$546,'Raw IC'!$A$5:$A$546,$B66,'Raw IC'!$B$5:$B$546,5))</x:f>
        <x:v>-0.31551109001405164</x:v>
      </x:c>
      <x:c r="H66" s="30" t="n">
        <x:f>IF(COUNTIFS('Raw IC'!$A$5:$A$546,$B66,'Raw IC'!$B$5:$B$546,10)=0,"",SUMIFS('Raw IC'!$F$5:$F$546,'Raw IC'!$A$5:$A$546,$B66,'Raw IC'!$B$5:$B$546,10))</x:f>
        <x:v>-0.04084182012441402</x:v>
      </x:c>
      <x:c r="I66" s="30" t="n">
        <x:f>IF(COUNTIFS('Raw IC'!$A$5:$A$546,$B66,'Raw IC'!$B$5:$B$546,10)=0,"",SUMIFS('Raw IC'!$H$5:$H$546,'Raw IC'!$A$5:$A$546,$B66,'Raw IC'!$B$5:$B$546,10))</x:f>
        <x:v>-0.3666683279755791</x:v>
      </x:c>
      <x:c r="J66" s="30" t="n">
        <x:f>IF(COUNTIFS('Raw IC'!$A$5:$A$546,$B66,'Raw IC'!$B$5:$B$546,20)=0,"",SUMIFS('Raw IC'!$F$5:$F$546,'Raw IC'!$A$5:$A$546,$B66,'Raw IC'!$B$5:$B$546,20))</x:f>
        <x:v>-0.04540233891489587</x:v>
      </x:c>
      <x:c r="K66" s="30" t="n">
        <x:f>IF(COUNTIFS('Raw IC'!$A$5:$A$546,$B66,'Raw IC'!$B$5:$B$546,20)=0,"",SUMIFS('Raw IC'!$H$5:$H$546,'Raw IC'!$A$5:$A$546,$B66,'Raw IC'!$B$5:$B$546,20))</x:f>
        <x:v>-0.40367758515628444</x:v>
      </x:c>
      <x:c r="L66" s="30" t="n">
        <x:f>IF(COUNT(I66,K66)&lt;2,"",AVERAGE(ABS(I66),ABS(K66)))</x:f>
        <x:v>0.38517295656593176</x:v>
      </x:c>
      <x:c r="M66" t="str">
        <x:f>IF(COUNT(H66,J66)&lt;2,"",IF(H66*J66&gt;=0,IF(H66&gt;=0,"positive","negative"),"mixed"))</x:f>
        <x:v>negative</x:v>
      </x:c>
      <x:c r="N66" s="74" t="n">
        <x:v>46210.73796425926</x:v>
      </x:c>
      <x:c r="O66" s="19" t="n">
        <x:v>8902245</x:v>
      </x:c>
      <x:c r="P66" t="str">
        <x:v>40355b29bce094aef0e99358bdfd4011b92e72a54440a67760de4afae4883c33</x:v>
      </x:c>
      <x:c r="Q66" t="str">
        <x:v>factor_report/gtja191_batch/gtja_133</x:v>
      </x:c>
    </x:row>
    <x:row r="67">
      <x:c r="A67" s="50" t="n">
        <x:f>IF($C67="ranked",1+COUNTIFS($C$5:$C$190,"ranked",$L$5:$L$190,"&gt;"&amp;$L67),"")</x:f>
        <x:v>63</x:v>
      </x:c>
      <x:c r="B67" t="str">
        <x:v>gtja_190</x:v>
      </x:c>
      <x:c r="C67" t="str">
        <x:v>ranked</x:v>
      </x:c>
      <x:c r="D67" s="30" t="str">
        <x:f>IF(COUNTIFS('Raw IC'!$A$5:$A$546,$B67,'Raw IC'!$B$5:$B$546,1)=0,"",SUMIFS('Raw IC'!$F$5:$F$546,'Raw IC'!$A$5:$A$546,$B67,'Raw IC'!$B$5:$B$546,1))</x:f>
      </x:c>
      <x:c r="E67" s="30" t="str">
        <x:f>IF(COUNTIFS('Raw IC'!$A$5:$A$546,$B67,'Raw IC'!$B$5:$B$546,1)=0,"",SUMIFS('Raw IC'!$H$5:$H$546,'Raw IC'!$A$5:$A$546,$B67,'Raw IC'!$B$5:$B$546,1))</x:f>
      </x:c>
      <x:c r="F67" s="30" t="str">
        <x:f>IF(COUNTIFS('Raw IC'!$A$5:$A$546,$B67,'Raw IC'!$B$5:$B$546,5)=0,"",SUMIFS('Raw IC'!$F$5:$F$546,'Raw IC'!$A$5:$A$546,$B67,'Raw IC'!$B$5:$B$546,5))</x:f>
      </x:c>
      <x:c r="G67" s="30" t="str">
        <x:f>IF(COUNTIFS('Raw IC'!$A$5:$A$546,$B67,'Raw IC'!$B$5:$B$546,5)=0,"",SUMIFS('Raw IC'!$H$5:$H$546,'Raw IC'!$A$5:$A$546,$B67,'Raw IC'!$B$5:$B$546,5))</x:f>
      </x:c>
      <x:c r="H67" s="30" t="n">
        <x:f>IF(COUNTIFS('Raw IC'!$A$5:$A$546,$B67,'Raw IC'!$B$5:$B$546,10)=0,"",SUMIFS('Raw IC'!$F$5:$F$546,'Raw IC'!$A$5:$A$546,$B67,'Raw IC'!$B$5:$B$546,10))</x:f>
        <x:v>0.02983995003744111</x:v>
      </x:c>
      <x:c r="I67" s="30" t="n">
        <x:f>IF(COUNTIFS('Raw IC'!$A$5:$A$546,$B67,'Raw IC'!$B$5:$B$546,10)=0,"",SUMIFS('Raw IC'!$H$5:$H$546,'Raw IC'!$A$5:$A$546,$B67,'Raw IC'!$B$5:$B$546,10))</x:f>
        <x:v>0.38674057761611846</x:v>
      </x:c>
      <x:c r="J67" s="30" t="n">
        <x:f>IF(COUNTIFS('Raw IC'!$A$5:$A$546,$B67,'Raw IC'!$B$5:$B$546,20)=0,"",SUMIFS('Raw IC'!$F$5:$F$546,'Raw IC'!$A$5:$A$546,$B67,'Raw IC'!$B$5:$B$546,20))</x:f>
        <x:v>0.029581587819414487</x:v>
      </x:c>
      <x:c r="K67" s="30" t="n">
        <x:f>IF(COUNTIFS('Raw IC'!$A$5:$A$546,$B67,'Raw IC'!$B$5:$B$546,20)=0,"",SUMIFS('Raw IC'!$H$5:$H$546,'Raw IC'!$A$5:$A$546,$B67,'Raw IC'!$B$5:$B$546,20))</x:f>
        <x:v>0.37818232976831906</x:v>
      </x:c>
      <x:c r="L67" s="30" t="n">
        <x:f>IF(COUNT(I67,K67)&lt;2,"",AVERAGE(ABS(I67),ABS(K67)))</x:f>
        <x:v>0.38246145369221873</x:v>
      </x:c>
      <x:c r="M67" t="str">
        <x:f>IF(COUNT(H67,J67)&lt;2,"",IF(H67*J67&gt;=0,IF(H67&gt;=0,"positive","negative"),"mixed"))</x:f>
        <x:v>positive</x:v>
      </x:c>
      <x:c r="N67" s="74" t="n">
        <x:v>46211.55394319444</x:v>
      </x:c>
      <x:c r="O67" s="19" t="n">
        <x:v>8902245</x:v>
      </x:c>
      <x:c r="P67" t="str">
        <x:v>8f7e606554926462248cbcc654181861438ca768a0063f6b317223ede37d16fb</x:v>
      </x:c>
      <x:c r="Q67" t="str">
        <x:v>factor_report/gtja191_batch/gtja_190</x:v>
      </x:c>
    </x:row>
    <x:row r="68">
      <x:c r="A68" s="50" t="n">
        <x:f>IF($C68="ranked",1+COUNTIFS($C$5:$C$190,"ranked",$L$5:$L$190,"&gt;"&amp;$L68),"")</x:f>
        <x:v>64</x:v>
      </x:c>
      <x:c r="B68" t="str">
        <x:v>gtja_147</x:v>
      </x:c>
      <x:c r="C68" t="str">
        <x:v>ranked</x:v>
      </x:c>
      <x:c r="D68" s="30" t="n">
        <x:f>IF(COUNTIFS('Raw IC'!$A$5:$A$546,$B68,'Raw IC'!$B$5:$B$546,1)=0,"",SUMIFS('Raw IC'!$F$5:$F$546,'Raw IC'!$A$5:$A$546,$B68,'Raw IC'!$B$5:$B$546,1))</x:f>
        <x:v>-0.024348611738280894</x:v>
      </x:c>
      <x:c r="E68" s="30" t="n">
        <x:f>IF(COUNTIFS('Raw IC'!$A$5:$A$546,$B68,'Raw IC'!$B$5:$B$546,1)=0,"",SUMIFS('Raw IC'!$H$5:$H$546,'Raw IC'!$A$5:$A$546,$B68,'Raw IC'!$B$5:$B$546,1))</x:f>
        <x:v>-0.17061116874262966</x:v>
      </x:c>
      <x:c r="F68" s="30" t="n">
        <x:f>IF(COUNTIFS('Raw IC'!$A$5:$A$546,$B68,'Raw IC'!$B$5:$B$546,5)=0,"",SUMIFS('Raw IC'!$F$5:$F$546,'Raw IC'!$A$5:$A$546,$B68,'Raw IC'!$B$5:$B$546,5))</x:f>
        <x:v>-0.03906630126821493</x:v>
      </x:c>
      <x:c r="G68" s="30" t="n">
        <x:f>IF(COUNTIFS('Raw IC'!$A$5:$A$546,$B68,'Raw IC'!$B$5:$B$546,5)=0,"",SUMIFS('Raw IC'!$H$5:$H$546,'Raw IC'!$A$5:$A$546,$B68,'Raw IC'!$B$5:$B$546,5))</x:f>
        <x:v>-0.29615704022268347</x:v>
      </x:c>
      <x:c r="H68" s="30" t="n">
        <x:f>IF(COUNTIFS('Raw IC'!$A$5:$A$546,$B68,'Raw IC'!$B$5:$B$546,10)=0,"",SUMIFS('Raw IC'!$F$5:$F$546,'Raw IC'!$A$5:$A$546,$B68,'Raw IC'!$B$5:$B$546,10))</x:f>
        <x:v>-0.04733611281094676</x:v>
      </x:c>
      <x:c r="I68" s="30" t="n">
        <x:f>IF(COUNTIFS('Raw IC'!$A$5:$A$546,$B68,'Raw IC'!$B$5:$B$546,10)=0,"",SUMIFS('Raw IC'!$H$5:$H$546,'Raw IC'!$A$5:$A$546,$B68,'Raw IC'!$B$5:$B$546,10))</x:f>
        <x:v>-0.36892100347799733</x:v>
      </x:c>
      <x:c r="J68" s="30" t="n">
        <x:f>IF(COUNTIFS('Raw IC'!$A$5:$A$546,$B68,'Raw IC'!$B$5:$B$546,20)=0,"",SUMIFS('Raw IC'!$F$5:$F$546,'Raw IC'!$A$5:$A$546,$B68,'Raw IC'!$B$5:$B$546,20))</x:f>
        <x:v>-0.05142714709902863</x:v>
      </x:c>
      <x:c r="K68" s="30" t="n">
        <x:f>IF(COUNTIFS('Raw IC'!$A$5:$A$546,$B68,'Raw IC'!$B$5:$B$546,20)=0,"",SUMIFS('Raw IC'!$H$5:$H$546,'Raw IC'!$A$5:$A$546,$B68,'Raw IC'!$B$5:$B$546,20))</x:f>
        <x:v>-0.3901909139242817</x:v>
      </x:c>
      <x:c r="L68" s="30" t="n">
        <x:f>IF(COUNT(I68,K68)&lt;2,"",AVERAGE(ABS(I68),ABS(K68)))</x:f>
        <x:v>0.3795559587011395</x:v>
      </x:c>
      <x:c r="M68" t="str">
        <x:f>IF(COUNT(H68,J68)&lt;2,"",IF(H68*J68&gt;=0,IF(H68&gt;=0,"positive","negative"),"mixed"))</x:f>
        <x:v>negative</x:v>
      </x:c>
      <x:c r="N68" s="74" t="n">
        <x:v>46210.805681736114</x:v>
      </x:c>
      <x:c r="O68" s="19" t="n">
        <x:v>8902245</x:v>
      </x:c>
      <x:c r="P68" t="str">
        <x:v>40355b29bce094aef0e99358bdfd4011b92e72a54440a67760de4afae4883c33</x:v>
      </x:c>
      <x:c r="Q68" t="str">
        <x:v>factor_report/gtja191_batch/gtja_147</x:v>
      </x:c>
    </x:row>
    <x:row r="69">
      <x:c r="A69" s="50" t="n">
        <x:f>IF($C69="ranked",1+COUNTIFS($C$5:$C$190,"ranked",$L$5:$L$190,"&gt;"&amp;$L69),"")</x:f>
        <x:v>65</x:v>
      </x:c>
      <x:c r="B69" t="str">
        <x:v>gtja_035</x:v>
      </x:c>
      <x:c r="C69" t="str">
        <x:v>ranked</x:v>
      </x:c>
      <x:c r="D69" s="30" t="str">
        <x:f>IF(COUNTIFS('Raw IC'!$A$5:$A$546,$B69,'Raw IC'!$B$5:$B$546,1)=0,"",SUMIFS('Raw IC'!$F$5:$F$546,'Raw IC'!$A$5:$A$546,$B69,'Raw IC'!$B$5:$B$546,1))</x:f>
      </x:c>
      <x:c r="E69" s="30" t="str">
        <x:f>IF(COUNTIFS('Raw IC'!$A$5:$A$546,$B69,'Raw IC'!$B$5:$B$546,1)=0,"",SUMIFS('Raw IC'!$H$5:$H$546,'Raw IC'!$A$5:$A$546,$B69,'Raw IC'!$B$5:$B$546,1))</x:f>
      </x:c>
      <x:c r="F69" s="30" t="str">
        <x:f>IF(COUNTIFS('Raw IC'!$A$5:$A$546,$B69,'Raw IC'!$B$5:$B$546,5)=0,"",SUMIFS('Raw IC'!$F$5:$F$546,'Raw IC'!$A$5:$A$546,$B69,'Raw IC'!$B$5:$B$546,5))</x:f>
      </x:c>
      <x:c r="G69" s="30" t="str">
        <x:f>IF(COUNTIFS('Raw IC'!$A$5:$A$546,$B69,'Raw IC'!$B$5:$B$546,5)=0,"",SUMIFS('Raw IC'!$H$5:$H$546,'Raw IC'!$A$5:$A$546,$B69,'Raw IC'!$B$5:$B$546,5))</x:f>
      </x:c>
      <x:c r="H69" s="30" t="n">
        <x:f>IF(COUNTIFS('Raw IC'!$A$5:$A$546,$B69,'Raw IC'!$B$5:$B$546,10)=0,"",SUMIFS('Raw IC'!$F$5:$F$546,'Raw IC'!$A$5:$A$546,$B69,'Raw IC'!$B$5:$B$546,10))</x:f>
        <x:v>0.033680898953476535</x:v>
      </x:c>
      <x:c r="I69" s="30" t="n">
        <x:f>IF(COUNTIFS('Raw IC'!$A$5:$A$546,$B69,'Raw IC'!$B$5:$B$546,10)=0,"",SUMIFS('Raw IC'!$H$5:$H$546,'Raw IC'!$A$5:$A$546,$B69,'Raw IC'!$B$5:$B$546,10))</x:f>
        <x:v>0.34384638527253414</x:v>
      </x:c>
      <x:c r="J69" s="30" t="n">
        <x:f>IF(COUNTIFS('Raw IC'!$A$5:$A$546,$B69,'Raw IC'!$B$5:$B$546,20)=0,"",SUMIFS('Raw IC'!$F$5:$F$546,'Raw IC'!$A$5:$A$546,$B69,'Raw IC'!$B$5:$B$546,20))</x:f>
        <x:v>0.03934209835890449</x:v>
      </x:c>
      <x:c r="K69" s="30" t="n">
        <x:f>IF(COUNTIFS('Raw IC'!$A$5:$A$546,$B69,'Raw IC'!$B$5:$B$546,20)=0,"",SUMIFS('Raw IC'!$H$5:$H$546,'Raw IC'!$A$5:$A$546,$B69,'Raw IC'!$B$5:$B$546,20))</x:f>
        <x:v>0.4013653044789796</x:v>
      </x:c>
      <x:c r="L69" s="30" t="n">
        <x:f>IF(COUNT(I69,K69)&lt;2,"",AVERAGE(ABS(I69),ABS(K69)))</x:f>
        <x:v>0.3726058448757569</x:v>
      </x:c>
      <x:c r="M69" t="str">
        <x:f>IF(COUNT(H69,J69)&lt;2,"",IF(H69*J69&gt;=0,IF(H69&gt;=0,"positive","negative"),"mixed"))</x:f>
        <x:v>positive</x:v>
      </x:c>
      <x:c r="N69" s="74" t="n">
        <x:v>46211.2335940162</x:v>
      </x:c>
      <x:c r="O69" s="19" t="n">
        <x:v>8902245</x:v>
      </x:c>
      <x:c r="P69" t="str">
        <x:v>8f7e606554926462248cbcc654181861438ca768a0063f6b317223ede37d16fb</x:v>
      </x:c>
      <x:c r="Q69" t="str">
        <x:v>factor_report/gtja191_batch/gtja_035</x:v>
      </x:c>
    </x:row>
    <x:row r="70">
      <x:c r="A70" s="50" t="n">
        <x:f>IF($C70="ranked",1+COUNTIFS($C$5:$C$190,"ranked",$L$5:$L$190,"&gt;"&amp;$L70),"")</x:f>
        <x:v>66</x:v>
      </x:c>
      <x:c r="B70" t="str">
        <x:v>gtja_161</x:v>
      </x:c>
      <x:c r="C70" t="str">
        <x:v>ranked</x:v>
      </x:c>
      <x:c r="D70" s="30" t="n">
        <x:f>IF(COUNTIFS('Raw IC'!$A$5:$A$546,$B70,'Raw IC'!$B$5:$B$546,1)=0,"",SUMIFS('Raw IC'!$F$5:$F$546,'Raw IC'!$A$5:$A$546,$B70,'Raw IC'!$B$5:$B$546,1))</x:f>
        <x:v>-0.03704604830156317</x:v>
      </x:c>
      <x:c r="E70" s="30" t="n">
        <x:f>IF(COUNTIFS('Raw IC'!$A$5:$A$546,$B70,'Raw IC'!$B$5:$B$546,1)=0,"",SUMIFS('Raw IC'!$H$5:$H$546,'Raw IC'!$A$5:$A$546,$B70,'Raw IC'!$B$5:$B$546,1))</x:f>
        <x:v>-0.20092068750683897</x:v>
      </x:c>
      <x:c r="F70" s="30" t="n">
        <x:f>IF(COUNTIFS('Raw IC'!$A$5:$A$546,$B70,'Raw IC'!$B$5:$B$546,5)=0,"",SUMIFS('Raw IC'!$F$5:$F$546,'Raw IC'!$A$5:$A$546,$B70,'Raw IC'!$B$5:$B$546,5))</x:f>
        <x:v>-0.05466940533677726</x:v>
      </x:c>
      <x:c r="G70" s="30" t="n">
        <x:f>IF(COUNTIFS('Raw IC'!$A$5:$A$546,$B70,'Raw IC'!$B$5:$B$546,5)=0,"",SUMIFS('Raw IC'!$H$5:$H$546,'Raw IC'!$A$5:$A$546,$B70,'Raw IC'!$B$5:$B$546,5))</x:f>
        <x:v>-0.29088556356652967</x:v>
      </x:c>
      <x:c r="H70" s="30" t="n">
        <x:f>IF(COUNTIFS('Raw IC'!$A$5:$A$546,$B70,'Raw IC'!$B$5:$B$546,10)=0,"",SUMIFS('Raw IC'!$F$5:$F$546,'Raw IC'!$A$5:$A$546,$B70,'Raw IC'!$B$5:$B$546,10))</x:f>
        <x:v>-0.06624620031295926</x:v>
      </x:c>
      <x:c r="I70" s="30" t="n">
        <x:f>IF(COUNTIFS('Raw IC'!$A$5:$A$546,$B70,'Raw IC'!$B$5:$B$546,10)=0,"",SUMIFS('Raw IC'!$H$5:$H$546,'Raw IC'!$A$5:$A$546,$B70,'Raw IC'!$B$5:$B$546,10))</x:f>
        <x:v>-0.3413255215262197</x:v>
      </x:c>
      <x:c r="J70" s="30" t="n">
        <x:f>IF(COUNTIFS('Raw IC'!$A$5:$A$546,$B70,'Raw IC'!$B$5:$B$546,20)=0,"",SUMIFS('Raw IC'!$F$5:$F$546,'Raw IC'!$A$5:$A$546,$B70,'Raw IC'!$B$5:$B$546,20))</x:f>
        <x:v>-0.08018019777096075</x:v>
      </x:c>
      <x:c r="K70" s="30" t="n">
        <x:f>IF(COUNTIFS('Raw IC'!$A$5:$A$546,$B70,'Raw IC'!$B$5:$B$546,20)=0,"",SUMIFS('Raw IC'!$H$5:$H$546,'Raw IC'!$A$5:$A$546,$B70,'Raw IC'!$B$5:$B$546,20))</x:f>
        <x:v>-0.4027311020589463</x:v>
      </x:c>
      <x:c r="L70" s="30" t="n">
        <x:f>IF(COUNT(I70,K70)&lt;2,"",AVERAGE(ABS(I70),ABS(K70)))</x:f>
        <x:v>0.372028311792583</x:v>
      </x:c>
      <x:c r="M70" t="str">
        <x:f>IF(COUNT(H70,J70)&lt;2,"",IF(H70*J70&gt;=0,IF(H70&gt;=0,"positive","negative"),"mixed"))</x:f>
        <x:v>negative</x:v>
      </x:c>
      <x:c r="N70" s="74" t="n">
        <x:v>46210.86347449074</x:v>
      </x:c>
      <x:c r="O70" s="19" t="n">
        <x:v>8902245</x:v>
      </x:c>
      <x:c r="P70" t="str">
        <x:v>40355b29bce094aef0e99358bdfd4011b92e72a54440a67760de4afae4883c33</x:v>
      </x:c>
      <x:c r="Q70" t="str">
        <x:v>factor_report/gtja191_batch/gtja_161</x:v>
      </x:c>
    </x:row>
    <x:row r="71">
      <x:c r="A71" s="50" t="n">
        <x:f>IF($C71="ranked",1+COUNTIFS($C$5:$C$190,"ranked",$L$5:$L$190,"&gt;"&amp;$L71),"")</x:f>
        <x:v>67</x:v>
      </x:c>
      <x:c r="B71" t="str">
        <x:v>gtja_024</x:v>
      </x:c>
      <x:c r="C71" t="str">
        <x:v>ranked</x:v>
      </x:c>
      <x:c r="D71" s="30" t="n">
        <x:f>IF(COUNTIFS('Raw IC'!$A$5:$A$546,$B71,'Raw IC'!$B$5:$B$546,1)=0,"",SUMIFS('Raw IC'!$F$5:$F$546,'Raw IC'!$A$5:$A$546,$B71,'Raw IC'!$B$5:$B$546,1))</x:f>
        <x:v>-0.028524501518100643</x:v>
      </x:c>
      <x:c r="E71" s="30" t="n">
        <x:f>IF(COUNTIFS('Raw IC'!$A$5:$A$546,$B71,'Raw IC'!$B$5:$B$546,1)=0,"",SUMIFS('Raw IC'!$H$5:$H$546,'Raw IC'!$A$5:$A$546,$B71,'Raw IC'!$B$5:$B$546,1))</x:f>
        <x:v>-0.19652968346446947</x:v>
      </x:c>
      <x:c r="F71" s="30" t="n">
        <x:f>IF(COUNTIFS('Raw IC'!$A$5:$A$546,$B71,'Raw IC'!$B$5:$B$546,5)=0,"",SUMIFS('Raw IC'!$F$5:$F$546,'Raw IC'!$A$5:$A$546,$B71,'Raw IC'!$B$5:$B$546,5))</x:f>
        <x:v>-0.037843747955581354</x:v>
      </x:c>
      <x:c r="G71" s="30" t="n">
        <x:f>IF(COUNTIFS('Raw IC'!$A$5:$A$546,$B71,'Raw IC'!$B$5:$B$546,5)=0,"",SUMIFS('Raw IC'!$H$5:$H$546,'Raw IC'!$A$5:$A$546,$B71,'Raw IC'!$B$5:$B$546,5))</x:f>
        <x:v>-0.2788110848832597</x:v>
      </x:c>
      <x:c r="H71" s="30" t="n">
        <x:f>IF(COUNTIFS('Raw IC'!$A$5:$A$546,$B71,'Raw IC'!$B$5:$B$546,10)=0,"",SUMIFS('Raw IC'!$F$5:$F$546,'Raw IC'!$A$5:$A$546,$B71,'Raw IC'!$B$5:$B$546,10))</x:f>
        <x:v>-0.04380781333991292</x:v>
      </x:c>
      <x:c r="I71" s="30" t="n">
        <x:f>IF(COUNTIFS('Raw IC'!$A$5:$A$546,$B71,'Raw IC'!$B$5:$B$546,10)=0,"",SUMIFS('Raw IC'!$H$5:$H$546,'Raw IC'!$A$5:$A$546,$B71,'Raw IC'!$B$5:$B$546,10))</x:f>
        <x:v>-0.34182125345048653</x:v>
      </x:c>
      <x:c r="J71" s="30" t="n">
        <x:f>IF(COUNTIFS('Raw IC'!$A$5:$A$546,$B71,'Raw IC'!$B$5:$B$546,20)=0,"",SUMIFS('Raw IC'!$F$5:$F$546,'Raw IC'!$A$5:$A$546,$B71,'Raw IC'!$B$5:$B$546,20))</x:f>
        <x:v>-0.049039034211319485</x:v>
      </x:c>
      <x:c r="K71" s="30" t="n">
        <x:f>IF(COUNTIFS('Raw IC'!$A$5:$A$546,$B71,'Raw IC'!$B$5:$B$546,20)=0,"",SUMIFS('Raw IC'!$H$5:$H$546,'Raw IC'!$A$5:$A$546,$B71,'Raw IC'!$B$5:$B$546,20))</x:f>
        <x:v>-0.3832928249526236</x:v>
      </x:c>
      <x:c r="L71" s="30" t="n">
        <x:f>IF(COUNT(I71,K71)&lt;2,"",AVERAGE(ABS(I71),ABS(K71)))</x:f>
        <x:v>0.3625570392015551</x:v>
      </x:c>
      <x:c r="M71" t="str">
        <x:f>IF(COUNT(H71,J71)&lt;2,"",IF(H71*J71&gt;=0,IF(H71&gt;=0,"positive","negative"),"mixed"))</x:f>
        <x:v>negative</x:v>
      </x:c>
      <x:c r="N71" s="74" t="n">
        <x:v>46210.21420491898</x:v>
      </x:c>
      <x:c r="O71" s="19" t="n">
        <x:v>8902245</x:v>
      </x:c>
      <x:c r="P71" t="str">
        <x:v>40355b29bce094aef0e99358bdfd4011b92e72a54440a67760de4afae4883c33</x:v>
      </x:c>
      <x:c r="Q71" t="str">
        <x:v>factor_report/gtja191_batch/gtja_024</x:v>
      </x:c>
    </x:row>
    <x:row r="72">
      <x:c r="A72" s="50" t="n">
        <x:f>IF($C72="ranked",1+COUNTIFS($C$5:$C$190,"ranked",$L$5:$L$190,"&gt;"&amp;$L72),"")</x:f>
        <x:v>68</x:v>
      </x:c>
      <x:c r="B72" t="str">
        <x:v>gtja_189</x:v>
      </x:c>
      <x:c r="C72" t="str">
        <x:v>ranked</x:v>
      </x:c>
      <x:c r="D72" s="30" t="n">
        <x:f>IF(COUNTIFS('Raw IC'!$A$5:$A$546,$B72,'Raw IC'!$B$5:$B$546,1)=0,"",SUMIFS('Raw IC'!$F$5:$F$546,'Raw IC'!$A$5:$A$546,$B72,'Raw IC'!$B$5:$B$546,1))</x:f>
        <x:v>-0.03477872691911135</x:v>
      </x:c>
      <x:c r="E72" s="30" t="n">
        <x:f>IF(COUNTIFS('Raw IC'!$A$5:$A$546,$B72,'Raw IC'!$B$5:$B$546,1)=0,"",SUMIFS('Raw IC'!$H$5:$H$546,'Raw IC'!$A$5:$A$546,$B72,'Raw IC'!$B$5:$B$546,1))</x:f>
        <x:v>-0.19681385252093386</x:v>
      </x:c>
      <x:c r="F72" s="30" t="n">
        <x:f>IF(COUNTIFS('Raw IC'!$A$5:$A$546,$B72,'Raw IC'!$B$5:$B$546,5)=0,"",SUMIFS('Raw IC'!$F$5:$F$546,'Raw IC'!$A$5:$A$546,$B72,'Raw IC'!$B$5:$B$546,5))</x:f>
        <x:v>-0.0510339383526854</x:v>
      </x:c>
      <x:c r="G72" s="30" t="n">
        <x:f>IF(COUNTIFS('Raw IC'!$A$5:$A$546,$B72,'Raw IC'!$B$5:$B$546,5)=0,"",SUMIFS('Raw IC'!$H$5:$H$546,'Raw IC'!$A$5:$A$546,$B72,'Raw IC'!$B$5:$B$546,5))</x:f>
        <x:v>-0.2845485943625297</x:v>
      </x:c>
      <x:c r="H72" s="30" t="n">
        <x:f>IF(COUNTIFS('Raw IC'!$A$5:$A$546,$B72,'Raw IC'!$B$5:$B$546,10)=0,"",SUMIFS('Raw IC'!$F$5:$F$546,'Raw IC'!$A$5:$A$546,$B72,'Raw IC'!$B$5:$B$546,10))</x:f>
        <x:v>-0.06157687027920172</x:v>
      </x:c>
      <x:c r="I72" s="30" t="n">
        <x:f>IF(COUNTIFS('Raw IC'!$A$5:$A$546,$B72,'Raw IC'!$B$5:$B$546,10)=0,"",SUMIFS('Raw IC'!$H$5:$H$546,'Raw IC'!$A$5:$A$546,$B72,'Raw IC'!$B$5:$B$546,10))</x:f>
        <x:v>-0.33289486266676044</x:v>
      </x:c>
      <x:c r="J72" s="30" t="n">
        <x:f>IF(COUNTIFS('Raw IC'!$A$5:$A$546,$B72,'Raw IC'!$B$5:$B$546,20)=0,"",SUMIFS('Raw IC'!$F$5:$F$546,'Raw IC'!$A$5:$A$546,$B72,'Raw IC'!$B$5:$B$546,20))</x:f>
        <x:v>-0.07429851088196267</x:v>
      </x:c>
      <x:c r="K72" s="30" t="n">
        <x:f>IF(COUNTIFS('Raw IC'!$A$5:$A$546,$B72,'Raw IC'!$B$5:$B$546,20)=0,"",SUMIFS('Raw IC'!$H$5:$H$546,'Raw IC'!$A$5:$A$546,$B72,'Raw IC'!$B$5:$B$546,20))</x:f>
        <x:v>-0.3919213711493117</x:v>
      </x:c>
      <x:c r="L72" s="30" t="n">
        <x:f>IF(COUNT(I72,K72)&lt;2,"",AVERAGE(ABS(I72),ABS(K72)))</x:f>
        <x:v>0.3624081169080361</x:v>
      </x:c>
      <x:c r="M72" t="str">
        <x:f>IF(COUNT(H72,J72)&lt;2,"",IF(H72*J72&gt;=0,IF(H72&gt;=0,"positive","negative"),"mixed"))</x:f>
        <x:v>negative</x:v>
      </x:c>
      <x:c r="N72" s="74" t="n">
        <x:v>46210.9753753125</x:v>
      </x:c>
      <x:c r="O72" s="19" t="n">
        <x:v>8902245</x:v>
      </x:c>
      <x:c r="P72" t="str">
        <x:v>40355b29bce094aef0e99358bdfd4011b92e72a54440a67760de4afae4883c33</x:v>
      </x:c>
      <x:c r="Q72" t="str">
        <x:v>factor_report/gtja191_batch/gtja_189</x:v>
      </x:c>
    </x:row>
    <x:row r="73">
      <x:c r="A73" s="50" t="n">
        <x:f>IF($C73="ranked",1+COUNTIFS($C$5:$C$190,"ranked",$L$5:$L$190,"&gt;"&amp;$L73),"")</x:f>
        <x:v>69</x:v>
      </x:c>
      <x:c r="B73" t="str">
        <x:v>gtja_148</x:v>
      </x:c>
      <x:c r="C73" t="str">
        <x:v>ranked</x:v>
      </x:c>
      <x:c r="D73" s="30" t="str">
        <x:f>IF(COUNTIFS('Raw IC'!$A$5:$A$546,$B73,'Raw IC'!$B$5:$B$546,1)=0,"",SUMIFS('Raw IC'!$F$5:$F$546,'Raw IC'!$A$5:$A$546,$B73,'Raw IC'!$B$5:$B$546,1))</x:f>
      </x:c>
      <x:c r="E73" s="30" t="str">
        <x:f>IF(COUNTIFS('Raw IC'!$A$5:$A$546,$B73,'Raw IC'!$B$5:$B$546,1)=0,"",SUMIFS('Raw IC'!$H$5:$H$546,'Raw IC'!$A$5:$A$546,$B73,'Raw IC'!$B$5:$B$546,1))</x:f>
      </x:c>
      <x:c r="F73" s="30" t="str">
        <x:f>IF(COUNTIFS('Raw IC'!$A$5:$A$546,$B73,'Raw IC'!$B$5:$B$546,5)=0,"",SUMIFS('Raw IC'!$F$5:$F$546,'Raw IC'!$A$5:$A$546,$B73,'Raw IC'!$B$5:$B$546,5))</x:f>
      </x:c>
      <x:c r="G73" s="30" t="str">
        <x:f>IF(COUNTIFS('Raw IC'!$A$5:$A$546,$B73,'Raw IC'!$B$5:$B$546,5)=0,"",SUMIFS('Raw IC'!$H$5:$H$546,'Raw IC'!$A$5:$A$546,$B73,'Raw IC'!$B$5:$B$546,5))</x:f>
      </x:c>
      <x:c r="H73" s="30" t="n">
        <x:f>IF(COUNTIFS('Raw IC'!$A$5:$A$546,$B73,'Raw IC'!$B$5:$B$546,10)=0,"",SUMIFS('Raw IC'!$F$5:$F$546,'Raw IC'!$A$5:$A$546,$B73,'Raw IC'!$B$5:$B$546,10))</x:f>
        <x:v>0.029721592729636395</x:v>
      </x:c>
      <x:c r="I73" s="30" t="n">
        <x:f>IF(COUNTIFS('Raw IC'!$A$5:$A$546,$B73,'Raw IC'!$B$5:$B$546,10)=0,"",SUMIFS('Raw IC'!$H$5:$H$546,'Raw IC'!$A$5:$A$546,$B73,'Raw IC'!$B$5:$B$546,10))</x:f>
        <x:v>0.32271085341568956</x:v>
      </x:c>
      <x:c r="J73" s="30" t="n">
        <x:f>IF(COUNTIFS('Raw IC'!$A$5:$A$546,$B73,'Raw IC'!$B$5:$B$546,20)=0,"",SUMIFS('Raw IC'!$F$5:$F$546,'Raw IC'!$A$5:$A$546,$B73,'Raw IC'!$B$5:$B$546,20))</x:f>
        <x:v>0.03800825867623931</x:v>
      </x:c>
      <x:c r="K73" s="30" t="n">
        <x:f>IF(COUNTIFS('Raw IC'!$A$5:$A$546,$B73,'Raw IC'!$B$5:$B$546,20)=0,"",SUMIFS('Raw IC'!$H$5:$H$546,'Raw IC'!$A$5:$A$546,$B73,'Raw IC'!$B$5:$B$546,20))</x:f>
        <x:v>0.3982767389105785</x:v>
      </x:c>
      <x:c r="L73" s="30" t="n">
        <x:f>IF(COUNT(I73,K73)&lt;2,"",AVERAGE(ABS(I73),ABS(K73)))</x:f>
        <x:v>0.36049379616313404</x:v>
      </x:c>
      <x:c r="M73" t="str">
        <x:f>IF(COUNT(H73,J73)&lt;2,"",IF(H73*J73&gt;=0,IF(H73&gt;=0,"positive","negative"),"mixed"))</x:f>
        <x:v>positive</x:v>
      </x:c>
      <x:c r="N73" s="74" t="n">
        <x:v>46211.47057563657</x:v>
      </x:c>
      <x:c r="O73" s="19" t="n">
        <x:v>8902245</x:v>
      </x:c>
      <x:c r="P73" t="str">
        <x:v>8f7e606554926462248cbcc654181861438ca768a0063f6b317223ede37d16fb</x:v>
      </x:c>
      <x:c r="Q73" t="str">
        <x:v>factor_report/gtja191_batch/gtja_148</x:v>
      </x:c>
    </x:row>
    <x:row r="74">
      <x:c r="A74" s="50" t="n">
        <x:f>IF($C74="ranked",1+COUNTIFS($C$5:$C$190,"ranked",$L$5:$L$190,"&gt;"&amp;$L74),"")</x:f>
        <x:v>70</x:v>
      </x:c>
      <x:c r="B74" t="str">
        <x:v>gtja_079</x:v>
      </x:c>
      <x:c r="C74" t="str">
        <x:v>ranked</x:v>
      </x:c>
      <x:c r="D74" s="30" t="n">
        <x:f>IF(COUNTIFS('Raw IC'!$A$5:$A$546,$B74,'Raw IC'!$B$5:$B$546,1)=0,"",SUMIFS('Raw IC'!$F$5:$F$546,'Raw IC'!$A$5:$A$546,$B74,'Raw IC'!$B$5:$B$546,1))</x:f>
        <x:v>-0.03433320624149432</x:v>
      </x:c>
      <x:c r="E74" s="30" t="n">
        <x:f>IF(COUNTIFS('Raw IC'!$A$5:$A$546,$B74,'Raw IC'!$B$5:$B$546,1)=0,"",SUMIFS('Raw IC'!$H$5:$H$546,'Raw IC'!$A$5:$A$546,$B74,'Raw IC'!$B$5:$B$546,1))</x:f>
        <x:v>-0.2298341139753966</x:v>
      </x:c>
      <x:c r="F74" s="30" t="n">
        <x:f>IF(COUNTIFS('Raw IC'!$A$5:$A$546,$B74,'Raw IC'!$B$5:$B$546,5)=0,"",SUMIFS('Raw IC'!$F$5:$F$546,'Raw IC'!$A$5:$A$546,$B74,'Raw IC'!$B$5:$B$546,5))</x:f>
        <x:v>-0.04118816438031043</x:v>
      </x:c>
      <x:c r="G74" s="30" t="n">
        <x:f>IF(COUNTIFS('Raw IC'!$A$5:$A$546,$B74,'Raw IC'!$B$5:$B$546,5)=0,"",SUMIFS('Raw IC'!$H$5:$H$546,'Raw IC'!$A$5:$A$546,$B74,'Raw IC'!$B$5:$B$546,5))</x:f>
        <x:v>-0.30265429636024194</x:v>
      </x:c>
      <x:c r="H74" s="30" t="n">
        <x:f>IF(COUNTIFS('Raw IC'!$A$5:$A$546,$B74,'Raw IC'!$B$5:$B$546,10)=0,"",SUMIFS('Raw IC'!$F$5:$F$546,'Raw IC'!$A$5:$A$546,$B74,'Raw IC'!$B$5:$B$546,10))</x:f>
        <x:v>-0.04441185606748134</x:v>
      </x:c>
      <x:c r="I74" s="30" t="n">
        <x:f>IF(COUNTIFS('Raw IC'!$A$5:$A$546,$B74,'Raw IC'!$B$5:$B$546,10)=0,"",SUMIFS('Raw IC'!$H$5:$H$546,'Raw IC'!$A$5:$A$546,$B74,'Raw IC'!$B$5:$B$546,10))</x:f>
        <x:v>-0.3382957340481914</x:v>
      </x:c>
      <x:c r="J74" s="30" t="n">
        <x:f>IF(COUNTIFS('Raw IC'!$A$5:$A$546,$B74,'Raw IC'!$B$5:$B$546,20)=0,"",SUMIFS('Raw IC'!$F$5:$F$546,'Raw IC'!$A$5:$A$546,$B74,'Raw IC'!$B$5:$B$546,20))</x:f>
        <x:v>-0.050061524150600216</x:v>
      </x:c>
      <x:c r="K74" s="30" t="n">
        <x:f>IF(COUNTIFS('Raw IC'!$A$5:$A$546,$B74,'Raw IC'!$B$5:$B$546,20)=0,"",SUMIFS('Raw IC'!$H$5:$H$546,'Raw IC'!$A$5:$A$546,$B74,'Raw IC'!$B$5:$B$546,20))</x:f>
        <x:v>-0.3824865488070183</x:v>
      </x:c>
      <x:c r="L74" s="30" t="n">
        <x:f>IF(COUNT(I74,K74)&lt;2,"",AVERAGE(ABS(I74),ABS(K74)))</x:f>
        <x:v>0.36039114142760487</x:v>
      </x:c>
      <x:c r="M74" t="str">
        <x:f>IF(COUNT(H74,J74)&lt;2,"",IF(H74*J74&gt;=0,IF(H74&gt;=0,"positive","negative"),"mixed"))</x:f>
        <x:v>negative</x:v>
      </x:c>
      <x:c r="N74" s="74" t="n">
        <x:v>46210.47234655092</x:v>
      </x:c>
      <x:c r="O74" s="19" t="n">
        <x:v>8902245</x:v>
      </x:c>
      <x:c r="P74" t="str">
        <x:v>40355b29bce094aef0e99358bdfd4011b92e72a54440a67760de4afae4883c33</x:v>
      </x:c>
      <x:c r="Q74" t="str">
        <x:v>factor_report/gtja191_batch/gtja_079</x:v>
      </x:c>
    </x:row>
    <x:row r="75">
      <x:c r="A75" s="50" t="n">
        <x:f>IF($C75="ranked",1+COUNTIFS($C$5:$C$190,"ranked",$L$5:$L$190,"&gt;"&amp;$L75),"")</x:f>
        <x:v>71</x:v>
      </x:c>
      <x:c r="B75" t="str">
        <x:v>gtja_130</x:v>
      </x:c>
      <x:c r="C75" t="str">
        <x:v>ranked</x:v>
      </x:c>
      <x:c r="D75" s="30" t="str">
        <x:f>IF(COUNTIFS('Raw IC'!$A$5:$A$546,$B75,'Raw IC'!$B$5:$B$546,1)=0,"",SUMIFS('Raw IC'!$F$5:$F$546,'Raw IC'!$A$5:$A$546,$B75,'Raw IC'!$B$5:$B$546,1))</x:f>
      </x:c>
      <x:c r="E75" s="30" t="str">
        <x:f>IF(COUNTIFS('Raw IC'!$A$5:$A$546,$B75,'Raw IC'!$B$5:$B$546,1)=0,"",SUMIFS('Raw IC'!$H$5:$H$546,'Raw IC'!$A$5:$A$546,$B75,'Raw IC'!$B$5:$B$546,1))</x:f>
      </x:c>
      <x:c r="F75" s="30" t="str">
        <x:f>IF(COUNTIFS('Raw IC'!$A$5:$A$546,$B75,'Raw IC'!$B$5:$B$546,5)=0,"",SUMIFS('Raw IC'!$F$5:$F$546,'Raw IC'!$A$5:$A$546,$B75,'Raw IC'!$B$5:$B$546,5))</x:f>
      </x:c>
      <x:c r="G75" s="30" t="str">
        <x:f>IF(COUNTIFS('Raw IC'!$A$5:$A$546,$B75,'Raw IC'!$B$5:$B$546,5)=0,"",SUMIFS('Raw IC'!$H$5:$H$546,'Raw IC'!$A$5:$A$546,$B75,'Raw IC'!$B$5:$B$546,5))</x:f>
      </x:c>
      <x:c r="H75" s="30" t="n">
        <x:f>IF(COUNTIFS('Raw IC'!$A$5:$A$546,$B75,'Raw IC'!$B$5:$B$546,10)=0,"",SUMIFS('Raw IC'!$F$5:$F$546,'Raw IC'!$A$5:$A$546,$B75,'Raw IC'!$B$5:$B$546,10))</x:f>
        <x:v>0.019332473959898393</x:v>
      </x:c>
      <x:c r="I75" s="30" t="n">
        <x:f>IF(COUNTIFS('Raw IC'!$A$5:$A$546,$B75,'Raw IC'!$B$5:$B$546,10)=0,"",SUMIFS('Raw IC'!$H$5:$H$546,'Raw IC'!$A$5:$A$546,$B75,'Raw IC'!$B$5:$B$546,10))</x:f>
        <x:v>0.33953499604334875</x:v>
      </x:c>
      <x:c r="J75" s="30" t="n">
        <x:f>IF(COUNTIFS('Raw IC'!$A$5:$A$546,$B75,'Raw IC'!$B$5:$B$546,20)=0,"",SUMIFS('Raw IC'!$F$5:$F$546,'Raw IC'!$A$5:$A$546,$B75,'Raw IC'!$B$5:$B$546,20))</x:f>
        <x:v>0.020724012759167194</x:v>
      </x:c>
      <x:c r="K75" s="30" t="n">
        <x:f>IF(COUNTIFS('Raw IC'!$A$5:$A$546,$B75,'Raw IC'!$B$5:$B$546,20)=0,"",SUMIFS('Raw IC'!$H$5:$H$546,'Raw IC'!$A$5:$A$546,$B75,'Raw IC'!$B$5:$B$546,20))</x:f>
        <x:v>0.37322770190787197</x:v>
      </x:c>
      <x:c r="L75" s="30" t="n">
        <x:f>IF(COUNT(I75,K75)&lt;2,"",AVERAGE(ABS(I75),ABS(K75)))</x:f>
        <x:v>0.35638134897561036</x:v>
      </x:c>
      <x:c r="M75" t="str">
        <x:f>IF(COUNT(H75,J75)&lt;2,"",IF(H75*J75&gt;=0,IF(H75&gt;=0,"positive","negative"),"mixed"))</x:f>
        <x:v>positive</x:v>
      </x:c>
      <x:c r="N75" s="74" t="n">
        <x:v>46211.42025105324</x:v>
      </x:c>
      <x:c r="O75" s="19" t="n">
        <x:v>8902245</x:v>
      </x:c>
      <x:c r="P75" t="str">
        <x:v>8f7e606554926462248cbcc654181861438ca768a0063f6b317223ede37d16fb</x:v>
      </x:c>
      <x:c r="Q75" t="str">
        <x:v>factor_report/gtja191_batch/gtja_130</x:v>
      </x:c>
    </x:row>
    <x:row r="76">
      <x:c r="A76" s="50" t="n">
        <x:f>IF($C76="ranked",1+COUNTIFS($C$5:$C$190,"ranked",$L$5:$L$190,"&gt;"&amp;$L76),"")</x:f>
        <x:v>72</x:v>
      </x:c>
      <x:c r="B76" t="str">
        <x:v>gtja_164</x:v>
      </x:c>
      <x:c r="C76" t="str">
        <x:v>ranked</x:v>
      </x:c>
      <x:c r="D76" s="30" t="str">
        <x:f>IF(COUNTIFS('Raw IC'!$A$5:$A$546,$B76,'Raw IC'!$B$5:$B$546,1)=0,"",SUMIFS('Raw IC'!$F$5:$F$546,'Raw IC'!$A$5:$A$546,$B76,'Raw IC'!$B$5:$B$546,1))</x:f>
      </x:c>
      <x:c r="E76" s="30" t="str">
        <x:f>IF(COUNTIFS('Raw IC'!$A$5:$A$546,$B76,'Raw IC'!$B$5:$B$546,1)=0,"",SUMIFS('Raw IC'!$H$5:$H$546,'Raw IC'!$A$5:$A$546,$B76,'Raw IC'!$B$5:$B$546,1))</x:f>
      </x:c>
      <x:c r="F76" s="30" t="str">
        <x:f>IF(COUNTIFS('Raw IC'!$A$5:$A$546,$B76,'Raw IC'!$B$5:$B$546,5)=0,"",SUMIFS('Raw IC'!$F$5:$F$546,'Raw IC'!$A$5:$A$546,$B76,'Raw IC'!$B$5:$B$546,5))</x:f>
      </x:c>
      <x:c r="G76" s="30" t="str">
        <x:f>IF(COUNTIFS('Raw IC'!$A$5:$A$546,$B76,'Raw IC'!$B$5:$B$546,5)=0,"",SUMIFS('Raw IC'!$H$5:$H$546,'Raw IC'!$A$5:$A$546,$B76,'Raw IC'!$B$5:$B$546,5))</x:f>
      </x:c>
      <x:c r="H76" s="30" t="n">
        <x:f>IF(COUNTIFS('Raw IC'!$A$5:$A$546,$B76,'Raw IC'!$B$5:$B$546,10)=0,"",SUMIFS('Raw IC'!$F$5:$F$546,'Raw IC'!$A$5:$A$546,$B76,'Raw IC'!$B$5:$B$546,10))</x:f>
        <x:v>0.05937842965949153</x:v>
      </x:c>
      <x:c r="I76" s="30" t="n">
        <x:f>IF(COUNTIFS('Raw IC'!$A$5:$A$546,$B76,'Raw IC'!$B$5:$B$546,10)=0,"",SUMIFS('Raw IC'!$H$5:$H$546,'Raw IC'!$A$5:$A$546,$B76,'Raw IC'!$B$5:$B$546,10))</x:f>
        <x:v>0.32377794940224186</x:v>
      </x:c>
      <x:c r="J76" s="30" t="n">
        <x:f>IF(COUNTIFS('Raw IC'!$A$5:$A$546,$B76,'Raw IC'!$B$5:$B$546,20)=0,"",SUMIFS('Raw IC'!$F$5:$F$546,'Raw IC'!$A$5:$A$546,$B76,'Raw IC'!$B$5:$B$546,20))</x:f>
        <x:v>0.07173398532509588</x:v>
      </x:c>
      <x:c r="K76" s="30" t="n">
        <x:f>IF(COUNTIFS('Raw IC'!$A$5:$A$546,$B76,'Raw IC'!$B$5:$B$546,20)=0,"",SUMIFS('Raw IC'!$H$5:$H$546,'Raw IC'!$A$5:$A$546,$B76,'Raw IC'!$B$5:$B$546,20))</x:f>
        <x:v>0.3816938429003342</x:v>
      </x:c>
      <x:c r="L76" s="30" t="n">
        <x:f>IF(COUNT(I76,K76)&lt;2,"",AVERAGE(ABS(I76),ABS(K76)))</x:f>
        <x:v>0.35273589615128803</x:v>
      </x:c>
      <x:c r="M76" t="str">
        <x:f>IF(COUNT(H76,J76)&lt;2,"",IF(H76*J76&gt;=0,IF(H76&gt;=0,"positive","negative"),"mixed"))</x:f>
        <x:v>positive</x:v>
      </x:c>
      <x:c r="N76" s="74" t="n">
        <x:v>46211.51530107639</x:v>
      </x:c>
      <x:c r="O76" s="19" t="n">
        <x:v>8902245</x:v>
      </x:c>
      <x:c r="P76" t="str">
        <x:v>8f7e606554926462248cbcc654181861438ca768a0063f6b317223ede37d16fb</x:v>
      </x:c>
      <x:c r="Q76" t="str">
        <x:v>factor_report/gtja191_batch/gtja_164</x:v>
      </x:c>
    </x:row>
    <x:row r="77">
      <x:c r="A77" s="50" t="n">
        <x:f>IF($C77="ranked",1+COUNTIFS($C$5:$C$190,"ranked",$L$5:$L$190,"&gt;"&amp;$L77),"")</x:f>
        <x:v>73</x:v>
      </x:c>
      <x:c r="B77" t="str">
        <x:v>gtja_166</x:v>
      </x:c>
      <x:c r="C77" t="str">
        <x:v>ranked</x:v>
      </x:c>
      <x:c r="D77" s="30" t="str">
        <x:f>IF(COUNTIFS('Raw IC'!$A$5:$A$546,$B77,'Raw IC'!$B$5:$B$546,1)=0,"",SUMIFS('Raw IC'!$F$5:$F$546,'Raw IC'!$A$5:$A$546,$B77,'Raw IC'!$B$5:$B$546,1))</x:f>
      </x:c>
      <x:c r="E77" s="30" t="str">
        <x:f>IF(COUNTIFS('Raw IC'!$A$5:$A$546,$B77,'Raw IC'!$B$5:$B$546,1)=0,"",SUMIFS('Raw IC'!$H$5:$H$546,'Raw IC'!$A$5:$A$546,$B77,'Raw IC'!$B$5:$B$546,1))</x:f>
      </x:c>
      <x:c r="F77" s="30" t="str">
        <x:f>IF(COUNTIFS('Raw IC'!$A$5:$A$546,$B77,'Raw IC'!$B$5:$B$546,5)=0,"",SUMIFS('Raw IC'!$F$5:$F$546,'Raw IC'!$A$5:$A$546,$B77,'Raw IC'!$B$5:$B$546,5))</x:f>
      </x:c>
      <x:c r="G77" s="30" t="str">
        <x:f>IF(COUNTIFS('Raw IC'!$A$5:$A$546,$B77,'Raw IC'!$B$5:$B$546,5)=0,"",SUMIFS('Raw IC'!$H$5:$H$546,'Raw IC'!$A$5:$A$546,$B77,'Raw IC'!$B$5:$B$546,5))</x:f>
      </x:c>
      <x:c r="H77" s="30" t="n">
        <x:f>IF(COUNTIFS('Raw IC'!$A$5:$A$546,$B77,'Raw IC'!$B$5:$B$546,10)=0,"",SUMIFS('Raw IC'!$F$5:$F$546,'Raw IC'!$A$5:$A$546,$B77,'Raw IC'!$B$5:$B$546,10))</x:f>
        <x:v>0.030843813362062756</x:v>
      </x:c>
      <x:c r="I77" s="30" t="n">
        <x:f>IF(COUNTIFS('Raw IC'!$A$5:$A$546,$B77,'Raw IC'!$B$5:$B$546,10)=0,"",SUMIFS('Raw IC'!$H$5:$H$546,'Raw IC'!$A$5:$A$546,$B77,'Raw IC'!$B$5:$B$546,10))</x:f>
        <x:v>0.3546693429312166</x:v>
      </x:c>
      <x:c r="J77" s="30" t="n">
        <x:f>IF(COUNTIFS('Raw IC'!$A$5:$A$546,$B77,'Raw IC'!$B$5:$B$546,20)=0,"",SUMIFS('Raw IC'!$F$5:$F$546,'Raw IC'!$A$5:$A$546,$B77,'Raw IC'!$B$5:$B$546,20))</x:f>
        <x:v>0.031560567818774</x:v>
      </x:c>
      <x:c r="K77" s="30" t="n">
        <x:f>IF(COUNTIFS('Raw IC'!$A$5:$A$546,$B77,'Raw IC'!$B$5:$B$546,20)=0,"",SUMIFS('Raw IC'!$H$5:$H$546,'Raw IC'!$A$5:$A$546,$B77,'Raw IC'!$B$5:$B$546,20))</x:f>
        <x:v>0.34956242878580995</x:v>
      </x:c>
      <x:c r="L77" s="30" t="n">
        <x:f>IF(COUNT(I77,K77)&lt;2,"",AVERAGE(ABS(I77),ABS(K77)))</x:f>
        <x:v>0.3521158858585133</x:v>
      </x:c>
      <x:c r="M77" t="str">
        <x:f>IF(COUNT(H77,J77)&lt;2,"",IF(H77*J77&gt;=0,IF(H77&gt;=0,"positive","negative"),"mixed"))</x:f>
        <x:v>positive</x:v>
      </x:c>
      <x:c r="N77" s="74" t="n">
        <x:v>46211.52024034722</x:v>
      </x:c>
      <x:c r="O77" s="19" t="n">
        <x:v>8902245</x:v>
      </x:c>
      <x:c r="P77" t="str">
        <x:v>8f7e606554926462248cbcc654181861438ca768a0063f6b317223ede37d16fb</x:v>
      </x:c>
      <x:c r="Q77" t="str">
        <x:v>factor_report/gtja191_batch/gtja_166</x:v>
      </x:c>
    </x:row>
    <x:row r="78">
      <x:c r="A78" s="50" t="n">
        <x:f>IF($C78="ranked",1+COUNTIFS($C$5:$C$190,"ranked",$L$5:$L$190,"&gt;"&amp;$L78),"")</x:f>
        <x:v>74</x:v>
      </x:c>
      <x:c r="B78" t="str">
        <x:v>gtja_046</x:v>
      </x:c>
      <x:c r="C78" t="str">
        <x:v>ranked</x:v>
      </x:c>
      <x:c r="D78" s="30" t="str">
        <x:f>IF(COUNTIFS('Raw IC'!$A$5:$A$546,$B78,'Raw IC'!$B$5:$B$546,1)=0,"",SUMIFS('Raw IC'!$F$5:$F$546,'Raw IC'!$A$5:$A$546,$B78,'Raw IC'!$B$5:$B$546,1))</x:f>
      </x:c>
      <x:c r="E78" s="30" t="str">
        <x:f>IF(COUNTIFS('Raw IC'!$A$5:$A$546,$B78,'Raw IC'!$B$5:$B$546,1)=0,"",SUMIFS('Raw IC'!$H$5:$H$546,'Raw IC'!$A$5:$A$546,$B78,'Raw IC'!$B$5:$B$546,1))</x:f>
      </x:c>
      <x:c r="F78" s="30" t="str">
        <x:f>IF(COUNTIFS('Raw IC'!$A$5:$A$546,$B78,'Raw IC'!$B$5:$B$546,5)=0,"",SUMIFS('Raw IC'!$F$5:$F$546,'Raw IC'!$A$5:$A$546,$B78,'Raw IC'!$B$5:$B$546,5))</x:f>
      </x:c>
      <x:c r="G78" s="30" t="str">
        <x:f>IF(COUNTIFS('Raw IC'!$A$5:$A$546,$B78,'Raw IC'!$B$5:$B$546,5)=0,"",SUMIFS('Raw IC'!$H$5:$H$546,'Raw IC'!$A$5:$A$546,$B78,'Raw IC'!$B$5:$B$546,5))</x:f>
      </x:c>
      <x:c r="H78" s="30" t="n">
        <x:f>IF(COUNTIFS('Raw IC'!$A$5:$A$546,$B78,'Raw IC'!$B$5:$B$546,10)=0,"",SUMIFS('Raw IC'!$F$5:$F$546,'Raw IC'!$A$5:$A$546,$B78,'Raw IC'!$B$5:$B$546,10))</x:f>
        <x:v>0.04280589597514839</x:v>
      </x:c>
      <x:c r="I78" s="30" t="n">
        <x:f>IF(COUNTIFS('Raw IC'!$A$5:$A$546,$B78,'Raw IC'!$B$5:$B$546,10)=0,"",SUMIFS('Raw IC'!$H$5:$H$546,'Raw IC'!$A$5:$A$546,$B78,'Raw IC'!$B$5:$B$546,10))</x:f>
        <x:v>0.3151637817683931</x:v>
      </x:c>
      <x:c r="J78" s="30" t="n">
        <x:f>IF(COUNTIFS('Raw IC'!$A$5:$A$546,$B78,'Raw IC'!$B$5:$B$546,20)=0,"",SUMIFS('Raw IC'!$F$5:$F$546,'Raw IC'!$A$5:$A$546,$B78,'Raw IC'!$B$5:$B$546,20))</x:f>
        <x:v>0.04895945324656493</x:v>
      </x:c>
      <x:c r="K78" s="30" t="n">
        <x:f>IF(COUNTIFS('Raw IC'!$A$5:$A$546,$B78,'Raw IC'!$B$5:$B$546,20)=0,"",SUMIFS('Raw IC'!$H$5:$H$546,'Raw IC'!$A$5:$A$546,$B78,'Raw IC'!$B$5:$B$546,20))</x:f>
        <x:v>0.37339102795549506</x:v>
      </x:c>
      <x:c r="L78" s="30" t="n">
        <x:f>IF(COUNT(I78,K78)&lt;2,"",AVERAGE(ABS(I78),ABS(K78)))</x:f>
        <x:v>0.3442774048619441</x:v>
      </x:c>
      <x:c r="M78" t="str">
        <x:f>IF(COUNT(H78,J78)&lt;2,"",IF(H78*J78&gt;=0,IF(H78&gt;=0,"positive","negative"),"mixed"))</x:f>
        <x:v>positive</x:v>
      </x:c>
      <x:c r="N78" s="74" t="n">
        <x:v>46211.26878402778</x:v>
      </x:c>
      <x:c r="O78" s="19" t="n">
        <x:v>8902245</x:v>
      </x:c>
      <x:c r="P78" t="str">
        <x:v>8f7e606554926462248cbcc654181861438ca768a0063f6b317223ede37d16fb</x:v>
      </x:c>
      <x:c r="Q78" t="str">
        <x:v>factor_report/gtja191_batch/gtja_046</x:v>
      </x:c>
    </x:row>
    <x:row r="79">
      <x:c r="A79" s="50" t="n">
        <x:f>IF($C79="ranked",1+COUNTIFS($C$5:$C$190,"ranked",$L$5:$L$190,"&gt;"&amp;$L79),"")</x:f>
        <x:v>75</x:v>
      </x:c>
      <x:c r="B79" t="str">
        <x:v>gtja_103</x:v>
      </x:c>
      <x:c r="C79" t="str">
        <x:v>ranked</x:v>
      </x:c>
      <x:c r="D79" s="30" t="str">
        <x:f>IF(COUNTIFS('Raw IC'!$A$5:$A$546,$B79,'Raw IC'!$B$5:$B$546,1)=0,"",SUMIFS('Raw IC'!$F$5:$F$546,'Raw IC'!$A$5:$A$546,$B79,'Raw IC'!$B$5:$B$546,1))</x:f>
      </x:c>
      <x:c r="E79" s="30" t="str">
        <x:f>IF(COUNTIFS('Raw IC'!$A$5:$A$546,$B79,'Raw IC'!$B$5:$B$546,1)=0,"",SUMIFS('Raw IC'!$H$5:$H$546,'Raw IC'!$A$5:$A$546,$B79,'Raw IC'!$B$5:$B$546,1))</x:f>
      </x:c>
      <x:c r="F79" s="30" t="str">
        <x:f>IF(COUNTIFS('Raw IC'!$A$5:$A$546,$B79,'Raw IC'!$B$5:$B$546,5)=0,"",SUMIFS('Raw IC'!$F$5:$F$546,'Raw IC'!$A$5:$A$546,$B79,'Raw IC'!$B$5:$B$546,5))</x:f>
      </x:c>
      <x:c r="G79" s="30" t="str">
        <x:f>IF(COUNTIFS('Raw IC'!$A$5:$A$546,$B79,'Raw IC'!$B$5:$B$546,5)=0,"",SUMIFS('Raw IC'!$H$5:$H$546,'Raw IC'!$A$5:$A$546,$B79,'Raw IC'!$B$5:$B$546,5))</x:f>
      </x:c>
      <x:c r="H79" s="30" t="n">
        <x:f>IF(COUNTIFS('Raw IC'!$A$5:$A$546,$B79,'Raw IC'!$B$5:$B$546,10)=0,"",SUMIFS('Raw IC'!$F$5:$F$546,'Raw IC'!$A$5:$A$546,$B79,'Raw IC'!$B$5:$B$546,10))</x:f>
        <x:v>0.03330244144600269</x:v>
      </x:c>
      <x:c r="I79" s="30" t="n">
        <x:f>IF(COUNTIFS('Raw IC'!$A$5:$A$546,$B79,'Raw IC'!$B$5:$B$546,10)=0,"",SUMIFS('Raw IC'!$H$5:$H$546,'Raw IC'!$A$5:$A$546,$B79,'Raw IC'!$B$5:$B$546,10))</x:f>
        <x:v>0.32401771590433043</x:v>
      </x:c>
      <x:c r="J79" s="30" t="n">
        <x:f>IF(COUNTIFS('Raw IC'!$A$5:$A$546,$B79,'Raw IC'!$B$5:$B$546,20)=0,"",SUMIFS('Raw IC'!$F$5:$F$546,'Raw IC'!$A$5:$A$546,$B79,'Raw IC'!$B$5:$B$546,20))</x:f>
        <x:v>0.03790450316082415</x:v>
      </x:c>
      <x:c r="K79" s="30" t="n">
        <x:f>IF(COUNTIFS('Raw IC'!$A$5:$A$546,$B79,'Raw IC'!$B$5:$B$546,20)=0,"",SUMIFS('Raw IC'!$H$5:$H$546,'Raw IC'!$A$5:$A$546,$B79,'Raw IC'!$B$5:$B$546,20))</x:f>
        <x:v>0.36356658200838765</x:v>
      </x:c>
      <x:c r="L79" s="30" t="n">
        <x:f>IF(COUNT(I79,K79)&lt;2,"",AVERAGE(ABS(I79),ABS(K79)))</x:f>
        <x:v>0.343792148956359</x:v>
      </x:c>
      <x:c r="M79" t="str">
        <x:f>IF(COUNT(H79,J79)&lt;2,"",IF(H79*J79&gt;=0,IF(H79&gt;=0,"positive","negative"),"mixed"))</x:f>
        <x:v>positive</x:v>
      </x:c>
      <x:c r="N79" s="74" t="n">
        <x:v>46211.35333019676</x:v>
      </x:c>
      <x:c r="O79" s="19" t="n">
        <x:v>8902245</x:v>
      </x:c>
      <x:c r="P79" t="str">
        <x:v>8f7e606554926462248cbcc654181861438ca768a0063f6b317223ede37d16fb</x:v>
      </x:c>
      <x:c r="Q79" t="str">
        <x:v>factor_report/gtja191_batch/gtja_103</x:v>
      </x:c>
    </x:row>
    <x:row r="80">
      <x:c r="A80" s="50" t="n">
        <x:f>IF($C80="ranked",1+COUNTIFS($C$5:$C$190,"ranked",$L$5:$L$190,"&gt;"&amp;$L80),"")</x:f>
        <x:v>76</x:v>
      </x:c>
      <x:c r="B80" t="str">
        <x:v>gtja_136</x:v>
      </x:c>
      <x:c r="C80" t="str">
        <x:v>ranked</x:v>
      </x:c>
      <x:c r="D80" s="30" t="str">
        <x:f>IF(COUNTIFS('Raw IC'!$A$5:$A$546,$B80,'Raw IC'!$B$5:$B$546,1)=0,"",SUMIFS('Raw IC'!$F$5:$F$546,'Raw IC'!$A$5:$A$546,$B80,'Raw IC'!$B$5:$B$546,1))</x:f>
      </x:c>
      <x:c r="E80" s="30" t="str">
        <x:f>IF(COUNTIFS('Raw IC'!$A$5:$A$546,$B80,'Raw IC'!$B$5:$B$546,1)=0,"",SUMIFS('Raw IC'!$H$5:$H$546,'Raw IC'!$A$5:$A$546,$B80,'Raw IC'!$B$5:$B$546,1))</x:f>
      </x:c>
      <x:c r="F80" s="30" t="str">
        <x:f>IF(COUNTIFS('Raw IC'!$A$5:$A$546,$B80,'Raw IC'!$B$5:$B$546,5)=0,"",SUMIFS('Raw IC'!$F$5:$F$546,'Raw IC'!$A$5:$A$546,$B80,'Raw IC'!$B$5:$B$546,5))</x:f>
      </x:c>
      <x:c r="G80" s="30" t="str">
        <x:f>IF(COUNTIFS('Raw IC'!$A$5:$A$546,$B80,'Raw IC'!$B$5:$B$546,5)=0,"",SUMIFS('Raw IC'!$H$5:$H$546,'Raw IC'!$A$5:$A$546,$B80,'Raw IC'!$B$5:$B$546,5))</x:f>
      </x:c>
      <x:c r="H80" s="30" t="n">
        <x:f>IF(COUNTIFS('Raw IC'!$A$5:$A$546,$B80,'Raw IC'!$B$5:$B$546,10)=0,"",SUMIFS('Raw IC'!$F$5:$F$546,'Raw IC'!$A$5:$A$546,$B80,'Raw IC'!$B$5:$B$546,10))</x:f>
        <x:v>0.022192194068804304</x:v>
      </x:c>
      <x:c r="I80" s="30" t="n">
        <x:f>IF(COUNTIFS('Raw IC'!$A$5:$A$546,$B80,'Raw IC'!$B$5:$B$546,10)=0,"",SUMIFS('Raw IC'!$H$5:$H$546,'Raw IC'!$A$5:$A$546,$B80,'Raw IC'!$B$5:$B$546,10))</x:f>
        <x:v>0.301018423900332</x:v>
      </x:c>
      <x:c r="J80" s="30" t="n">
        <x:f>IF(COUNTIFS('Raw IC'!$A$5:$A$546,$B80,'Raw IC'!$B$5:$B$546,20)=0,"",SUMIFS('Raw IC'!$F$5:$F$546,'Raw IC'!$A$5:$A$546,$B80,'Raw IC'!$B$5:$B$546,20))</x:f>
        <x:v>0.027085990344603763</x:v>
      </x:c>
      <x:c r="K80" s="30" t="n">
        <x:f>IF(COUNTIFS('Raw IC'!$A$5:$A$546,$B80,'Raw IC'!$B$5:$B$546,20)=0,"",SUMIFS('Raw IC'!$H$5:$H$546,'Raw IC'!$A$5:$A$546,$B80,'Raw IC'!$B$5:$B$546,20))</x:f>
        <x:v>0.37440993206891887</x:v>
      </x:c>
      <x:c r="L80" s="30" t="n">
        <x:f>IF(COUNT(I80,K80)&lt;2,"",AVERAGE(ABS(I80),ABS(K80)))</x:f>
        <x:v>0.33771417798462544</x:v>
      </x:c>
      <x:c r="M80" t="str">
        <x:f>IF(COUNT(H80,J80)&lt;2,"",IF(H80*J80&gt;=0,IF(H80&gt;=0,"positive","negative"),"mixed"))</x:f>
        <x:v>positive</x:v>
      </x:c>
      <x:c r="N80" s="74" t="n">
        <x:v>46211.42709479167</x:v>
      </x:c>
      <x:c r="O80" s="19" t="n">
        <x:v>8902245</x:v>
      </x:c>
      <x:c r="P80" t="str">
        <x:v>8f7e606554926462248cbcc654181861438ca768a0063f6b317223ede37d16fb</x:v>
      </x:c>
      <x:c r="Q80" t="str">
        <x:v>factor_report/gtja191_batch/gtja_136</x:v>
      </x:c>
    </x:row>
    <x:row r="81">
      <x:c r="A81" s="50" t="n">
        <x:f>IF($C81="ranked",1+COUNTIFS($C$5:$C$190,"ranked",$L$5:$L$190,"&gt;"&amp;$L81),"")</x:f>
        <x:v>77</x:v>
      </x:c>
      <x:c r="B81" t="str">
        <x:v>gtja_168</x:v>
      </x:c>
      <x:c r="C81" t="str">
        <x:v>ranked</x:v>
      </x:c>
      <x:c r="D81" s="30" t="str">
        <x:f>IF(COUNTIFS('Raw IC'!$A$5:$A$546,$B81,'Raw IC'!$B$5:$B$546,1)=0,"",SUMIFS('Raw IC'!$F$5:$F$546,'Raw IC'!$A$5:$A$546,$B81,'Raw IC'!$B$5:$B$546,1))</x:f>
      </x:c>
      <x:c r="E81" s="30" t="str">
        <x:f>IF(COUNTIFS('Raw IC'!$A$5:$A$546,$B81,'Raw IC'!$B$5:$B$546,1)=0,"",SUMIFS('Raw IC'!$H$5:$H$546,'Raw IC'!$A$5:$A$546,$B81,'Raw IC'!$B$5:$B$546,1))</x:f>
      </x:c>
      <x:c r="F81" s="30" t="str">
        <x:f>IF(COUNTIFS('Raw IC'!$A$5:$A$546,$B81,'Raw IC'!$B$5:$B$546,5)=0,"",SUMIFS('Raw IC'!$F$5:$F$546,'Raw IC'!$A$5:$A$546,$B81,'Raw IC'!$B$5:$B$546,5))</x:f>
      </x:c>
      <x:c r="G81" s="30" t="str">
        <x:f>IF(COUNTIFS('Raw IC'!$A$5:$A$546,$B81,'Raw IC'!$B$5:$B$546,5)=0,"",SUMIFS('Raw IC'!$H$5:$H$546,'Raw IC'!$A$5:$A$546,$B81,'Raw IC'!$B$5:$B$546,5))</x:f>
      </x:c>
      <x:c r="H81" s="30" t="n">
        <x:f>IF(COUNTIFS('Raw IC'!$A$5:$A$546,$B81,'Raw IC'!$B$5:$B$546,10)=0,"",SUMIFS('Raw IC'!$F$5:$F$546,'Raw IC'!$A$5:$A$546,$B81,'Raw IC'!$B$5:$B$546,10))</x:f>
        <x:v>0.02736438952349721</x:v>
      </x:c>
      <x:c r="I81" s="30" t="n">
        <x:f>IF(COUNTIFS('Raw IC'!$A$5:$A$546,$B81,'Raw IC'!$B$5:$B$546,10)=0,"",SUMIFS('Raw IC'!$H$5:$H$546,'Raw IC'!$A$5:$A$546,$B81,'Raw IC'!$B$5:$B$546,10))</x:f>
        <x:v>0.3264131266560999</x:v>
      </x:c>
      <x:c r="J81" s="30" t="n">
        <x:f>IF(COUNTIFS('Raw IC'!$A$5:$A$546,$B81,'Raw IC'!$B$5:$B$546,20)=0,"",SUMIFS('Raw IC'!$F$5:$F$546,'Raw IC'!$A$5:$A$546,$B81,'Raw IC'!$B$5:$B$546,20))</x:f>
        <x:v>0.027973862548659086</x:v>
      </x:c>
      <x:c r="K81" s="30" t="n">
        <x:f>IF(COUNTIFS('Raw IC'!$A$5:$A$546,$B81,'Raw IC'!$B$5:$B$546,20)=0,"",SUMIFS('Raw IC'!$H$5:$H$546,'Raw IC'!$A$5:$A$546,$B81,'Raw IC'!$B$5:$B$546,20))</x:f>
        <x:v>0.34763915528640105</x:v>
      </x:c>
      <x:c r="L81" s="30" t="n">
        <x:f>IF(COUNT(I81,K81)&lt;2,"",AVERAGE(ABS(I81),ABS(K81)))</x:f>
        <x:v>0.3370261409712505</x:v>
      </x:c>
      <x:c r="M81" t="str">
        <x:f>IF(COUNT(H81,J81)&lt;2,"",IF(H81*J81&gt;=0,IF(H81&gt;=0,"positive","negative"),"mixed"))</x:f>
        <x:v>positive</x:v>
      </x:c>
      <x:c r="N81" s="74" t="n">
        <x:v>46211.52286168982</x:v>
      </x:c>
      <x:c r="O81" s="19" t="n">
        <x:v>8902245</x:v>
      </x:c>
      <x:c r="P81" t="str">
        <x:v>8f7e606554926462248cbcc654181861438ca768a0063f6b317223ede37d16fb</x:v>
      </x:c>
      <x:c r="Q81" t="str">
        <x:v>factor_report/gtja191_batch/gtja_168</x:v>
      </x:c>
    </x:row>
    <x:row r="82">
      <x:c r="A82" s="50" t="n">
        <x:f>IF($C82="ranked",1+COUNTIFS($C$5:$C$190,"ranked",$L$5:$L$190,"&gt;"&amp;$L82),"")</x:f>
        <x:v>78</x:v>
      </x:c>
      <x:c r="B82" t="str">
        <x:v>gtja_151</x:v>
      </x:c>
      <x:c r="C82" t="str">
        <x:v>ranked</x:v>
      </x:c>
      <x:c r="D82" s="30" t="n">
        <x:f>IF(COUNTIFS('Raw IC'!$A$5:$A$546,$B82,'Raw IC'!$B$5:$B$546,1)=0,"",SUMIFS('Raw IC'!$F$5:$F$546,'Raw IC'!$A$5:$A$546,$B82,'Raw IC'!$B$5:$B$546,1))</x:f>
        <x:v>-0.02290847888460326</x:v>
      </x:c>
      <x:c r="E82" s="30" t="n">
        <x:f>IF(COUNTIFS('Raw IC'!$A$5:$A$546,$B82,'Raw IC'!$B$5:$B$546,1)=0,"",SUMIFS('Raw IC'!$H$5:$H$546,'Raw IC'!$A$5:$A$546,$B82,'Raw IC'!$B$5:$B$546,1))</x:f>
        <x:v>-0.146332540774444</x:v>
      </x:c>
      <x:c r="F82" s="30" t="n">
        <x:f>IF(COUNTIFS('Raw IC'!$A$5:$A$546,$B82,'Raw IC'!$B$5:$B$546,5)=0,"",SUMIFS('Raw IC'!$F$5:$F$546,'Raw IC'!$A$5:$A$546,$B82,'Raw IC'!$B$5:$B$546,5))</x:f>
        <x:v>-0.03830023224214012</x:v>
      </x:c>
      <x:c r="G82" s="30" t="n">
        <x:f>IF(COUNTIFS('Raw IC'!$A$5:$A$546,$B82,'Raw IC'!$B$5:$B$546,5)=0,"",SUMIFS('Raw IC'!$H$5:$H$546,'Raw IC'!$A$5:$A$546,$B82,'Raw IC'!$B$5:$B$546,5))</x:f>
        <x:v>-0.2626356849127136</x:v>
      </x:c>
      <x:c r="H82" s="30" t="n">
        <x:f>IF(COUNTIFS('Raw IC'!$A$5:$A$546,$B82,'Raw IC'!$B$5:$B$546,10)=0,"",SUMIFS('Raw IC'!$F$5:$F$546,'Raw IC'!$A$5:$A$546,$B82,'Raw IC'!$B$5:$B$546,10))</x:f>
        <x:v>-0.04543164372225063</x:v>
      </x:c>
      <x:c r="I82" s="30" t="n">
        <x:f>IF(COUNTIFS('Raw IC'!$A$5:$A$546,$B82,'Raw IC'!$B$5:$B$546,10)=0,"",SUMIFS('Raw IC'!$H$5:$H$546,'Raw IC'!$A$5:$A$546,$B82,'Raw IC'!$B$5:$B$546,10))</x:f>
        <x:v>-0.32560316486529267</x:v>
      </x:c>
      <x:c r="J82" s="30" t="n">
        <x:f>IF(COUNTIFS('Raw IC'!$A$5:$A$546,$B82,'Raw IC'!$B$5:$B$546,20)=0,"",SUMIFS('Raw IC'!$F$5:$F$546,'Raw IC'!$A$5:$A$546,$B82,'Raw IC'!$B$5:$B$546,20))</x:f>
        <x:v>-0.048389435009328755</x:v>
      </x:c>
      <x:c r="K82" s="30" t="n">
        <x:f>IF(COUNTIFS('Raw IC'!$A$5:$A$546,$B82,'Raw IC'!$B$5:$B$546,20)=0,"",SUMIFS('Raw IC'!$H$5:$H$546,'Raw IC'!$A$5:$A$546,$B82,'Raw IC'!$B$5:$B$546,20))</x:f>
        <x:v>-0.3471389688617287</x:v>
      </x:c>
      <x:c r="L82" s="30" t="n">
        <x:f>IF(COUNT(I82,K82)&lt;2,"",AVERAGE(ABS(I82),ABS(K82)))</x:f>
        <x:v>0.3363710668635107</x:v>
      </x:c>
      <x:c r="M82" t="str">
        <x:f>IF(COUNT(H82,J82)&lt;2,"",IF(H82*J82&gt;=0,IF(H82&gt;=0,"positive","negative"),"mixed"))</x:f>
        <x:v>negative</x:v>
      </x:c>
      <x:c r="N82" s="74" t="n">
        <x:v>46210.81806668981</x:v>
      </x:c>
      <x:c r="O82" s="19" t="n">
        <x:v>8902245</x:v>
      </x:c>
      <x:c r="P82" t="str">
        <x:v>40355b29bce094aef0e99358bdfd4011b92e72a54440a67760de4afae4883c33</x:v>
      </x:c>
      <x:c r="Q82" t="str">
        <x:v>factor_report/gtja191_batch/gtja_151</x:v>
      </x:c>
    </x:row>
    <x:row r="83">
      <x:c r="A83" s="50" t="n">
        <x:f>IF($C83="ranked",1+COUNTIFS($C$5:$C$190,"ranked",$L$5:$L$190,"&gt;"&amp;$L83),"")</x:f>
        <x:v>79</x:v>
      </x:c>
      <x:c r="B83" t="str">
        <x:v>gtja_128</x:v>
      </x:c>
      <x:c r="C83" t="str">
        <x:v>ranked</x:v>
      </x:c>
      <x:c r="D83" s="30" t="n">
        <x:f>IF(COUNTIFS('Raw IC'!$A$5:$A$546,$B83,'Raw IC'!$B$5:$B$546,1)=0,"",SUMIFS('Raw IC'!$F$5:$F$546,'Raw IC'!$A$5:$A$546,$B83,'Raw IC'!$B$5:$B$546,1))</x:f>
        <x:v>-0.02612050290307155</x:v>
      </x:c>
      <x:c r="E83" s="30" t="n">
        <x:f>IF(COUNTIFS('Raw IC'!$A$5:$A$546,$B83,'Raw IC'!$B$5:$B$546,1)=0,"",SUMIFS('Raw IC'!$H$5:$H$546,'Raw IC'!$A$5:$A$546,$B83,'Raw IC'!$B$5:$B$546,1))</x:f>
        <x:v>-0.21924427944475597</x:v>
      </x:c>
      <x:c r="F83" s="30" t="n">
        <x:f>IF(COUNTIFS('Raw IC'!$A$5:$A$546,$B83,'Raw IC'!$B$5:$B$546,5)=0,"",SUMIFS('Raw IC'!$F$5:$F$546,'Raw IC'!$A$5:$A$546,$B83,'Raw IC'!$B$5:$B$546,5))</x:f>
        <x:v>-0.029563258856496376</x:v>
      </x:c>
      <x:c r="G83" s="30" t="n">
        <x:f>IF(COUNTIFS('Raw IC'!$A$5:$A$546,$B83,'Raw IC'!$B$5:$B$546,5)=0,"",SUMIFS('Raw IC'!$H$5:$H$546,'Raw IC'!$A$5:$A$546,$B83,'Raw IC'!$B$5:$B$546,5))</x:f>
        <x:v>-0.2676792425351378</x:v>
      </x:c>
      <x:c r="H83" s="30" t="n">
        <x:f>IF(COUNTIFS('Raw IC'!$A$5:$A$546,$B83,'Raw IC'!$B$5:$B$546,10)=0,"",SUMIFS('Raw IC'!$F$5:$F$546,'Raw IC'!$A$5:$A$546,$B83,'Raw IC'!$B$5:$B$546,10))</x:f>
        <x:v>-0.032949282801604314</x:v>
      </x:c>
      <x:c r="I83" s="30" t="n">
        <x:f>IF(COUNTIFS('Raw IC'!$A$5:$A$546,$B83,'Raw IC'!$B$5:$B$546,10)=0,"",SUMIFS('Raw IC'!$H$5:$H$546,'Raw IC'!$A$5:$A$546,$B83,'Raw IC'!$B$5:$B$546,10))</x:f>
        <x:v>-0.30386361422167046</x:v>
      </x:c>
      <x:c r="J83" s="30" t="n">
        <x:f>IF(COUNTIFS('Raw IC'!$A$5:$A$546,$B83,'Raw IC'!$B$5:$B$546,20)=0,"",SUMIFS('Raw IC'!$F$5:$F$546,'Raw IC'!$A$5:$A$546,$B83,'Raw IC'!$B$5:$B$546,20))</x:f>
        <x:v>-0.03950094064651557</x:v>
      </x:c>
      <x:c r="K83" s="30" t="n">
        <x:f>IF(COUNTIFS('Raw IC'!$A$5:$A$546,$B83,'Raw IC'!$B$5:$B$546,20)=0,"",SUMIFS('Raw IC'!$H$5:$H$546,'Raw IC'!$A$5:$A$546,$B83,'Raw IC'!$B$5:$B$546,20))</x:f>
        <x:v>-0.36434132582813583</x:v>
      </x:c>
      <x:c r="L83" s="30" t="n">
        <x:f>IF(COUNT(I83,K83)&lt;2,"",AVERAGE(ABS(I83),ABS(K83)))</x:f>
        <x:v>0.3341024700249031</x:v>
      </x:c>
      <x:c r="M83" t="str">
        <x:f>IF(COUNT(H83,J83)&lt;2,"",IF(H83*J83&gt;=0,IF(H83&gt;=0,"positive","negative"),"mixed"))</x:f>
        <x:v>negative</x:v>
      </x:c>
      <x:c r="N83" s="74" t="n">
        <x:v>46210.71593150463</x:v>
      </x:c>
      <x:c r="O83" s="19" t="n">
        <x:v>8902245</x:v>
      </x:c>
      <x:c r="P83" t="str">
        <x:v>40355b29bce094aef0e99358bdfd4011b92e72a54440a67760de4afae4883c33</x:v>
      </x:c>
      <x:c r="Q83" t="str">
        <x:v>factor_report/gtja191_batch/gtja_128</x:v>
      </x:c>
    </x:row>
    <x:row r="84">
      <x:c r="A84" s="50" t="n">
        <x:f>IF($C84="ranked",1+COUNTIFS($C$5:$C$190,"ranked",$L$5:$L$190,"&gt;"&amp;$L84),"")</x:f>
        <x:v>80</x:v>
      </x:c>
      <x:c r="B84" t="str">
        <x:v>gtja_056</x:v>
      </x:c>
      <x:c r="C84" t="str">
        <x:v>ranked</x:v>
      </x:c>
      <x:c r="D84" s="30" t="str">
        <x:f>IF(COUNTIFS('Raw IC'!$A$5:$A$546,$B84,'Raw IC'!$B$5:$B$546,1)=0,"",SUMIFS('Raw IC'!$F$5:$F$546,'Raw IC'!$A$5:$A$546,$B84,'Raw IC'!$B$5:$B$546,1))</x:f>
      </x:c>
      <x:c r="E84" s="30" t="str">
        <x:f>IF(COUNTIFS('Raw IC'!$A$5:$A$546,$B84,'Raw IC'!$B$5:$B$546,1)=0,"",SUMIFS('Raw IC'!$H$5:$H$546,'Raw IC'!$A$5:$A$546,$B84,'Raw IC'!$B$5:$B$546,1))</x:f>
      </x:c>
      <x:c r="F84" s="30" t="str">
        <x:f>IF(COUNTIFS('Raw IC'!$A$5:$A$546,$B84,'Raw IC'!$B$5:$B$546,5)=0,"",SUMIFS('Raw IC'!$F$5:$F$546,'Raw IC'!$A$5:$A$546,$B84,'Raw IC'!$B$5:$B$546,5))</x:f>
      </x:c>
      <x:c r="G84" s="30" t="str">
        <x:f>IF(COUNTIFS('Raw IC'!$A$5:$A$546,$B84,'Raw IC'!$B$5:$B$546,5)=0,"",SUMIFS('Raw IC'!$H$5:$H$546,'Raw IC'!$A$5:$A$546,$B84,'Raw IC'!$B$5:$B$546,5))</x:f>
      </x:c>
      <x:c r="H84" s="30" t="n">
        <x:f>IF(COUNTIFS('Raw IC'!$A$5:$A$546,$B84,'Raw IC'!$B$5:$B$546,10)=0,"",SUMIFS('Raw IC'!$F$5:$F$546,'Raw IC'!$A$5:$A$546,$B84,'Raw IC'!$B$5:$B$546,10))</x:f>
        <x:v>0.024696541184129516</x:v>
      </x:c>
      <x:c r="I84" s="30" t="n">
        <x:f>IF(COUNTIFS('Raw IC'!$A$5:$A$546,$B84,'Raw IC'!$B$5:$B$546,10)=0,"",SUMIFS('Raw IC'!$H$5:$H$546,'Raw IC'!$A$5:$A$546,$B84,'Raw IC'!$B$5:$B$546,10))</x:f>
        <x:v>0.2925488455018295</x:v>
      </x:c>
      <x:c r="J84" s="30" t="n">
        <x:f>IF(COUNTIFS('Raw IC'!$A$5:$A$546,$B84,'Raw IC'!$B$5:$B$546,20)=0,"",SUMIFS('Raw IC'!$F$5:$F$546,'Raw IC'!$A$5:$A$546,$B84,'Raw IC'!$B$5:$B$546,20))</x:f>
        <x:v>0.03241313674768896</x:v>
      </x:c>
      <x:c r="K84" s="30" t="n">
        <x:f>IF(COUNTIFS('Raw IC'!$A$5:$A$546,$B84,'Raw IC'!$B$5:$B$546,20)=0,"",SUMIFS('Raw IC'!$H$5:$H$546,'Raw IC'!$A$5:$A$546,$B84,'Raw IC'!$B$5:$B$546,20))</x:f>
        <x:v>0.3663034564165094</x:v>
      </x:c>
      <x:c r="L84" s="30" t="n">
        <x:f>IF(COUNT(I84,K84)&lt;2,"",AVERAGE(ABS(I84),ABS(K84)))</x:f>
        <x:v>0.3294261509591695</x:v>
      </x:c>
      <x:c r="M84" t="str">
        <x:f>IF(COUNT(H84,J84)&lt;2,"",IF(H84*J84&gt;=0,IF(H84&gt;=0,"positive","negative"),"mixed"))</x:f>
        <x:v>positive</x:v>
      </x:c>
      <x:c r="N84" s="74" t="n">
        <x:v>46211.28159711805</x:v>
      </x:c>
      <x:c r="O84" s="19" t="n">
        <x:v>8902245</x:v>
      </x:c>
      <x:c r="P84" t="str">
        <x:v>8f7e606554926462248cbcc654181861438ca768a0063f6b317223ede37d16fb</x:v>
      </x:c>
      <x:c r="Q84" t="str">
        <x:v>factor_report/gtja191_batch/gtja_056</x:v>
      </x:c>
    </x:row>
    <x:row r="85">
      <x:c r="A85" s="50" t="n">
        <x:f>IF($C85="ranked",1+COUNTIFS($C$5:$C$190,"ranked",$L$5:$L$190,"&gt;"&amp;$L85),"")</x:f>
        <x:v>81</x:v>
      </x:c>
      <x:c r="B85" t="str">
        <x:v>gtja_120</x:v>
      </x:c>
      <x:c r="C85" t="str">
        <x:v>ranked</x:v>
      </x:c>
      <x:c r="D85" s="30" t="str">
        <x:f>IF(COUNTIFS('Raw IC'!$A$5:$A$546,$B85,'Raw IC'!$B$5:$B$546,1)=0,"",SUMIFS('Raw IC'!$F$5:$F$546,'Raw IC'!$A$5:$A$546,$B85,'Raw IC'!$B$5:$B$546,1))</x:f>
      </x:c>
      <x:c r="E85" s="30" t="str">
        <x:f>IF(COUNTIFS('Raw IC'!$A$5:$A$546,$B85,'Raw IC'!$B$5:$B$546,1)=0,"",SUMIFS('Raw IC'!$H$5:$H$546,'Raw IC'!$A$5:$A$546,$B85,'Raw IC'!$B$5:$B$546,1))</x:f>
      </x:c>
      <x:c r="F85" s="30" t="str">
        <x:f>IF(COUNTIFS('Raw IC'!$A$5:$A$546,$B85,'Raw IC'!$B$5:$B$546,5)=0,"",SUMIFS('Raw IC'!$F$5:$F$546,'Raw IC'!$A$5:$A$546,$B85,'Raw IC'!$B$5:$B$546,5))</x:f>
      </x:c>
      <x:c r="G85" s="30" t="str">
        <x:f>IF(COUNTIFS('Raw IC'!$A$5:$A$546,$B85,'Raw IC'!$B$5:$B$546,5)=0,"",SUMIFS('Raw IC'!$H$5:$H$546,'Raw IC'!$A$5:$A$546,$B85,'Raw IC'!$B$5:$B$546,5))</x:f>
      </x:c>
      <x:c r="H85" s="30" t="n">
        <x:f>IF(COUNTIFS('Raw IC'!$A$5:$A$546,$B85,'Raw IC'!$B$5:$B$546,10)=0,"",SUMIFS('Raw IC'!$F$5:$F$546,'Raw IC'!$A$5:$A$546,$B85,'Raw IC'!$B$5:$B$546,10))</x:f>
        <x:v>0.04280983328161368</x:v>
      </x:c>
      <x:c r="I85" s="30" t="n">
        <x:f>IF(COUNTIFS('Raw IC'!$A$5:$A$546,$B85,'Raw IC'!$B$5:$B$546,10)=0,"",SUMIFS('Raw IC'!$H$5:$H$546,'Raw IC'!$A$5:$A$546,$B85,'Raw IC'!$B$5:$B$546,10))</x:f>
        <x:v>0.2889090935347698</x:v>
      </x:c>
      <x:c r="J85" s="30" t="n">
        <x:f>IF(COUNTIFS('Raw IC'!$A$5:$A$546,$B85,'Raw IC'!$B$5:$B$546,20)=0,"",SUMIFS('Raw IC'!$F$5:$F$546,'Raw IC'!$A$5:$A$546,$B85,'Raw IC'!$B$5:$B$546,20))</x:f>
        <x:v>0.05357793930772217</x:v>
      </x:c>
      <x:c r="K85" s="30" t="n">
        <x:f>IF(COUNTIFS('Raw IC'!$A$5:$A$546,$B85,'Raw IC'!$B$5:$B$546,20)=0,"",SUMIFS('Raw IC'!$H$5:$H$546,'Raw IC'!$A$5:$A$546,$B85,'Raw IC'!$B$5:$B$546,20))</x:f>
        <x:v>0.3558558161674735</x:v>
      </x:c>
      <x:c r="L85" s="30" t="n">
        <x:f>IF(COUNT(I85,K85)&lt;2,"",AVERAGE(ABS(I85),ABS(K85)))</x:f>
        <x:v>0.32238245485112166</x:v>
      </x:c>
      <x:c r="M85" t="str">
        <x:f>IF(COUNT(H85,J85)&lt;2,"",IF(H85*J85&gt;=0,IF(H85&gt;=0,"positive","negative"),"mixed"))</x:f>
        <x:v>positive</x:v>
      </x:c>
      <x:c r="N85" s="74" t="n">
        <x:v>46211.39541752315</x:v>
      </x:c>
      <x:c r="O85" s="19" t="n">
        <x:v>8902245</x:v>
      </x:c>
      <x:c r="P85" t="str">
        <x:v>8f7e606554926462248cbcc654181861438ca768a0063f6b317223ede37d16fb</x:v>
      </x:c>
      <x:c r="Q85" t="str">
        <x:v>factor_report/gtja191_batch/gtja_120</x:v>
      </x:c>
    </x:row>
    <x:row r="86">
      <x:c r="A86" s="50" t="n">
        <x:f>IF($C86="ranked",1+COUNTIFS($C$5:$C$190,"ranked",$L$5:$L$190,"&gt;"&amp;$L86),"")</x:f>
        <x:v>82</x:v>
      </x:c>
      <x:c r="B86" t="str">
        <x:v>gtja_003</x:v>
      </x:c>
      <x:c r="C86" t="str">
        <x:v>ranked</x:v>
      </x:c>
      <x:c r="D86" s="30" t="n">
        <x:f>IF(COUNTIFS('Raw IC'!$A$5:$A$546,$B86,'Raw IC'!$B$5:$B$546,1)=0,"",SUMIFS('Raw IC'!$F$5:$F$546,'Raw IC'!$A$5:$A$546,$B86,'Raw IC'!$B$5:$B$546,1))</x:f>
        <x:v>-0.02780988007414572</x:v>
      </x:c>
      <x:c r="E86" s="30" t="n">
        <x:f>IF(COUNTIFS('Raw IC'!$A$5:$A$546,$B86,'Raw IC'!$B$5:$B$546,1)=0,"",SUMIFS('Raw IC'!$H$5:$H$546,'Raw IC'!$A$5:$A$546,$B86,'Raw IC'!$B$5:$B$546,1))</x:f>
        <x:v>-0.2101405132987992</x:v>
      </x:c>
      <x:c r="F86" s="30" t="n">
        <x:f>IF(COUNTIFS('Raw IC'!$A$5:$A$546,$B86,'Raw IC'!$B$5:$B$546,5)=0,"",SUMIFS('Raw IC'!$F$5:$F$546,'Raw IC'!$A$5:$A$546,$B86,'Raw IC'!$B$5:$B$546,5))</x:f>
        <x:v>-0.03133043162517747</x:v>
      </x:c>
      <x:c r="G86" s="30" t="n">
        <x:f>IF(COUNTIFS('Raw IC'!$A$5:$A$546,$B86,'Raw IC'!$B$5:$B$546,5)=0,"",SUMIFS('Raw IC'!$H$5:$H$546,'Raw IC'!$A$5:$A$546,$B86,'Raw IC'!$B$5:$B$546,5))</x:f>
        <x:v>-0.25025913495976493</x:v>
      </x:c>
      <x:c r="H86" s="30" t="n">
        <x:f>IF(COUNTIFS('Raw IC'!$A$5:$A$546,$B86,'Raw IC'!$B$5:$B$546,10)=0,"",SUMIFS('Raw IC'!$F$5:$F$546,'Raw IC'!$A$5:$A$546,$B86,'Raw IC'!$B$5:$B$546,10))</x:f>
        <x:v>-0.03472088085404721</x:v>
      </x:c>
      <x:c r="I86" s="30" t="n">
        <x:f>IF(COUNTIFS('Raw IC'!$A$5:$A$546,$B86,'Raw IC'!$B$5:$B$546,10)=0,"",SUMIFS('Raw IC'!$H$5:$H$546,'Raw IC'!$A$5:$A$546,$B86,'Raw IC'!$B$5:$B$546,10))</x:f>
        <x:v>-0.28815261619366944</x:v>
      </x:c>
      <x:c r="J86" s="30" t="n">
        <x:f>IF(COUNTIFS('Raw IC'!$A$5:$A$546,$B86,'Raw IC'!$B$5:$B$546,20)=0,"",SUMIFS('Raw IC'!$F$5:$F$546,'Raw IC'!$A$5:$A$546,$B86,'Raw IC'!$B$5:$B$546,20))</x:f>
        <x:v>-0.040821568603022704</x:v>
      </x:c>
      <x:c r="K86" s="30" t="n">
        <x:f>IF(COUNTIFS('Raw IC'!$A$5:$A$546,$B86,'Raw IC'!$B$5:$B$546,20)=0,"",SUMIFS('Raw IC'!$H$5:$H$546,'Raw IC'!$A$5:$A$546,$B86,'Raw IC'!$B$5:$B$546,20))</x:f>
        <x:v>-0.3519861610678927</x:v>
      </x:c>
      <x:c r="L86" s="30" t="n">
        <x:f>IF(COUNT(I86,K86)&lt;2,"",AVERAGE(ABS(I86),ABS(K86)))</x:f>
        <x:v>0.32006938863078105</x:v>
      </x:c>
      <x:c r="M86" t="str">
        <x:f>IF(COUNT(H86,J86)&lt;2,"",IF(H86*J86&gt;=0,IF(H86&gt;=0,"positive","negative"),"mixed"))</x:f>
        <x:v>negative</x:v>
      </x:c>
      <x:c r="N86" s="74" t="n">
        <x:v>46210.119879363425</x:v>
      </x:c>
      <x:c r="O86" s="19" t="n">
        <x:v>8902245</x:v>
      </x:c>
      <x:c r="P86" t="str">
        <x:v>40355b29bce094aef0e99358bdfd4011b92e72a54440a67760de4afae4883c33</x:v>
      </x:c>
      <x:c r="Q86" t="str">
        <x:v>factor_report/gtja191_batch/gtja_003</x:v>
      </x:c>
    </x:row>
    <x:row r="87">
      <x:c r="A87" s="50" t="n">
        <x:f>IF($C87="ranked",1+COUNTIFS($C$5:$C$190,"ranked",$L$5:$L$190,"&gt;"&amp;$L87),"")</x:f>
        <x:v>83</x:v>
      </x:c>
      <x:c r="B87" t="str">
        <x:v>gtja_043</x:v>
      </x:c>
      <x:c r="C87" t="str">
        <x:v>ranked</x:v>
      </x:c>
      <x:c r="D87" s="30" t="n">
        <x:f>IF(COUNTIFS('Raw IC'!$A$5:$A$546,$B87,'Raw IC'!$B$5:$B$546,1)=0,"",SUMIFS('Raw IC'!$F$5:$F$546,'Raw IC'!$A$5:$A$546,$B87,'Raw IC'!$B$5:$B$546,1))</x:f>
        <x:v>-0.02166618342519954</x:v>
      </x:c>
      <x:c r="E87" s="30" t="n">
        <x:f>IF(COUNTIFS('Raw IC'!$A$5:$A$546,$B87,'Raw IC'!$B$5:$B$546,1)=0,"",SUMIFS('Raw IC'!$H$5:$H$546,'Raw IC'!$A$5:$A$546,$B87,'Raw IC'!$B$5:$B$546,1))</x:f>
        <x:v>-0.21216995918939102</x:v>
      </x:c>
      <x:c r="F87" s="30" t="n">
        <x:f>IF(COUNTIFS('Raw IC'!$A$5:$A$546,$B87,'Raw IC'!$B$5:$B$546,5)=0,"",SUMIFS('Raw IC'!$F$5:$F$546,'Raw IC'!$A$5:$A$546,$B87,'Raw IC'!$B$5:$B$546,5))</x:f>
        <x:v>-0.024491701496502382</x:v>
      </x:c>
      <x:c r="G87" s="30" t="n">
        <x:f>IF(COUNTIFS('Raw IC'!$A$5:$A$546,$B87,'Raw IC'!$B$5:$B$546,5)=0,"",SUMIFS('Raw IC'!$H$5:$H$546,'Raw IC'!$A$5:$A$546,$B87,'Raw IC'!$B$5:$B$546,5))</x:f>
        <x:v>-0.2614641745861154</x:v>
      </x:c>
      <x:c r="H87" s="30" t="n">
        <x:f>IF(COUNTIFS('Raw IC'!$A$5:$A$546,$B87,'Raw IC'!$B$5:$B$546,10)=0,"",SUMIFS('Raw IC'!$F$5:$F$546,'Raw IC'!$A$5:$A$546,$B87,'Raw IC'!$B$5:$B$546,10))</x:f>
        <x:v>-0.02657135519980472</x:v>
      </x:c>
      <x:c r="I87" s="30" t="n">
        <x:f>IF(COUNTIFS('Raw IC'!$A$5:$A$546,$B87,'Raw IC'!$B$5:$B$546,10)=0,"",SUMIFS('Raw IC'!$H$5:$H$546,'Raw IC'!$A$5:$A$546,$B87,'Raw IC'!$B$5:$B$546,10))</x:f>
        <x:v>-0.3001023730383226</x:v>
      </x:c>
      <x:c r="J87" s="30" t="n">
        <x:f>IF(COUNTIFS('Raw IC'!$A$5:$A$546,$B87,'Raw IC'!$B$5:$B$546,20)=0,"",SUMIFS('Raw IC'!$F$5:$F$546,'Raw IC'!$A$5:$A$546,$B87,'Raw IC'!$B$5:$B$546,20))</x:f>
        <x:v>-0.030147416050492905</x:v>
      </x:c>
      <x:c r="K87" s="30" t="n">
        <x:f>IF(COUNTIFS('Raw IC'!$A$5:$A$546,$B87,'Raw IC'!$B$5:$B$546,20)=0,"",SUMIFS('Raw IC'!$H$5:$H$546,'Raw IC'!$A$5:$A$546,$B87,'Raw IC'!$B$5:$B$546,20))</x:f>
        <x:v>-0.3384131735624347</x:v>
      </x:c>
      <x:c r="L87" s="30" t="n">
        <x:f>IF(COUNT(I87,K87)&lt;2,"",AVERAGE(ABS(I87),ABS(K87)))</x:f>
        <x:v>0.31925777330037863</x:v>
      </x:c>
      <x:c r="M87" t="str">
        <x:f>IF(COUNT(H87,J87)&lt;2,"",IF(H87*J87&gt;=0,IF(H87&gt;=0,"positive","negative"),"mixed"))</x:f>
        <x:v>negative</x:v>
      </x:c>
      <x:c r="N87" s="74" t="n">
        <x:v>46210.29250166666</x:v>
      </x:c>
      <x:c r="O87" s="19" t="n">
        <x:v>8902245</x:v>
      </x:c>
      <x:c r="P87" t="str">
        <x:v>40355b29bce094aef0e99358bdfd4011b92e72a54440a67760de4afae4883c33</x:v>
      </x:c>
      <x:c r="Q87" t="str">
        <x:v>factor_report/gtja191_batch/gtja_043</x:v>
      </x:c>
    </x:row>
    <x:row r="88">
      <x:c r="A88" s="50" t="n">
        <x:f>IF($C88="ranked",1+COUNTIFS($C$5:$C$190,"ranked",$L$5:$L$190,"&gt;"&amp;$L88),"")</x:f>
        <x:v>84</x:v>
      </x:c>
      <x:c r="B88" t="str">
        <x:v>gtja_031</x:v>
      </x:c>
      <x:c r="C88" t="str">
        <x:v>ranked</x:v>
      </x:c>
      <x:c r="D88" s="30" t="n">
        <x:f>IF(COUNTIFS('Raw IC'!$A$5:$A$546,$B88,'Raw IC'!$B$5:$B$546,1)=0,"",SUMIFS('Raw IC'!$F$5:$F$546,'Raw IC'!$A$5:$A$546,$B88,'Raw IC'!$B$5:$B$546,1))</x:f>
        <x:v>-0.0325941446144204</x:v>
      </x:c>
      <x:c r="E88" s="30" t="n">
        <x:f>IF(COUNTIFS('Raw IC'!$A$5:$A$546,$B88,'Raw IC'!$B$5:$B$546,1)=0,"",SUMIFS('Raw IC'!$H$5:$H$546,'Raw IC'!$A$5:$A$546,$B88,'Raw IC'!$B$5:$B$546,1))</x:f>
        <x:v>-0.21158674161340604</x:v>
      </x:c>
      <x:c r="F88" s="30" t="n">
        <x:f>IF(COUNTIFS('Raw IC'!$A$5:$A$546,$B88,'Raw IC'!$B$5:$B$546,5)=0,"",SUMIFS('Raw IC'!$F$5:$F$546,'Raw IC'!$A$5:$A$546,$B88,'Raw IC'!$B$5:$B$546,5))</x:f>
        <x:v>-0.036798000064215984</x:v>
      </x:c>
      <x:c r="G88" s="30" t="n">
        <x:f>IF(COUNTIFS('Raw IC'!$A$5:$A$546,$B88,'Raw IC'!$B$5:$B$546,5)=0,"",SUMIFS('Raw IC'!$H$5:$H$546,'Raw IC'!$A$5:$A$546,$B88,'Raw IC'!$B$5:$B$546,5))</x:f>
        <x:v>-0.26705355808940795</x:v>
      </x:c>
      <x:c r="H88" s="30" t="n">
        <x:f>IF(COUNTIFS('Raw IC'!$A$5:$A$546,$B88,'Raw IC'!$B$5:$B$546,10)=0,"",SUMIFS('Raw IC'!$F$5:$F$546,'Raw IC'!$A$5:$A$546,$B88,'Raw IC'!$B$5:$B$546,10))</x:f>
        <x:v>-0.03805880603715265</x:v>
      </x:c>
      <x:c r="I88" s="30" t="n">
        <x:f>IF(COUNTIFS('Raw IC'!$A$5:$A$546,$B88,'Raw IC'!$B$5:$B$546,10)=0,"",SUMIFS('Raw IC'!$H$5:$H$546,'Raw IC'!$A$5:$A$546,$B88,'Raw IC'!$B$5:$B$546,10))</x:f>
        <x:v>-0.2868276565967154</x:v>
      </x:c>
      <x:c r="J88" s="30" t="n">
        <x:f>IF(COUNTIFS('Raw IC'!$A$5:$A$546,$B88,'Raw IC'!$B$5:$B$546,20)=0,"",SUMIFS('Raw IC'!$F$5:$F$546,'Raw IC'!$A$5:$A$546,$B88,'Raw IC'!$B$5:$B$546,20))</x:f>
        <x:v>-0.04388569754062773</x:v>
      </x:c>
      <x:c r="K88" s="30" t="n">
        <x:f>IF(COUNTIFS('Raw IC'!$A$5:$A$546,$B88,'Raw IC'!$B$5:$B$546,20)=0,"",SUMIFS('Raw IC'!$H$5:$H$546,'Raw IC'!$A$5:$A$546,$B88,'Raw IC'!$B$5:$B$546,20))</x:f>
        <x:v>-0.3413426487423622</x:v>
      </x:c>
      <x:c r="L88" s="30" t="n">
        <x:f>IF(COUNT(I88,K88)&lt;2,"",AVERAGE(ABS(I88),ABS(K88)))</x:f>
        <x:v>0.3140851526695388</x:v>
      </x:c>
      <x:c r="M88" t="str">
        <x:f>IF(COUNT(H88,J88)&lt;2,"",IF(H88*J88&gt;=0,IF(H88&gt;=0,"positive","negative"),"mixed"))</x:f>
        <x:v>negative</x:v>
      </x:c>
      <x:c r="N88" s="74" t="n">
        <x:v>46210.23892871528</x:v>
      </x:c>
      <x:c r="O88" s="19" t="n">
        <x:v>8902245</x:v>
      </x:c>
      <x:c r="P88" t="str">
        <x:v>40355b29bce094aef0e99358bdfd4011b92e72a54440a67760de4afae4883c33</x:v>
      </x:c>
      <x:c r="Q88" t="str">
        <x:v>factor_report/gtja191_batch/gtja_031</x:v>
      </x:c>
    </x:row>
    <x:row r="89">
      <x:c r="A89" s="50" t="n">
        <x:f>IF($C89="ranked",1+COUNTIFS($C$5:$C$190,"ranked",$L$5:$L$190,"&gt;"&amp;$L89),"")</x:f>
        <x:v>85</x:v>
      </x:c>
      <x:c r="B89" t="str">
        <x:v>gtja_034</x:v>
      </x:c>
      <x:c r="C89" t="str">
        <x:v>ranked</x:v>
      </x:c>
      <x:c r="D89" s="30" t="str">
        <x:f>IF(COUNTIFS('Raw IC'!$A$5:$A$546,$B89,'Raw IC'!$B$5:$B$546,1)=0,"",SUMIFS('Raw IC'!$F$5:$F$546,'Raw IC'!$A$5:$A$546,$B89,'Raw IC'!$B$5:$B$546,1))</x:f>
      </x:c>
      <x:c r="E89" s="30" t="str">
        <x:f>IF(COUNTIFS('Raw IC'!$A$5:$A$546,$B89,'Raw IC'!$B$5:$B$546,1)=0,"",SUMIFS('Raw IC'!$H$5:$H$546,'Raw IC'!$A$5:$A$546,$B89,'Raw IC'!$B$5:$B$546,1))</x:f>
      </x:c>
      <x:c r="F89" s="30" t="str">
        <x:f>IF(COUNTIFS('Raw IC'!$A$5:$A$546,$B89,'Raw IC'!$B$5:$B$546,5)=0,"",SUMIFS('Raw IC'!$F$5:$F$546,'Raw IC'!$A$5:$A$546,$B89,'Raw IC'!$B$5:$B$546,5))</x:f>
      </x:c>
      <x:c r="G89" s="30" t="str">
        <x:f>IF(COUNTIFS('Raw IC'!$A$5:$A$546,$B89,'Raw IC'!$B$5:$B$546,5)=0,"",SUMIFS('Raw IC'!$H$5:$H$546,'Raw IC'!$A$5:$A$546,$B89,'Raw IC'!$B$5:$B$546,5))</x:f>
      </x:c>
      <x:c r="H89" s="30" t="n">
        <x:f>IF(COUNTIFS('Raw IC'!$A$5:$A$546,$B89,'Raw IC'!$B$5:$B$546,10)=0,"",SUMIFS('Raw IC'!$F$5:$F$546,'Raw IC'!$A$5:$A$546,$B89,'Raw IC'!$B$5:$B$546,10))</x:f>
        <x:v>0.03805878762791508</x:v>
      </x:c>
      <x:c r="I89" s="30" t="n">
        <x:f>IF(COUNTIFS('Raw IC'!$A$5:$A$546,$B89,'Raw IC'!$B$5:$B$546,10)=0,"",SUMIFS('Raw IC'!$H$5:$H$546,'Raw IC'!$A$5:$A$546,$B89,'Raw IC'!$B$5:$B$546,10))</x:f>
        <x:v>0.2868275636964535</x:v>
      </x:c>
      <x:c r="J89" s="30" t="n">
        <x:f>IF(COUNTIFS('Raw IC'!$A$5:$A$546,$B89,'Raw IC'!$B$5:$B$546,20)=0,"",SUMIFS('Raw IC'!$F$5:$F$546,'Raw IC'!$A$5:$A$546,$B89,'Raw IC'!$B$5:$B$546,20))</x:f>
        <x:v>0.04388568023091014</x:v>
      </x:c>
      <x:c r="K89" s="30" t="n">
        <x:f>IF(COUNTIFS('Raw IC'!$A$5:$A$546,$B89,'Raw IC'!$B$5:$B$546,20)=0,"",SUMIFS('Raw IC'!$H$5:$H$546,'Raw IC'!$A$5:$A$546,$B89,'Raw IC'!$B$5:$B$546,20))</x:f>
        <x:v>0.3413425785004118</x:v>
      </x:c>
      <x:c r="L89" s="30" t="n">
        <x:f>IF(COUNT(I89,K89)&lt;2,"",AVERAGE(ABS(I89),ABS(K89)))</x:f>
        <x:v>0.31408507109843264</x:v>
      </x:c>
      <x:c r="M89" t="str">
        <x:f>IF(COUNT(H89,J89)&lt;2,"",IF(H89*J89&gt;=0,IF(H89&gt;=0,"positive","negative"),"mixed"))</x:f>
        <x:v>positive</x:v>
      </x:c>
      <x:c r="N89" s="74" t="n">
        <x:v>46211.230695833336</x:v>
      </x:c>
      <x:c r="O89" s="19" t="n">
        <x:v>8902245</x:v>
      </x:c>
      <x:c r="P89" t="str">
        <x:v>8f7e606554926462248cbcc654181861438ca768a0063f6b317223ede37d16fb</x:v>
      </x:c>
      <x:c r="Q89" t="str">
        <x:v>factor_report/gtja191_batch/gtja_034</x:v>
      </x:c>
    </x:row>
    <x:row r="90">
      <x:c r="A90" s="50" t="n">
        <x:f>IF($C90="ranked",1+COUNTIFS($C$5:$C$190,"ranked",$L$5:$L$190,"&gt;"&amp;$L90),"")</x:f>
        <x:v>86</x:v>
      </x:c>
      <x:c r="B90" t="str">
        <x:v>gtja_051</x:v>
      </x:c>
      <x:c r="C90" t="str">
        <x:v>ranked</x:v>
      </x:c>
      <x:c r="D90" s="30" t="n">
        <x:f>IF(COUNTIFS('Raw IC'!$A$5:$A$546,$B90,'Raw IC'!$B$5:$B$546,1)=0,"",SUMIFS('Raw IC'!$F$5:$F$546,'Raw IC'!$A$5:$A$546,$B90,'Raw IC'!$B$5:$B$546,1))</x:f>
        <x:v>-0.028037087515120757</x:v>
      </x:c>
      <x:c r="E90" s="30" t="n">
        <x:f>IF(COUNTIFS('Raw IC'!$A$5:$A$546,$B90,'Raw IC'!$B$5:$B$546,1)=0,"",SUMIFS('Raw IC'!$H$5:$H$546,'Raw IC'!$A$5:$A$546,$B90,'Raw IC'!$B$5:$B$546,1))</x:f>
        <x:v>-0.21303902826382043</x:v>
      </x:c>
      <x:c r="F90" s="30" t="n">
        <x:f>IF(COUNTIFS('Raw IC'!$A$5:$A$546,$B90,'Raw IC'!$B$5:$B$546,5)=0,"",SUMIFS('Raw IC'!$F$5:$F$546,'Raw IC'!$A$5:$A$546,$B90,'Raw IC'!$B$5:$B$546,5))</x:f>
        <x:v>-0.03304907547879243</x:v>
      </x:c>
      <x:c r="G90" s="30" t="n">
        <x:f>IF(COUNTIFS('Raw IC'!$A$5:$A$546,$B90,'Raw IC'!$B$5:$B$546,5)=0,"",SUMIFS('Raw IC'!$H$5:$H$546,'Raw IC'!$A$5:$A$546,$B90,'Raw IC'!$B$5:$B$546,5))</x:f>
        <x:v>-0.2670206969853938</x:v>
      </x:c>
      <x:c r="H90" s="30" t="n">
        <x:f>IF(COUNTIFS('Raw IC'!$A$5:$A$546,$B90,'Raw IC'!$B$5:$B$546,10)=0,"",SUMIFS('Raw IC'!$F$5:$F$546,'Raw IC'!$A$5:$A$546,$B90,'Raw IC'!$B$5:$B$546,10))</x:f>
        <x:v>-0.03477125480346933</x:v>
      </x:c>
      <x:c r="I90" s="30" t="n">
        <x:f>IF(COUNTIFS('Raw IC'!$A$5:$A$546,$B90,'Raw IC'!$B$5:$B$546,10)=0,"",SUMIFS('Raw IC'!$H$5:$H$546,'Raw IC'!$A$5:$A$546,$B90,'Raw IC'!$B$5:$B$546,10))</x:f>
        <x:v>-0.2902035441105689</x:v>
      </x:c>
      <x:c r="J90" s="30" t="n">
        <x:f>IF(COUNTIFS('Raw IC'!$A$5:$A$546,$B90,'Raw IC'!$B$5:$B$546,20)=0,"",SUMIFS('Raw IC'!$F$5:$F$546,'Raw IC'!$A$5:$A$546,$B90,'Raw IC'!$B$5:$B$546,20))</x:f>
        <x:v>-0.040487045047700426</x:v>
      </x:c>
      <x:c r="K90" s="30" t="n">
        <x:f>IF(COUNTIFS('Raw IC'!$A$5:$A$546,$B90,'Raw IC'!$B$5:$B$546,20)=0,"",SUMIFS('Raw IC'!$H$5:$H$546,'Raw IC'!$A$5:$A$546,$B90,'Raw IC'!$B$5:$B$546,20))</x:f>
        <x:v>-0.3354156862478883</x:v>
      </x:c>
      <x:c r="L90" s="30" t="n">
        <x:f>IF(COUNT(I90,K90)&lt;2,"",AVERAGE(ABS(I90),ABS(K90)))</x:f>
        <x:v>0.3128096151792286</x:v>
      </x:c>
      <x:c r="M90" t="str">
        <x:f>IF(COUNT(H90,J90)&lt;2,"",IF(H90*J90&gt;=0,IF(H90&gt;=0,"positive","negative"),"mixed"))</x:f>
        <x:v>negative</x:v>
      </x:c>
      <x:c r="N90" s="74" t="n">
        <x:v>46210.33137918982</x:v>
      </x:c>
      <x:c r="O90" s="19" t="n">
        <x:v>8902245</x:v>
      </x:c>
      <x:c r="P90" t="str">
        <x:v>40355b29bce094aef0e99358bdfd4011b92e72a54440a67760de4afae4883c33</x:v>
      </x:c>
      <x:c r="Q90" t="str">
        <x:v>factor_report/gtja191_batch/gtja_051</x:v>
      </x:c>
    </x:row>
    <x:row r="91">
      <x:c r="A91" s="50" t="n">
        <x:f>IF($C91="ranked",1+COUNTIFS($C$5:$C$190,"ranked",$L$5:$L$190,"&gt;"&amp;$L91),"")</x:f>
        <x:v>87</x:v>
      </x:c>
      <x:c r="B91" t="str">
        <x:v>gtja_049</x:v>
      </x:c>
      <x:c r="C91" t="str">
        <x:v>ranked</x:v>
      </x:c>
      <x:c r="D91" s="30" t="str">
        <x:f>IF(COUNTIFS('Raw IC'!$A$5:$A$546,$B91,'Raw IC'!$B$5:$B$546,1)=0,"",SUMIFS('Raw IC'!$F$5:$F$546,'Raw IC'!$A$5:$A$546,$B91,'Raw IC'!$B$5:$B$546,1))</x:f>
      </x:c>
      <x:c r="E91" s="30" t="str">
        <x:f>IF(COUNTIFS('Raw IC'!$A$5:$A$546,$B91,'Raw IC'!$B$5:$B$546,1)=0,"",SUMIFS('Raw IC'!$H$5:$H$546,'Raw IC'!$A$5:$A$546,$B91,'Raw IC'!$B$5:$B$546,1))</x:f>
      </x:c>
      <x:c r="F91" s="30" t="str">
        <x:f>IF(COUNTIFS('Raw IC'!$A$5:$A$546,$B91,'Raw IC'!$B$5:$B$546,5)=0,"",SUMIFS('Raw IC'!$F$5:$F$546,'Raw IC'!$A$5:$A$546,$B91,'Raw IC'!$B$5:$B$546,5))</x:f>
      </x:c>
      <x:c r="G91" s="30" t="str">
        <x:f>IF(COUNTIFS('Raw IC'!$A$5:$A$546,$B91,'Raw IC'!$B$5:$B$546,5)=0,"",SUMIFS('Raw IC'!$H$5:$H$546,'Raw IC'!$A$5:$A$546,$B91,'Raw IC'!$B$5:$B$546,5))</x:f>
      </x:c>
      <x:c r="H91" s="30" t="n">
        <x:f>IF(COUNTIFS('Raw IC'!$A$5:$A$546,$B91,'Raw IC'!$B$5:$B$546,10)=0,"",SUMIFS('Raw IC'!$F$5:$F$546,'Raw IC'!$A$5:$A$546,$B91,'Raw IC'!$B$5:$B$546,10))</x:f>
        <x:v>0.03477123378486243</x:v>
      </x:c>
      <x:c r="I91" s="30" t="n">
        <x:f>IF(COUNTIFS('Raw IC'!$A$5:$A$546,$B91,'Raw IC'!$B$5:$B$546,10)=0,"",SUMIFS('Raw IC'!$H$5:$H$546,'Raw IC'!$A$5:$A$546,$B91,'Raw IC'!$B$5:$B$546,10))</x:f>
        <x:v>0.29020334223905014</x:v>
      </x:c>
      <x:c r="J91" s="30" t="n">
        <x:f>IF(COUNTIFS('Raw IC'!$A$5:$A$546,$B91,'Raw IC'!$B$5:$B$546,20)=0,"",SUMIFS('Raw IC'!$F$5:$F$546,'Raw IC'!$A$5:$A$546,$B91,'Raw IC'!$B$5:$B$546,20))</x:f>
        <x:v>0.04048704282719138</x:v>
      </x:c>
      <x:c r="K91" s="30" t="n">
        <x:f>IF(COUNTIFS('Raw IC'!$A$5:$A$546,$B91,'Raw IC'!$B$5:$B$546,20)=0,"",SUMIFS('Raw IC'!$H$5:$H$546,'Raw IC'!$A$5:$A$546,$B91,'Raw IC'!$B$5:$B$546,20))</x:f>
        <x:v>0.3354155902365362</x:v>
      </x:c>
      <x:c r="L91" s="30" t="n">
        <x:f>IF(COUNT(I91,K91)&lt;2,"",AVERAGE(ABS(I91),ABS(K91)))</x:f>
        <x:v>0.31280946623779315</x:v>
      </x:c>
      <x:c r="M91" t="str">
        <x:f>IF(COUNT(H91,J91)&lt;2,"",IF(H91*J91&gt;=0,IF(H91&gt;=0,"positive","negative"),"mixed"))</x:f>
        <x:v>positive</x:v>
      </x:c>
      <x:c r="N91" s="74" t="n">
        <x:v>46211.27667114583</x:v>
      </x:c>
      <x:c r="O91" s="19" t="n">
        <x:v>8902245</x:v>
      </x:c>
      <x:c r="P91" t="str">
        <x:v>8f7e606554926462248cbcc654181861438ca768a0063f6b317223ede37d16fb</x:v>
      </x:c>
      <x:c r="Q91" t="str">
        <x:v>factor_report/gtja191_batch/gtja_049</x:v>
      </x:c>
    </x:row>
    <x:row r="92">
      <x:c r="A92" s="50" t="n">
        <x:f>IF($C92="ranked",1+COUNTIFS($C$5:$C$190,"ranked",$L$5:$L$190,"&gt;"&amp;$L92),"")</x:f>
        <x:v>88</x:v>
      </x:c>
      <x:c r="B92" t="str">
        <x:v>gtja_050</x:v>
      </x:c>
      <x:c r="C92" t="str">
        <x:v>ranked</x:v>
      </x:c>
      <x:c r="D92" s="30" t="n">
        <x:f>IF(COUNTIFS('Raw IC'!$A$5:$A$546,$B92,'Raw IC'!$B$5:$B$546,1)=0,"",SUMIFS('Raw IC'!$F$5:$F$546,'Raw IC'!$A$5:$A$546,$B92,'Raw IC'!$B$5:$B$546,1))</x:f>
        <x:v>-0.02803707925402884</x:v>
      </x:c>
      <x:c r="E92" s="30" t="n">
        <x:f>IF(COUNTIFS('Raw IC'!$A$5:$A$546,$B92,'Raw IC'!$B$5:$B$546,1)=0,"",SUMIFS('Raw IC'!$H$5:$H$546,'Raw IC'!$A$5:$A$546,$B92,'Raw IC'!$B$5:$B$546,1))</x:f>
        <x:v>-0.2130389834586076</x:v>
      </x:c>
      <x:c r="F92" s="30" t="n">
        <x:f>IF(COUNTIFS('Raw IC'!$A$5:$A$546,$B92,'Raw IC'!$B$5:$B$546,5)=0,"",SUMIFS('Raw IC'!$F$5:$F$546,'Raw IC'!$A$5:$A$546,$B92,'Raw IC'!$B$5:$B$546,5))</x:f>
        <x:v>-0.0330490573207341</x:v>
      </x:c>
      <x:c r="G92" s="30" t="n">
        <x:f>IF(COUNTIFS('Raw IC'!$A$5:$A$546,$B92,'Raw IC'!$B$5:$B$546,5)=0,"",SUMIFS('Raw IC'!$H$5:$H$546,'Raw IC'!$A$5:$A$546,$B92,'Raw IC'!$B$5:$B$546,5))</x:f>
        <x:v>-0.2670205781342482</x:v>
      </x:c>
      <x:c r="H92" s="30" t="n">
        <x:f>IF(COUNTIFS('Raw IC'!$A$5:$A$546,$B92,'Raw IC'!$B$5:$B$546,10)=0,"",SUMIFS('Raw IC'!$F$5:$F$546,'Raw IC'!$A$5:$A$546,$B92,'Raw IC'!$B$5:$B$546,10))</x:f>
        <x:v>-0.03477122181071436</x:v>
      </x:c>
      <x:c r="I92" s="30" t="n">
        <x:f>IF(COUNTIFS('Raw IC'!$A$5:$A$546,$B92,'Raw IC'!$B$5:$B$546,10)=0,"",SUMIFS('Raw IC'!$H$5:$H$546,'Raw IC'!$A$5:$A$546,$B92,'Raw IC'!$B$5:$B$546,10))</x:f>
        <x:v>-0.2902033577617176</x:v>
      </x:c>
      <x:c r="J92" s="30" t="n">
        <x:f>IF(COUNTIFS('Raw IC'!$A$5:$A$546,$B92,'Raw IC'!$B$5:$B$546,20)=0,"",SUMIFS('Raw IC'!$F$5:$F$546,'Raw IC'!$A$5:$A$546,$B92,'Raw IC'!$B$5:$B$546,20))</x:f>
        <x:v>-0.04048703310051595</x:v>
      </x:c>
      <x:c r="K92" s="30" t="n">
        <x:f>IF(COUNTIFS('Raw IC'!$A$5:$A$546,$B92,'Raw IC'!$B$5:$B$546,20)=0,"",SUMIFS('Raw IC'!$H$5:$H$546,'Raw IC'!$A$5:$A$546,$B92,'Raw IC'!$B$5:$B$546,20))</x:f>
        <x:v>-0.33541555658047856</x:v>
      </x:c>
      <x:c r="L92" s="30" t="n">
        <x:f>IF(COUNT(I92,K92)&lt;2,"",AVERAGE(ABS(I92),ABS(K92)))</x:f>
        <x:v>0.3128094571710981</x:v>
      </x:c>
      <x:c r="M92" t="str">
        <x:f>IF(COUNT(H92,J92)&lt;2,"",IF(H92*J92&gt;=0,IF(H92&gt;=0,"positive","negative"),"mixed"))</x:f>
        <x:v>negative</x:v>
      </x:c>
      <x:c r="N92" s="74" t="n">
        <x:v>46210.32673208333</x:v>
      </x:c>
      <x:c r="O92" s="19" t="n">
        <x:v>8902245</x:v>
      </x:c>
      <x:c r="P92" t="str">
        <x:v>40355b29bce094aef0e99358bdfd4011b92e72a54440a67760de4afae4883c33</x:v>
      </x:c>
      <x:c r="Q92" t="str">
        <x:v>factor_report/gtja191_batch/gtja_050</x:v>
      </x:c>
    </x:row>
    <x:row r="93">
      <x:c r="A93" s="50" t="n">
        <x:f>IF($C93="ranked",1+COUNTIFS($C$5:$C$190,"ranked",$L$5:$L$190,"&gt;"&amp;$L93),"")</x:f>
        <x:v>89</x:v>
      </x:c>
      <x:c r="B93" t="str">
        <x:v>gtja_021</x:v>
      </x:c>
      <x:c r="C93" t="str">
        <x:v>ranked</x:v>
      </x:c>
      <x:c r="D93" s="30" t="n">
        <x:f>IF(COUNTIFS('Raw IC'!$A$5:$A$546,$B93,'Raw IC'!$B$5:$B$546,1)=0,"",SUMIFS('Raw IC'!$F$5:$F$546,'Raw IC'!$A$5:$A$546,$B93,'Raw IC'!$B$5:$B$546,1))</x:f>
        <x:v>-0.023086049652659483</x:v>
      </x:c>
      <x:c r="E93" s="30" t="n">
        <x:f>IF(COUNTIFS('Raw IC'!$A$5:$A$546,$B93,'Raw IC'!$B$5:$B$546,1)=0,"",SUMIFS('Raw IC'!$H$5:$H$546,'Raw IC'!$A$5:$A$546,$B93,'Raw IC'!$B$5:$B$546,1))</x:f>
        <x:v>-0.16832131854855487</x:v>
      </x:c>
      <x:c r="F93" s="30" t="n">
        <x:f>IF(COUNTIFS('Raw IC'!$A$5:$A$546,$B93,'Raw IC'!$B$5:$B$546,5)=0,"",SUMIFS('Raw IC'!$F$5:$F$546,'Raw IC'!$A$5:$A$546,$B93,'Raw IC'!$B$5:$B$546,5))</x:f>
        <x:v>-0.030601805557213892</x:v>
      </x:c>
      <x:c r="G93" s="30" t="n">
        <x:f>IF(COUNTIFS('Raw IC'!$A$5:$A$546,$B93,'Raw IC'!$B$5:$B$546,5)=0,"",SUMIFS('Raw IC'!$H$5:$H$546,'Raw IC'!$A$5:$A$546,$B93,'Raw IC'!$B$5:$B$546,5))</x:f>
        <x:v>-0.23569786924032712</x:v>
      </x:c>
      <x:c r="H93" s="30" t="n">
        <x:f>IF(COUNTIFS('Raw IC'!$A$5:$A$546,$B93,'Raw IC'!$B$5:$B$546,10)=0,"",SUMIFS('Raw IC'!$F$5:$F$546,'Raw IC'!$A$5:$A$546,$B93,'Raw IC'!$B$5:$B$546,10))</x:f>
        <x:v>-0.03594981210637164</x:v>
      </x:c>
      <x:c r="I93" s="30" t="n">
        <x:f>IF(COUNTIFS('Raw IC'!$A$5:$A$546,$B93,'Raw IC'!$B$5:$B$546,10)=0,"",SUMIFS('Raw IC'!$H$5:$H$546,'Raw IC'!$A$5:$A$546,$B93,'Raw IC'!$B$5:$B$546,10))</x:f>
        <x:v>-0.2923976040790309</x:v>
      </x:c>
      <x:c r="J93" s="30" t="n">
        <x:f>IF(COUNTIFS('Raw IC'!$A$5:$A$546,$B93,'Raw IC'!$B$5:$B$546,20)=0,"",SUMIFS('Raw IC'!$F$5:$F$546,'Raw IC'!$A$5:$A$546,$B93,'Raw IC'!$B$5:$B$546,20))</x:f>
        <x:v>-0.04078459231172008</x:v>
      </x:c>
      <x:c r="K93" s="30" t="n">
        <x:f>IF(COUNTIFS('Raw IC'!$A$5:$A$546,$B93,'Raw IC'!$B$5:$B$546,20)=0,"",SUMIFS('Raw IC'!$H$5:$H$546,'Raw IC'!$A$5:$A$546,$B93,'Raw IC'!$B$5:$B$546,20))</x:f>
        <x:v>-0.33212228266078125</x:v>
      </x:c>
      <x:c r="L93" s="30" t="n">
        <x:f>IF(COUNT(I93,K93)&lt;2,"",AVERAGE(ABS(I93),ABS(K93)))</x:f>
        <x:v>0.3122599433699061</x:v>
      </x:c>
      <x:c r="M93" t="str">
        <x:f>IF(COUNT(H93,J93)&lt;2,"",IF(H93*J93&gt;=0,IF(H93&gt;=0,"positive","negative"),"mixed"))</x:f>
        <x:v>negative</x:v>
      </x:c>
      <x:c r="N93" s="74" t="n">
        <x:v>46210.1997081713</x:v>
      </x:c>
      <x:c r="O93" s="19" t="n">
        <x:v>8902245</x:v>
      </x:c>
      <x:c r="P93" t="str">
        <x:v>40355b29bce094aef0e99358bdfd4011b92e72a54440a67760de4afae4883c33</x:v>
      </x:c>
      <x:c r="Q93" t="str">
        <x:v>factor_report/gtja191_batch/gtja_021</x:v>
      </x:c>
    </x:row>
    <x:row r="94">
      <x:c r="A94" s="50" t="n">
        <x:f>IF($C94="ranked",1+COUNTIFS($C$5:$C$190,"ranked",$L$5:$L$190,"&gt;"&amp;$L94),"")</x:f>
        <x:v>90</x:v>
      </x:c>
      <x:c r="B94" t="str">
        <x:v>gtja_078</x:v>
      </x:c>
      <x:c r="C94" t="str">
        <x:v>ranked</x:v>
      </x:c>
      <x:c r="D94" s="30" t="n">
        <x:f>IF(COUNTIFS('Raw IC'!$A$5:$A$546,$B94,'Raw IC'!$B$5:$B$546,1)=0,"",SUMIFS('Raw IC'!$F$5:$F$546,'Raw IC'!$A$5:$A$546,$B94,'Raw IC'!$B$5:$B$546,1))</x:f>
        <x:v>-0.028550669992315335</x:v>
      </x:c>
      <x:c r="E94" s="30" t="n">
        <x:f>IF(COUNTIFS('Raw IC'!$A$5:$A$546,$B94,'Raw IC'!$B$5:$B$546,1)=0,"",SUMIFS('Raw IC'!$H$5:$H$546,'Raw IC'!$A$5:$A$546,$B94,'Raw IC'!$B$5:$B$546,1))</x:f>
        <x:v>-0.2102998055251566</x:v>
      </x:c>
      <x:c r="F94" s="30" t="n">
        <x:f>IF(COUNTIFS('Raw IC'!$A$5:$A$546,$B94,'Raw IC'!$B$5:$B$546,5)=0,"",SUMIFS('Raw IC'!$F$5:$F$546,'Raw IC'!$A$5:$A$546,$B94,'Raw IC'!$B$5:$B$546,5))</x:f>
        <x:v>-0.03206752056763256</x:v>
      </x:c>
      <x:c r="G94" s="30" t="n">
        <x:f>IF(COUNTIFS('Raw IC'!$A$5:$A$546,$B94,'Raw IC'!$B$5:$B$546,5)=0,"",SUMIFS('Raw IC'!$H$5:$H$546,'Raw IC'!$A$5:$A$546,$B94,'Raw IC'!$B$5:$B$546,5))</x:f>
        <x:v>-0.2572965750673715</x:v>
      </x:c>
      <x:c r="H94" s="30" t="n">
        <x:f>IF(COUNTIFS('Raw IC'!$A$5:$A$546,$B94,'Raw IC'!$B$5:$B$546,10)=0,"",SUMIFS('Raw IC'!$F$5:$F$546,'Raw IC'!$A$5:$A$546,$B94,'Raw IC'!$B$5:$B$546,10))</x:f>
        <x:v>-0.033764471884845174</x:v>
      </x:c>
      <x:c r="I94" s="30" t="n">
        <x:f>IF(COUNTIFS('Raw IC'!$A$5:$A$546,$B94,'Raw IC'!$B$5:$B$546,10)=0,"",SUMIFS('Raw IC'!$H$5:$H$546,'Raw IC'!$A$5:$A$546,$B94,'Raw IC'!$B$5:$B$546,10))</x:f>
        <x:v>-0.2861934974963696</x:v>
      </x:c>
      <x:c r="J94" s="30" t="n">
        <x:f>IF(COUNTIFS('Raw IC'!$A$5:$A$546,$B94,'Raw IC'!$B$5:$B$546,20)=0,"",SUMIFS('Raw IC'!$F$5:$F$546,'Raw IC'!$A$5:$A$546,$B94,'Raw IC'!$B$5:$B$546,20))</x:f>
        <x:v>-0.03871594371270681</x:v>
      </x:c>
      <x:c r="K94" s="30" t="n">
        <x:f>IF(COUNTIFS('Raw IC'!$A$5:$A$546,$B94,'Raw IC'!$B$5:$B$546,20)=0,"",SUMIFS('Raw IC'!$H$5:$H$546,'Raw IC'!$A$5:$A$546,$B94,'Raw IC'!$B$5:$B$546,20))</x:f>
        <x:v>-0.33277781813912927</x:v>
      </x:c>
      <x:c r="L94" s="30" t="n">
        <x:f>IF(COUNT(I94,K94)&lt;2,"",AVERAGE(ABS(I94),ABS(K94)))</x:f>
        <x:v>0.3094856578177494</x:v>
      </x:c>
      <x:c r="M94" t="str">
        <x:f>IF(COUNT(H94,J94)&lt;2,"",IF(H94*J94&gt;=0,IF(H94&gt;=0,"positive","negative"),"mixed"))</x:f>
        <x:v>negative</x:v>
      </x:c>
      <x:c r="N94" s="74" t="n">
        <x:v>46210.46714320602</x:v>
      </x:c>
      <x:c r="O94" s="19" t="n">
        <x:v>8902245</x:v>
      </x:c>
      <x:c r="P94" t="str">
        <x:v>40355b29bce094aef0e99358bdfd4011b92e72a54440a67760de4afae4883c33</x:v>
      </x:c>
      <x:c r="Q94" t="str">
        <x:v>factor_report/gtja191_batch/gtja_078</x:v>
      </x:c>
    </x:row>
    <x:row r="95">
      <x:c r="A95" s="50" t="n">
        <x:f>IF($C95="ranked",1+COUNTIFS($C$5:$C$190,"ranked",$L$5:$L$190,"&gt;"&amp;$L95),"")</x:f>
        <x:v>91</x:v>
      </x:c>
      <x:c r="B95" t="str">
        <x:v>gtja_029</x:v>
      </x:c>
      <x:c r="C95" t="str">
        <x:v>ranked</x:v>
      </x:c>
      <x:c r="D95" s="30" t="n">
        <x:f>IF(COUNTIFS('Raw IC'!$A$5:$A$546,$B95,'Raw IC'!$B$5:$B$546,1)=0,"",SUMIFS('Raw IC'!$F$5:$F$546,'Raw IC'!$A$5:$A$546,$B95,'Raw IC'!$B$5:$B$546,1))</x:f>
        <x:v>-0.027130118862266767</x:v>
      </x:c>
      <x:c r="E95" s="30" t="n">
        <x:f>IF(COUNTIFS('Raw IC'!$A$5:$A$546,$B95,'Raw IC'!$B$5:$B$546,1)=0,"",SUMIFS('Raw IC'!$H$5:$H$546,'Raw IC'!$A$5:$A$546,$B95,'Raw IC'!$B$5:$B$546,1))</x:f>
        <x:v>-0.2182905954143649</x:v>
      </x:c>
      <x:c r="F95" s="30" t="n">
        <x:f>IF(COUNTIFS('Raw IC'!$A$5:$A$546,$B95,'Raw IC'!$B$5:$B$546,5)=0,"",SUMIFS('Raw IC'!$F$5:$F$546,'Raw IC'!$A$5:$A$546,$B95,'Raw IC'!$B$5:$B$546,5))</x:f>
        <x:v>-0.030787904669802236</x:v>
      </x:c>
      <x:c r="G95" s="30" t="n">
        <x:f>IF(COUNTIFS('Raw IC'!$A$5:$A$546,$B95,'Raw IC'!$B$5:$B$546,5)=0,"",SUMIFS('Raw IC'!$H$5:$H$546,'Raw IC'!$A$5:$A$546,$B95,'Raw IC'!$B$5:$B$546,5))</x:f>
        <x:v>-0.27094259634583634</x:v>
      </x:c>
      <x:c r="H95" s="30" t="n">
        <x:f>IF(COUNTIFS('Raw IC'!$A$5:$A$546,$B95,'Raw IC'!$B$5:$B$546,10)=0,"",SUMIFS('Raw IC'!$F$5:$F$546,'Raw IC'!$A$5:$A$546,$B95,'Raw IC'!$B$5:$B$546,10))</x:f>
        <x:v>-0.03161670993285054</x:v>
      </x:c>
      <x:c r="I95" s="30" t="n">
        <x:f>IF(COUNTIFS('Raw IC'!$A$5:$A$546,$B95,'Raw IC'!$B$5:$B$546,10)=0,"",SUMIFS('Raw IC'!$H$5:$H$546,'Raw IC'!$A$5:$A$546,$B95,'Raw IC'!$B$5:$B$546,10))</x:f>
        <x:v>-0.2987183838744708</x:v>
      </x:c>
      <x:c r="J95" s="30" t="n">
        <x:f>IF(COUNTIFS('Raw IC'!$A$5:$A$546,$B95,'Raw IC'!$B$5:$B$546,20)=0,"",SUMIFS('Raw IC'!$F$5:$F$546,'Raw IC'!$A$5:$A$546,$B95,'Raw IC'!$B$5:$B$546,20))</x:f>
        <x:v>-0.03346616278855135</x:v>
      </x:c>
      <x:c r="K95" s="30" t="n">
        <x:f>IF(COUNTIFS('Raw IC'!$A$5:$A$546,$B95,'Raw IC'!$B$5:$B$546,20)=0,"",SUMIFS('Raw IC'!$H$5:$H$546,'Raw IC'!$A$5:$A$546,$B95,'Raw IC'!$B$5:$B$546,20))</x:f>
        <x:v>-0.31728107237696374</x:v>
      </x:c>
      <x:c r="L95" s="30" t="n">
        <x:f>IF(COUNT(I95,K95)&lt;2,"",AVERAGE(ABS(I95),ABS(K95)))</x:f>
        <x:v>0.3079997281257173</x:v>
      </x:c>
      <x:c r="M95" t="str">
        <x:f>IF(COUNT(H95,J95)&lt;2,"",IF(H95*J95&gt;=0,IF(H95&gt;=0,"positive","negative"),"mixed"))</x:f>
        <x:v>negative</x:v>
      </x:c>
      <x:c r="N95" s="74" t="n">
        <x:v>46210.234402939815</x:v>
      </x:c>
      <x:c r="O95" s="19" t="n">
        <x:v>8902245</x:v>
      </x:c>
      <x:c r="P95" t="str">
        <x:v>40355b29bce094aef0e99358bdfd4011b92e72a54440a67760de4afae4883c33</x:v>
      </x:c>
      <x:c r="Q95" t="str">
        <x:v>factor_report/gtja191_batch/gtja_029</x:v>
      </x:c>
    </x:row>
    <x:row r="96">
      <x:c r="A96" s="50" t="n">
        <x:f>IF($C96="ranked",1+COUNTIFS($C$5:$C$190,"ranked",$L$5:$L$190,"&gt;"&amp;$L96),"")</x:f>
        <x:v>92</x:v>
      </x:c>
      <x:c r="B96" t="str">
        <x:v>gtja_058</x:v>
      </x:c>
      <x:c r="C96" t="str">
        <x:v>ranked</x:v>
      </x:c>
      <x:c r="D96" s="30" t="n">
        <x:f>IF(COUNTIFS('Raw IC'!$A$5:$A$546,$B96,'Raw IC'!$B$5:$B$546,1)=0,"",SUMIFS('Raw IC'!$F$5:$F$546,'Raw IC'!$A$5:$A$546,$B96,'Raw IC'!$B$5:$B$546,1))</x:f>
        <x:v>-0.016845757410535775</x:v>
      </x:c>
      <x:c r="E96" s="30" t="n">
        <x:f>IF(COUNTIFS('Raw IC'!$A$5:$A$546,$B96,'Raw IC'!$B$5:$B$546,1)=0,"",SUMIFS('Raw IC'!$H$5:$H$546,'Raw IC'!$A$5:$A$546,$B96,'Raw IC'!$B$5:$B$546,1))</x:f>
        <x:v>-0.153235366564947</x:v>
      </x:c>
      <x:c r="F96" s="30" t="n">
        <x:f>IF(COUNTIFS('Raw IC'!$A$5:$A$546,$B96,'Raw IC'!$B$5:$B$546,5)=0,"",SUMIFS('Raw IC'!$F$5:$F$546,'Raw IC'!$A$5:$A$546,$B96,'Raw IC'!$B$5:$B$546,5))</x:f>
        <x:v>-0.022578085737218086</x:v>
      </x:c>
      <x:c r="G96" s="30" t="n">
        <x:f>IF(COUNTIFS('Raw IC'!$A$5:$A$546,$B96,'Raw IC'!$B$5:$B$546,5)=0,"",SUMIFS('Raw IC'!$H$5:$H$546,'Raw IC'!$A$5:$A$546,$B96,'Raw IC'!$B$5:$B$546,5))</x:f>
        <x:v>-0.22092392514230502</x:v>
      </x:c>
      <x:c r="H96" s="30" t="n">
        <x:f>IF(COUNTIFS('Raw IC'!$A$5:$A$546,$B96,'Raw IC'!$B$5:$B$546,10)=0,"",SUMIFS('Raw IC'!$F$5:$F$546,'Raw IC'!$A$5:$A$546,$B96,'Raw IC'!$B$5:$B$546,10))</x:f>
        <x:v>-0.027364265891806076</x:v>
      </x:c>
      <x:c r="I96" s="30" t="n">
        <x:f>IF(COUNTIFS('Raw IC'!$A$5:$A$546,$B96,'Raw IC'!$B$5:$B$546,10)=0,"",SUMIFS('Raw IC'!$H$5:$H$546,'Raw IC'!$A$5:$A$546,$B96,'Raw IC'!$B$5:$B$546,10))</x:f>
        <x:v>-0.27273425132501783</x:v>
      </x:c>
      <x:c r="J96" s="30" t="n">
        <x:f>IF(COUNTIFS('Raw IC'!$A$5:$A$546,$B96,'Raw IC'!$B$5:$B$546,20)=0,"",SUMIFS('Raw IC'!$F$5:$F$546,'Raw IC'!$A$5:$A$546,$B96,'Raw IC'!$B$5:$B$546,20))</x:f>
        <x:v>-0.035209552716903916</x:v>
      </x:c>
      <x:c r="K96" s="30" t="n">
        <x:f>IF(COUNTIFS('Raw IC'!$A$5:$A$546,$B96,'Raw IC'!$B$5:$B$546,20)=0,"",SUMIFS('Raw IC'!$H$5:$H$546,'Raw IC'!$A$5:$A$546,$B96,'Raw IC'!$B$5:$B$546,20))</x:f>
        <x:v>-0.3413552034471949</x:v>
      </x:c>
      <x:c r="L96" s="30" t="n">
        <x:f>IF(COUNT(I96,K96)&lt;2,"",AVERAGE(ABS(I96),ABS(K96)))</x:f>
        <x:v>0.30704472738610633</x:v>
      </x:c>
      <x:c r="M96" t="str">
        <x:f>IF(COUNT(H96,J96)&lt;2,"",IF(H96*J96&gt;=0,IF(H96&gt;=0,"positive","negative"),"mixed"))</x:f>
        <x:v>negative</x:v>
      </x:c>
      <x:c r="N96" s="74" t="n">
        <x:v>46210.36385592593</x:v>
      </x:c>
      <x:c r="O96" s="19" t="n">
        <x:v>8902245</x:v>
      </x:c>
      <x:c r="P96" t="str">
        <x:v>40355b29bce094aef0e99358bdfd4011b92e72a54440a67760de4afae4883c33</x:v>
      </x:c>
      <x:c r="Q96" t="str">
        <x:v>factor_report/gtja191_batch/gtja_058</x:v>
      </x:c>
    </x:row>
    <x:row r="97">
      <x:c r="A97" s="50" t="n">
        <x:f>IF($C97="ranked",1+COUNTIFS($C$5:$C$190,"ranked",$L$5:$L$190,"&gt;"&amp;$L97),"")</x:f>
        <x:v>93</x:v>
      </x:c>
      <x:c r="B97" t="str">
        <x:v>gtja_038</x:v>
      </x:c>
      <x:c r="C97" t="str">
        <x:v>ranked</x:v>
      </x:c>
      <x:c r="D97" s="30" t="str">
        <x:f>IF(COUNTIFS('Raw IC'!$A$5:$A$546,$B97,'Raw IC'!$B$5:$B$546,1)=0,"",SUMIFS('Raw IC'!$F$5:$F$546,'Raw IC'!$A$5:$A$546,$B97,'Raw IC'!$B$5:$B$546,1))</x:f>
      </x:c>
      <x:c r="E97" s="30" t="str">
        <x:f>IF(COUNTIFS('Raw IC'!$A$5:$A$546,$B97,'Raw IC'!$B$5:$B$546,1)=0,"",SUMIFS('Raw IC'!$H$5:$H$546,'Raw IC'!$A$5:$A$546,$B97,'Raw IC'!$B$5:$B$546,1))</x:f>
      </x:c>
      <x:c r="F97" s="30" t="str">
        <x:f>IF(COUNTIFS('Raw IC'!$A$5:$A$546,$B97,'Raw IC'!$B$5:$B$546,5)=0,"",SUMIFS('Raw IC'!$F$5:$F$546,'Raw IC'!$A$5:$A$546,$B97,'Raw IC'!$B$5:$B$546,5))</x:f>
      </x:c>
      <x:c r="G97" s="30" t="str">
        <x:f>IF(COUNTIFS('Raw IC'!$A$5:$A$546,$B97,'Raw IC'!$B$5:$B$546,5)=0,"",SUMIFS('Raw IC'!$H$5:$H$546,'Raw IC'!$A$5:$A$546,$B97,'Raw IC'!$B$5:$B$546,5))</x:f>
      </x:c>
      <x:c r="H97" s="30" t="n">
        <x:f>IF(COUNTIFS('Raw IC'!$A$5:$A$546,$B97,'Raw IC'!$B$5:$B$546,10)=0,"",SUMIFS('Raw IC'!$F$5:$F$546,'Raw IC'!$A$5:$A$546,$B97,'Raw IC'!$B$5:$B$546,10))</x:f>
        <x:v>0.022366618714618012</x:v>
      </x:c>
      <x:c r="I97" s="30" t="n">
        <x:f>IF(COUNTIFS('Raw IC'!$A$5:$A$546,$B97,'Raw IC'!$B$5:$B$546,10)=0,"",SUMIFS('Raw IC'!$H$5:$H$546,'Raw IC'!$A$5:$A$546,$B97,'Raw IC'!$B$5:$B$546,10))</x:f>
        <x:v>0.2863212825608736</x:v>
      </x:c>
      <x:c r="J97" s="30" t="n">
        <x:f>IF(COUNTIFS('Raw IC'!$A$5:$A$546,$B97,'Raw IC'!$B$5:$B$546,20)=0,"",SUMIFS('Raw IC'!$F$5:$F$546,'Raw IC'!$A$5:$A$546,$B97,'Raw IC'!$B$5:$B$546,20))</x:f>
        <x:v>0.024956186800785343</x:v>
      </x:c>
      <x:c r="K97" s="30" t="n">
        <x:f>IF(COUNTIFS('Raw IC'!$A$5:$A$546,$B97,'Raw IC'!$B$5:$B$546,20)=0,"",SUMIFS('Raw IC'!$H$5:$H$546,'Raw IC'!$A$5:$A$546,$B97,'Raw IC'!$B$5:$B$546,20))</x:f>
        <x:v>0.327326318295326</x:v>
      </x:c>
      <x:c r="L97" s="30" t="n">
        <x:f>IF(COUNT(I97,K97)&lt;2,"",AVERAGE(ABS(I97),ABS(K97)))</x:f>
        <x:v>0.30682380042809976</x:v>
      </x:c>
      <x:c r="M97" t="str">
        <x:f>IF(COUNT(H97,J97)&lt;2,"",IF(H97*J97&gt;=0,IF(H97&gt;=0,"positive","negative"),"mixed"))</x:f>
        <x:v>positive</x:v>
      </x:c>
      <x:c r="N97" s="74" t="n">
        <x:v>46211.24138539352</x:v>
      </x:c>
      <x:c r="O97" s="19" t="n">
        <x:v>8902245</x:v>
      </x:c>
      <x:c r="P97" t="str">
        <x:v>8f7e606554926462248cbcc654181861438ca768a0063f6b317223ede37d16fb</x:v>
      </x:c>
      <x:c r="Q97" t="str">
        <x:v>factor_report/gtja191_batch/gtja_038</x:v>
      </x:c>
    </x:row>
    <x:row r="98">
      <x:c r="A98" s="50" t="n">
        <x:f>IF($C98="ranked",1+COUNTIFS($C$5:$C$190,"ranked",$L$5:$L$190,"&gt;"&amp;$L98),"")</x:f>
        <x:v>94</x:v>
      </x:c>
      <x:c r="B98" t="str">
        <x:v>gtja_087</x:v>
      </x:c>
      <x:c r="C98" t="str">
        <x:v>ranked</x:v>
      </x:c>
      <x:c r="D98" s="30" t="str">
        <x:f>IF(COUNTIFS('Raw IC'!$A$5:$A$546,$B98,'Raw IC'!$B$5:$B$546,1)=0,"",SUMIFS('Raw IC'!$F$5:$F$546,'Raw IC'!$A$5:$A$546,$B98,'Raw IC'!$B$5:$B$546,1))</x:f>
      </x:c>
      <x:c r="E98" s="30" t="str">
        <x:f>IF(COUNTIFS('Raw IC'!$A$5:$A$546,$B98,'Raw IC'!$B$5:$B$546,1)=0,"",SUMIFS('Raw IC'!$H$5:$H$546,'Raw IC'!$A$5:$A$546,$B98,'Raw IC'!$B$5:$B$546,1))</x:f>
      </x:c>
      <x:c r="F98" s="30" t="str">
        <x:f>IF(COUNTIFS('Raw IC'!$A$5:$A$546,$B98,'Raw IC'!$B$5:$B$546,5)=0,"",SUMIFS('Raw IC'!$F$5:$F$546,'Raw IC'!$A$5:$A$546,$B98,'Raw IC'!$B$5:$B$546,5))</x:f>
      </x:c>
      <x:c r="G98" s="30" t="str">
        <x:f>IF(COUNTIFS('Raw IC'!$A$5:$A$546,$B98,'Raw IC'!$B$5:$B$546,5)=0,"",SUMIFS('Raw IC'!$H$5:$H$546,'Raw IC'!$A$5:$A$546,$B98,'Raw IC'!$B$5:$B$546,5))</x:f>
      </x:c>
      <x:c r="H98" s="30" t="n">
        <x:f>IF(COUNTIFS('Raw IC'!$A$5:$A$546,$B98,'Raw IC'!$B$5:$B$546,10)=0,"",SUMIFS('Raw IC'!$F$5:$F$546,'Raw IC'!$A$5:$A$546,$B98,'Raw IC'!$B$5:$B$546,10))</x:f>
        <x:v>0.025257446979528055</x:v>
      </x:c>
      <x:c r="I98" s="30" t="n">
        <x:f>IF(COUNTIFS('Raw IC'!$A$5:$A$546,$B98,'Raw IC'!$B$5:$B$546,10)=0,"",SUMIFS('Raw IC'!$H$5:$H$546,'Raw IC'!$A$5:$A$546,$B98,'Raw IC'!$B$5:$B$546,10))</x:f>
        <x:v>0.28349932194629207</x:v>
      </x:c>
      <x:c r="J98" s="30" t="n">
        <x:f>IF(COUNTIFS('Raw IC'!$A$5:$A$546,$B98,'Raw IC'!$B$5:$B$546,20)=0,"",SUMIFS('Raw IC'!$F$5:$F$546,'Raw IC'!$A$5:$A$546,$B98,'Raw IC'!$B$5:$B$546,20))</x:f>
        <x:v>0.028545089065096254</x:v>
      </x:c>
      <x:c r="K98" s="30" t="n">
        <x:f>IF(COUNTIFS('Raw IC'!$A$5:$A$546,$B98,'Raw IC'!$B$5:$B$546,20)=0,"",SUMIFS('Raw IC'!$H$5:$H$546,'Raw IC'!$A$5:$A$546,$B98,'Raw IC'!$B$5:$B$546,20))</x:f>
        <x:v>0.3238193889514702</x:v>
      </x:c>
      <x:c r="L98" s="30" t="n">
        <x:f>IF(COUNT(I98,K98)&lt;2,"",AVERAGE(ABS(I98),ABS(K98)))</x:f>
        <x:v>0.3036593554488811</x:v>
      </x:c>
      <x:c r="M98" t="str">
        <x:f>IF(COUNT(H98,J98)&lt;2,"",IF(H98*J98&gt;=0,IF(H98&gt;=0,"positive","negative"),"mixed"))</x:f>
        <x:v>positive</x:v>
      </x:c>
      <x:c r="N98" s="74" t="n">
        <x:v>46211.33017637731</x:v>
      </x:c>
      <x:c r="O98" s="19" t="n">
        <x:v>8902245</x:v>
      </x:c>
      <x:c r="P98" t="str">
        <x:v>8f7e606554926462248cbcc654181861438ca768a0063f6b317223ede37d16fb</x:v>
      </x:c>
      <x:c r="Q98" t="str">
        <x:v>factor_report/gtja191_batch/gtja_087</x:v>
      </x:c>
    </x:row>
    <x:row r="99">
      <x:c r="A99" s="50" t="n">
        <x:f>IF($C99="ranked",1+COUNTIFS($C$5:$C$190,"ranked",$L$5:$L$190,"&gt;"&amp;$L99),"")</x:f>
        <x:v>95</x:v>
      </x:c>
      <x:c r="B99" t="str">
        <x:v>gtja_174</x:v>
      </x:c>
      <x:c r="C99" t="str">
        <x:v>ranked</x:v>
      </x:c>
      <x:c r="D99" s="30" t="n">
        <x:f>IF(COUNTIFS('Raw IC'!$A$5:$A$546,$B99,'Raw IC'!$B$5:$B$546,1)=0,"",SUMIFS('Raw IC'!$F$5:$F$546,'Raw IC'!$A$5:$A$546,$B99,'Raw IC'!$B$5:$B$546,1))</x:f>
        <x:v>-0.02791735957948747</x:v>
      </x:c>
      <x:c r="E99" s="30" t="n">
        <x:f>IF(COUNTIFS('Raw IC'!$A$5:$A$546,$B99,'Raw IC'!$B$5:$B$546,1)=0,"",SUMIFS('Raw IC'!$H$5:$H$546,'Raw IC'!$A$5:$A$546,$B99,'Raw IC'!$B$5:$B$546,1))</x:f>
        <x:v>-0.14984069990690474</x:v>
      </x:c>
      <x:c r="F99" s="30" t="n">
        <x:f>IF(COUNTIFS('Raw IC'!$A$5:$A$546,$B99,'Raw IC'!$B$5:$B$546,5)=0,"",SUMIFS('Raw IC'!$F$5:$F$546,'Raw IC'!$A$5:$A$546,$B99,'Raw IC'!$B$5:$B$546,5))</x:f>
        <x:v>-0.04182333979945225</x:v>
      </x:c>
      <x:c r="G99" s="30" t="n">
        <x:f>IF(COUNTIFS('Raw IC'!$A$5:$A$546,$B99,'Raw IC'!$B$5:$B$546,5)=0,"",SUMIFS('Raw IC'!$H$5:$H$546,'Raw IC'!$A$5:$A$546,$B99,'Raw IC'!$B$5:$B$546,5))</x:f>
        <x:v>-0.2206102813048946</x:v>
      </x:c>
      <x:c r="H99" s="30" t="n">
        <x:f>IF(COUNTIFS('Raw IC'!$A$5:$A$546,$B99,'Raw IC'!$B$5:$B$546,10)=0,"",SUMIFS('Raw IC'!$F$5:$F$546,'Raw IC'!$A$5:$A$546,$B99,'Raw IC'!$B$5:$B$546,10))</x:f>
        <x:v>-0.05213777627165509</x:v>
      </x:c>
      <x:c r="I99" s="30" t="n">
        <x:f>IF(COUNTIFS('Raw IC'!$A$5:$A$546,$B99,'Raw IC'!$B$5:$B$546,10)=0,"",SUMIFS('Raw IC'!$H$5:$H$546,'Raw IC'!$A$5:$A$546,$B99,'Raw IC'!$B$5:$B$546,10))</x:f>
        <x:v>-0.2681050576059439</x:v>
      </x:c>
      <x:c r="J99" s="30" t="n">
        <x:f>IF(COUNTIFS('Raw IC'!$A$5:$A$546,$B99,'Raw IC'!$B$5:$B$546,20)=0,"",SUMIFS('Raw IC'!$F$5:$F$546,'Raw IC'!$A$5:$A$546,$B99,'Raw IC'!$B$5:$B$546,20))</x:f>
        <x:v>-0.0671005193785548</x:v>
      </x:c>
      <x:c r="K99" s="30" t="n">
        <x:f>IF(COUNTIFS('Raw IC'!$A$5:$A$546,$B99,'Raw IC'!$B$5:$B$546,20)=0,"",SUMIFS('Raw IC'!$H$5:$H$546,'Raw IC'!$A$5:$A$546,$B99,'Raw IC'!$B$5:$B$546,20))</x:f>
        <x:v>-0.3390672631754301</x:v>
      </x:c>
      <x:c r="L99" s="30" t="n">
        <x:f>IF(COUNT(I99,K99)&lt;2,"",AVERAGE(ABS(I99),ABS(K99)))</x:f>
        <x:v>0.303586160390687</x:v>
      </x:c>
      <x:c r="M99" t="str">
        <x:f>IF(COUNT(H99,J99)&lt;2,"",IF(H99*J99&gt;=0,IF(H99&gt;=0,"positive","negative"),"mixed"))</x:f>
        <x:v>negative</x:v>
      </x:c>
      <x:c r="N99" s="74" t="n">
        <x:v>46210.92118445602</x:v>
      </x:c>
      <x:c r="O99" s="19" t="n">
        <x:v>8902245</x:v>
      </x:c>
      <x:c r="P99" t="str">
        <x:v>40355b29bce094aef0e99358bdfd4011b92e72a54440a67760de4afae4883c33</x:v>
      </x:c>
      <x:c r="Q99" t="str">
        <x:v>factor_report/gtja191_batch/gtja_174</x:v>
      </x:c>
    </x:row>
    <x:row r="100">
      <x:c r="A100" s="50" t="n">
        <x:f>IF($C100="ranked",1+COUNTIFS($C$5:$C$190,"ranked",$L$5:$L$190,"&gt;"&amp;$L100),"")</x:f>
        <x:v>96</x:v>
      </x:c>
      <x:c r="B100" t="str">
        <x:v>gtja_169</x:v>
      </x:c>
      <x:c r="C100" t="str">
        <x:v>ranked</x:v>
      </x:c>
      <x:c r="D100" s="30" t="n">
        <x:f>IF(COUNTIFS('Raw IC'!$A$5:$A$546,$B100,'Raw IC'!$B$5:$B$546,1)=0,"",SUMIFS('Raw IC'!$F$5:$F$546,'Raw IC'!$A$5:$A$546,$B100,'Raw IC'!$B$5:$B$546,1))</x:f>
        <x:v>-0.019095546005785394</x:v>
      </x:c>
      <x:c r="E100" s="30" t="n">
        <x:f>IF(COUNTIFS('Raw IC'!$A$5:$A$546,$B100,'Raw IC'!$B$5:$B$546,1)=0,"",SUMIFS('Raw IC'!$H$5:$H$546,'Raw IC'!$A$5:$A$546,$B100,'Raw IC'!$B$5:$B$546,1))</x:f>
        <x:v>-0.1535884382296477</x:v>
      </x:c>
      <x:c r="F100" s="30" t="n">
        <x:f>IF(COUNTIFS('Raw IC'!$A$5:$A$546,$B100,'Raw IC'!$B$5:$B$546,5)=0,"",SUMIFS('Raw IC'!$F$5:$F$546,'Raw IC'!$A$5:$A$546,$B100,'Raw IC'!$B$5:$B$546,5))</x:f>
        <x:v>-0.029981264926010935</x:v>
      </x:c>
      <x:c r="G100" s="30" t="n">
        <x:f>IF(COUNTIFS('Raw IC'!$A$5:$A$546,$B100,'Raw IC'!$B$5:$B$546,5)=0,"",SUMIFS('Raw IC'!$H$5:$H$546,'Raw IC'!$A$5:$A$546,$B100,'Raw IC'!$B$5:$B$546,5))</x:f>
        <x:v>-0.2428810350481071</x:v>
      </x:c>
      <x:c r="H100" s="30" t="n">
        <x:f>IF(COUNTIFS('Raw IC'!$A$5:$A$546,$B100,'Raw IC'!$B$5:$B$546,10)=0,"",SUMIFS('Raw IC'!$F$5:$F$546,'Raw IC'!$A$5:$A$546,$B100,'Raw IC'!$B$5:$B$546,10))</x:f>
        <x:v>-0.03531465236762509</x:v>
      </x:c>
      <x:c r="I100" s="30" t="n">
        <x:f>IF(COUNTIFS('Raw IC'!$A$5:$A$546,$B100,'Raw IC'!$B$5:$B$546,10)=0,"",SUMIFS('Raw IC'!$H$5:$H$546,'Raw IC'!$A$5:$A$546,$B100,'Raw IC'!$B$5:$B$546,10))</x:f>
        <x:v>-0.2918613948839571</x:v>
      </x:c>
      <x:c r="J100" s="30" t="n">
        <x:f>IF(COUNTIFS('Raw IC'!$A$5:$A$546,$B100,'Raw IC'!$B$5:$B$546,20)=0,"",SUMIFS('Raw IC'!$F$5:$F$546,'Raw IC'!$A$5:$A$546,$B100,'Raw IC'!$B$5:$B$546,20))</x:f>
        <x:v>-0.03854590185149994</x:v>
      </x:c>
      <x:c r="K100" s="30" t="n">
        <x:f>IF(COUNTIFS('Raw IC'!$A$5:$A$546,$B100,'Raw IC'!$B$5:$B$546,20)=0,"",SUMIFS('Raw IC'!$H$5:$H$546,'Raw IC'!$A$5:$A$546,$B100,'Raw IC'!$B$5:$B$546,20))</x:f>
        <x:v>-0.3078606474040919</x:v>
      </x:c>
      <x:c r="L100" s="30" t="n">
        <x:f>IF(COUNT(I100,K100)&lt;2,"",AVERAGE(ABS(I100),ABS(K100)))</x:f>
        <x:v>0.2998610211440245</x:v>
      </x:c>
      <x:c r="M100" t="str">
        <x:f>IF(COUNT(H100,J100)&lt;2,"",IF(H100*J100&gt;=0,IF(H100&gt;=0,"positive","negative"),"mixed"))</x:f>
        <x:v>negative</x:v>
      </x:c>
      <x:c r="N100" s="74" t="n">
        <x:v>46210.89785068287</x:v>
      </x:c>
      <x:c r="O100" s="19" t="n">
        <x:v>8902245</x:v>
      </x:c>
      <x:c r="P100" t="str">
        <x:v>40355b29bce094aef0e99358bdfd4011b92e72a54440a67760de4afae4883c33</x:v>
      </x:c>
      <x:c r="Q100" t="str">
        <x:v>factor_report/gtja191_batch/gtja_169</x:v>
      </x:c>
    </x:row>
    <x:row r="101">
      <x:c r="A101" s="50" t="n">
        <x:f>IF($C101="ranked",1+COUNTIFS($C$5:$C$190,"ranked",$L$5:$L$190,"&gt;"&amp;$L101),"")</x:f>
        <x:v>97</x:v>
      </x:c>
      <x:c r="B101" t="str">
        <x:v>gtja_054</x:v>
      </x:c>
      <x:c r="C101" t="str">
        <x:v>ranked</x:v>
      </x:c>
      <x:c r="D101" s="30" t="str">
        <x:f>IF(COUNTIFS('Raw IC'!$A$5:$A$546,$B101,'Raw IC'!$B$5:$B$546,1)=0,"",SUMIFS('Raw IC'!$F$5:$F$546,'Raw IC'!$A$5:$A$546,$B101,'Raw IC'!$B$5:$B$546,1))</x:f>
      </x:c>
      <x:c r="E101" s="30" t="str">
        <x:f>IF(COUNTIFS('Raw IC'!$A$5:$A$546,$B101,'Raw IC'!$B$5:$B$546,1)=0,"",SUMIFS('Raw IC'!$H$5:$H$546,'Raw IC'!$A$5:$A$546,$B101,'Raw IC'!$B$5:$B$546,1))</x:f>
      </x:c>
      <x:c r="F101" s="30" t="str">
        <x:f>IF(COUNTIFS('Raw IC'!$A$5:$A$546,$B101,'Raw IC'!$B$5:$B$546,5)=0,"",SUMIFS('Raw IC'!$F$5:$F$546,'Raw IC'!$A$5:$A$546,$B101,'Raw IC'!$B$5:$B$546,5))</x:f>
      </x:c>
      <x:c r="G101" s="30" t="str">
        <x:f>IF(COUNTIFS('Raw IC'!$A$5:$A$546,$B101,'Raw IC'!$B$5:$B$546,5)=0,"",SUMIFS('Raw IC'!$H$5:$H$546,'Raw IC'!$A$5:$A$546,$B101,'Raw IC'!$B$5:$B$546,5))</x:f>
      </x:c>
      <x:c r="H101" s="30" t="n">
        <x:f>IF(COUNTIFS('Raw IC'!$A$5:$A$546,$B101,'Raw IC'!$B$5:$B$546,10)=0,"",SUMIFS('Raw IC'!$F$5:$F$546,'Raw IC'!$A$5:$A$546,$B101,'Raw IC'!$B$5:$B$546,10))</x:f>
        <x:v>0.030596478125827956</x:v>
      </x:c>
      <x:c r="I101" s="30" t="n">
        <x:f>IF(COUNTIFS('Raw IC'!$A$5:$A$546,$B101,'Raw IC'!$B$5:$B$546,10)=0,"",SUMIFS('Raw IC'!$H$5:$H$546,'Raw IC'!$A$5:$A$546,$B101,'Raw IC'!$B$5:$B$546,10))</x:f>
        <x:v>0.26697549826106887</x:v>
      </x:c>
      <x:c r="J101" s="30" t="n">
        <x:f>IF(COUNTIFS('Raw IC'!$A$5:$A$546,$B101,'Raw IC'!$B$5:$B$546,20)=0,"",SUMIFS('Raw IC'!$F$5:$F$546,'Raw IC'!$A$5:$A$546,$B101,'Raw IC'!$B$5:$B$546,20))</x:f>
        <x:v>0.038602647215080194</x:v>
      </x:c>
      <x:c r="K101" s="30" t="n">
        <x:f>IF(COUNTIFS('Raw IC'!$A$5:$A$546,$B101,'Raw IC'!$B$5:$B$546,20)=0,"",SUMIFS('Raw IC'!$H$5:$H$546,'Raw IC'!$A$5:$A$546,$B101,'Raw IC'!$B$5:$B$546,20))</x:f>
        <x:v>0.33268896409820387</x:v>
      </x:c>
      <x:c r="L101" s="30" t="n">
        <x:f>IF(COUNT(I101,K101)&lt;2,"",AVERAGE(ABS(I101),ABS(K101)))</x:f>
        <x:v>0.29983223117963637</x:v>
      </x:c>
      <x:c r="M101" t="str">
        <x:f>IF(COUNT(H101,J101)&lt;2,"",IF(H101*J101&gt;=0,IF(H101&gt;=0,"positive","negative"),"mixed"))</x:f>
        <x:v>positive</x:v>
      </x:c>
      <x:c r="N101" s="74" t="n">
        <x:v>46211.27909778935</x:v>
      </x:c>
      <x:c r="O101" s="19" t="n">
        <x:v>8902245</x:v>
      </x:c>
      <x:c r="P101" t="str">
        <x:v>8f7e606554926462248cbcc654181861438ca768a0063f6b317223ede37d16fb</x:v>
      </x:c>
      <x:c r="Q101" t="str">
        <x:v>factor_report/gtja191_batch/gtja_054</x:v>
      </x:c>
    </x:row>
    <x:row r="102">
      <x:c r="A102" s="50" t="n">
        <x:f>IF($C102="ranked",1+COUNTIFS($C$5:$C$190,"ranked",$L$5:$L$190,"&gt;"&amp;$L102),"")</x:f>
        <x:v>98</x:v>
      </x:c>
      <x:c r="B102" t="str">
        <x:v>gtja_098</x:v>
      </x:c>
      <x:c r="C102" t="str">
        <x:v>ranked</x:v>
      </x:c>
      <x:c r="D102" s="30" t="str">
        <x:f>IF(COUNTIFS('Raw IC'!$A$5:$A$546,$B102,'Raw IC'!$B$5:$B$546,1)=0,"",SUMIFS('Raw IC'!$F$5:$F$546,'Raw IC'!$A$5:$A$546,$B102,'Raw IC'!$B$5:$B$546,1))</x:f>
      </x:c>
      <x:c r="E102" s="30" t="str">
        <x:f>IF(COUNTIFS('Raw IC'!$A$5:$A$546,$B102,'Raw IC'!$B$5:$B$546,1)=0,"",SUMIFS('Raw IC'!$H$5:$H$546,'Raw IC'!$A$5:$A$546,$B102,'Raw IC'!$B$5:$B$546,1))</x:f>
      </x:c>
      <x:c r="F102" s="30" t="str">
        <x:f>IF(COUNTIFS('Raw IC'!$A$5:$A$546,$B102,'Raw IC'!$B$5:$B$546,5)=0,"",SUMIFS('Raw IC'!$F$5:$F$546,'Raw IC'!$A$5:$A$546,$B102,'Raw IC'!$B$5:$B$546,5))</x:f>
      </x:c>
      <x:c r="G102" s="30" t="str">
        <x:f>IF(COUNTIFS('Raw IC'!$A$5:$A$546,$B102,'Raw IC'!$B$5:$B$546,5)=0,"",SUMIFS('Raw IC'!$H$5:$H$546,'Raw IC'!$A$5:$A$546,$B102,'Raw IC'!$B$5:$B$546,5))</x:f>
      </x:c>
      <x:c r="H102" s="30" t="n">
        <x:f>IF(COUNTIFS('Raw IC'!$A$5:$A$546,$B102,'Raw IC'!$B$5:$B$546,10)=0,"",SUMIFS('Raw IC'!$F$5:$F$546,'Raw IC'!$A$5:$A$546,$B102,'Raw IC'!$B$5:$B$546,10))</x:f>
        <x:v>0.029519967003921076</x:v>
      </x:c>
      <x:c r="I102" s="30" t="n">
        <x:f>IF(COUNTIFS('Raw IC'!$A$5:$A$546,$B102,'Raw IC'!$B$5:$B$546,10)=0,"",SUMIFS('Raw IC'!$H$5:$H$546,'Raw IC'!$A$5:$A$546,$B102,'Raw IC'!$B$5:$B$546,10))</x:f>
        <x:v>0.27547369012158485</x:v>
      </x:c>
      <x:c r="J102" s="30" t="n">
        <x:f>IF(COUNTIFS('Raw IC'!$A$5:$A$546,$B102,'Raw IC'!$B$5:$B$546,20)=0,"",SUMIFS('Raw IC'!$F$5:$F$546,'Raw IC'!$A$5:$A$546,$B102,'Raw IC'!$B$5:$B$546,20))</x:f>
        <x:v>0.03461128060512544</x:v>
      </x:c>
      <x:c r="K102" s="30" t="n">
        <x:f>IF(COUNTIFS('Raw IC'!$A$5:$A$546,$B102,'Raw IC'!$B$5:$B$546,20)=0,"",SUMIFS('Raw IC'!$H$5:$H$546,'Raw IC'!$A$5:$A$546,$B102,'Raw IC'!$B$5:$B$546,20))</x:f>
        <x:v>0.32292737066151267</x:v>
      </x:c>
      <x:c r="L102" s="30" t="n">
        <x:f>IF(COUNT(I102,K102)&lt;2,"",AVERAGE(ABS(I102),ABS(K102)))</x:f>
        <x:v>0.29920053039154876</x:v>
      </x:c>
      <x:c r="M102" t="str">
        <x:f>IF(COUNT(H102,J102)&lt;2,"",IF(H102*J102&gt;=0,IF(H102&gt;=0,"positive","negative"),"mixed"))</x:f>
        <x:v>positive</x:v>
      </x:c>
      <x:c r="N102" s="74" t="n">
        <x:v>46211.34572662037</x:v>
      </x:c>
      <x:c r="O102" s="19" t="n">
        <x:v>8902245</x:v>
      </x:c>
      <x:c r="P102" t="str">
        <x:v>8f7e606554926462248cbcc654181861438ca768a0063f6b317223ede37d16fb</x:v>
      </x:c>
      <x:c r="Q102" t="str">
        <x:v>factor_report/gtja191_batch/gtja_098</x:v>
      </x:c>
    </x:row>
    <x:row r="103">
      <x:c r="A103" s="50" t="n">
        <x:f>IF($C103="ranked",1+COUNTIFS($C$5:$C$190,"ranked",$L$5:$L$190,"&gt;"&amp;$L103),"")</x:f>
        <x:v>99</x:v>
      </x:c>
      <x:c r="B103" t="str">
        <x:v>gtja_129</x:v>
      </x:c>
      <x:c r="C103" t="str">
        <x:v>ranked</x:v>
      </x:c>
      <x:c r="D103" s="30" t="n">
        <x:f>IF(COUNTIFS('Raw IC'!$A$5:$A$546,$B103,'Raw IC'!$B$5:$B$546,1)=0,"",SUMIFS('Raw IC'!$F$5:$F$546,'Raw IC'!$A$5:$A$546,$B103,'Raw IC'!$B$5:$B$546,1))</x:f>
        <x:v>-0.026014001026110307</x:v>
      </x:c>
      <x:c r="E103" s="30" t="n">
        <x:f>IF(COUNTIFS('Raw IC'!$A$5:$A$546,$B103,'Raw IC'!$B$5:$B$546,1)=0,"",SUMIFS('Raw IC'!$H$5:$H$546,'Raw IC'!$A$5:$A$546,$B103,'Raw IC'!$B$5:$B$546,1))</x:f>
        <x:v>-0.14112446519943087</x:v>
      </x:c>
      <x:c r="F103" s="30" t="n">
        <x:f>IF(COUNTIFS('Raw IC'!$A$5:$A$546,$B103,'Raw IC'!$B$5:$B$546,5)=0,"",SUMIFS('Raw IC'!$F$5:$F$546,'Raw IC'!$A$5:$A$546,$B103,'Raw IC'!$B$5:$B$546,5))</x:f>
        <x:v>-0.040516662970927736</x:v>
      </x:c>
      <x:c r="G103" s="30" t="n">
        <x:f>IF(COUNTIFS('Raw IC'!$A$5:$A$546,$B103,'Raw IC'!$B$5:$B$546,5)=0,"",SUMIFS('Raw IC'!$H$5:$H$546,'Raw IC'!$A$5:$A$546,$B103,'Raw IC'!$B$5:$B$546,5))</x:f>
        <x:v>-0.21618381764618647</x:v>
      </x:c>
      <x:c r="H103" s="30" t="n">
        <x:f>IF(COUNTIFS('Raw IC'!$A$5:$A$546,$B103,'Raw IC'!$B$5:$B$546,10)=0,"",SUMIFS('Raw IC'!$F$5:$F$546,'Raw IC'!$A$5:$A$546,$B103,'Raw IC'!$B$5:$B$546,10))</x:f>
        <x:v>-0.0509041396665654</x:v>
      </x:c>
      <x:c r="I103" s="30" t="n">
        <x:f>IF(COUNTIFS('Raw IC'!$A$5:$A$546,$B103,'Raw IC'!$B$5:$B$546,10)=0,"",SUMIFS('Raw IC'!$H$5:$H$546,'Raw IC'!$A$5:$A$546,$B103,'Raw IC'!$B$5:$B$546,10))</x:f>
        <x:v>-0.2665886679920329</x:v>
      </x:c>
      <x:c r="J103" s="30" t="n">
        <x:f>IF(COUNTIFS('Raw IC'!$A$5:$A$546,$B103,'Raw IC'!$B$5:$B$546,20)=0,"",SUMIFS('Raw IC'!$F$5:$F$546,'Raw IC'!$A$5:$A$546,$B103,'Raw IC'!$B$5:$B$546,20))</x:f>
        <x:v>-0.06248063742368558</x:v>
      </x:c>
      <x:c r="K103" s="30" t="n">
        <x:f>IF(COUNTIFS('Raw IC'!$A$5:$A$546,$B103,'Raw IC'!$B$5:$B$546,20)=0,"",SUMIFS('Raw IC'!$H$5:$H$546,'Raw IC'!$A$5:$A$546,$B103,'Raw IC'!$B$5:$B$546,20))</x:f>
        <x:v>-0.3271666205654651</x:v>
      </x:c>
      <x:c r="L103" s="30" t="n">
        <x:f>IF(COUNT(I103,K103)&lt;2,"",AVERAGE(ABS(I103),ABS(K103)))</x:f>
        <x:v>0.29687764427874896</x:v>
      </x:c>
      <x:c r="M103" t="str">
        <x:f>IF(COUNT(H103,J103)&lt;2,"",IF(H103*J103&gt;=0,IF(H103&gt;=0,"positive","negative"),"mixed"))</x:f>
        <x:v>negative</x:v>
      </x:c>
      <x:c r="N103" s="74" t="n">
        <x:v>46210.71993697916</x:v>
      </x:c>
      <x:c r="O103" s="19" t="n">
        <x:v>8902245</x:v>
      </x:c>
      <x:c r="P103" t="str">
        <x:v>40355b29bce094aef0e99358bdfd4011b92e72a54440a67760de4afae4883c33</x:v>
      </x:c>
      <x:c r="Q103" t="str">
        <x:v>factor_report/gtja191_batch/gtja_129</x:v>
      </x:c>
    </x:row>
    <x:row r="104">
      <x:c r="A104" s="50" t="n">
        <x:f>IF($C104="ranked",1+COUNTIFS($C$5:$C$190,"ranked",$L$5:$L$190,"&gt;"&amp;$L104),"")</x:f>
        <x:v>100</x:v>
      </x:c>
      <x:c r="B104" t="str">
        <x:v>gtja_068</x:v>
      </x:c>
      <x:c r="C104" t="str">
        <x:v>ranked</x:v>
      </x:c>
      <x:c r="D104" s="30" t="n">
        <x:f>IF(COUNTIFS('Raw IC'!$A$5:$A$546,$B104,'Raw IC'!$B$5:$B$546,1)=0,"",SUMIFS('Raw IC'!$F$5:$F$546,'Raw IC'!$A$5:$A$546,$B104,'Raw IC'!$B$5:$B$546,1))</x:f>
        <x:v>-0.027386691033633535</x:v>
      </x:c>
      <x:c r="E104" s="30" t="n">
        <x:f>IF(COUNTIFS('Raw IC'!$A$5:$A$546,$B104,'Raw IC'!$B$5:$B$546,1)=0,"",SUMIFS('Raw IC'!$H$5:$H$546,'Raw IC'!$A$5:$A$546,$B104,'Raw IC'!$B$5:$B$546,1))</x:f>
        <x:v>-0.20235028278994238</x:v>
      </x:c>
      <x:c r="F104" s="30" t="n">
        <x:f>IF(COUNTIFS('Raw IC'!$A$5:$A$546,$B104,'Raw IC'!$B$5:$B$546,5)=0,"",SUMIFS('Raw IC'!$F$5:$F$546,'Raw IC'!$A$5:$A$546,$B104,'Raw IC'!$B$5:$B$546,5))</x:f>
        <x:v>-0.03204459119223425</x:v>
      </x:c>
      <x:c r="G104" s="30" t="n">
        <x:f>IF(COUNTIFS('Raw IC'!$A$5:$A$546,$B104,'Raw IC'!$B$5:$B$546,5)=0,"",SUMIFS('Raw IC'!$H$5:$H$546,'Raw IC'!$A$5:$A$546,$B104,'Raw IC'!$B$5:$B$546,5))</x:f>
        <x:v>-0.24875068004978035</x:v>
      </x:c>
      <x:c r="H104" s="30" t="n">
        <x:f>IF(COUNTIFS('Raw IC'!$A$5:$A$546,$B104,'Raw IC'!$B$5:$B$546,10)=0,"",SUMIFS('Raw IC'!$F$5:$F$546,'Raw IC'!$A$5:$A$546,$B104,'Raw IC'!$B$5:$B$546,10))</x:f>
        <x:v>-0.034587875926085955</x:v>
      </x:c>
      <x:c r="I104" s="30" t="n">
        <x:f>IF(COUNTIFS('Raw IC'!$A$5:$A$546,$B104,'Raw IC'!$B$5:$B$546,10)=0,"",SUMIFS('Raw IC'!$H$5:$H$546,'Raw IC'!$A$5:$A$546,$B104,'Raw IC'!$B$5:$B$546,10))</x:f>
        <x:v>-0.2815074055506305</x:v>
      </x:c>
      <x:c r="J104" s="30" t="n">
        <x:f>IF(COUNTIFS('Raw IC'!$A$5:$A$546,$B104,'Raw IC'!$B$5:$B$546,20)=0,"",SUMIFS('Raw IC'!$F$5:$F$546,'Raw IC'!$A$5:$A$546,$B104,'Raw IC'!$B$5:$B$546,20))</x:f>
        <x:v>-0.03782733784595623</x:v>
      </x:c>
      <x:c r="K104" s="30" t="n">
        <x:f>IF(COUNTIFS('Raw IC'!$A$5:$A$546,$B104,'Raw IC'!$B$5:$B$546,20)=0,"",SUMIFS('Raw IC'!$H$5:$H$546,'Raw IC'!$A$5:$A$546,$B104,'Raw IC'!$B$5:$B$546,20))</x:f>
        <x:v>-0.3121121482880892</x:v>
      </x:c>
      <x:c r="L104" s="30" t="n">
        <x:f>IF(COUNT(I104,K104)&lt;2,"",AVERAGE(ABS(I104),ABS(K104)))</x:f>
        <x:v>0.29680977691935984</x:v>
      </x:c>
      <x:c r="M104" t="str">
        <x:f>IF(COUNT(H104,J104)&lt;2,"",IF(H104*J104&gt;=0,IF(H104&gt;=0,"positive","negative"),"mixed"))</x:f>
        <x:v>negative</x:v>
      </x:c>
      <x:c r="N104" s="74" t="n">
        <x:v>46210.407986018516</x:v>
      </x:c>
      <x:c r="O104" s="19" t="n">
        <x:v>8902245</x:v>
      </x:c>
      <x:c r="P104" t="str">
        <x:v>40355b29bce094aef0e99358bdfd4011b92e72a54440a67760de4afae4883c33</x:v>
      </x:c>
      <x:c r="Q104" t="str">
        <x:v>factor_report/gtja191_batch/gtja_068</x:v>
      </x:c>
    </x:row>
    <x:row r="105">
      <x:c r="A105" s="50" t="n">
        <x:f>IF($C105="ranked",1+COUNTIFS($C$5:$C$190,"ranked",$L$5:$L$190,"&gt;"&amp;$L105),"")</x:f>
        <x:v>101</x:v>
      </x:c>
      <x:c r="B105" t="str">
        <x:v>gtja_089</x:v>
      </x:c>
      <x:c r="C105" t="str">
        <x:v>ranked</x:v>
      </x:c>
      <x:c r="D105" s="30" t="n">
        <x:f>IF(COUNTIFS('Raw IC'!$A$5:$A$546,$B105,'Raw IC'!$B$5:$B$546,1)=0,"",SUMIFS('Raw IC'!$F$5:$F$546,'Raw IC'!$A$5:$A$546,$B105,'Raw IC'!$B$5:$B$546,1))</x:f>
        <x:v>-0.023661438522447634</x:v>
      </x:c>
      <x:c r="E105" s="30" t="n">
        <x:f>IF(COUNTIFS('Raw IC'!$A$5:$A$546,$B105,'Raw IC'!$B$5:$B$546,1)=0,"",SUMIFS('Raw IC'!$H$5:$H$546,'Raw IC'!$A$5:$A$546,$B105,'Raw IC'!$B$5:$B$546,1))</x:f>
        <x:v>-0.17718543034846165</x:v>
      </x:c>
      <x:c r="F105" s="30" t="n">
        <x:f>IF(COUNTIFS('Raw IC'!$A$5:$A$546,$B105,'Raw IC'!$B$5:$B$546,5)=0,"",SUMIFS('Raw IC'!$F$5:$F$546,'Raw IC'!$A$5:$A$546,$B105,'Raw IC'!$B$5:$B$546,5))</x:f>
        <x:v>-0.028234129735906065</x:v>
      </x:c>
      <x:c r="G105" s="30" t="n">
        <x:f>IF(COUNTIFS('Raw IC'!$A$5:$A$546,$B105,'Raw IC'!$B$5:$B$546,5)=0,"",SUMIFS('Raw IC'!$H$5:$H$546,'Raw IC'!$A$5:$A$546,$B105,'Raw IC'!$B$5:$B$546,5))</x:f>
        <x:v>-0.22463329743636537</x:v>
      </x:c>
      <x:c r="H105" s="30" t="n">
        <x:f>IF(COUNTIFS('Raw IC'!$A$5:$A$546,$B105,'Raw IC'!$B$5:$B$546,10)=0,"",SUMIFS('Raw IC'!$F$5:$F$546,'Raw IC'!$A$5:$A$546,$B105,'Raw IC'!$B$5:$B$546,10))</x:f>
        <x:v>-0.03330943745475121</x:v>
      </x:c>
      <x:c r="I105" s="30" t="n">
        <x:f>IF(COUNTIFS('Raw IC'!$A$5:$A$546,$B105,'Raw IC'!$B$5:$B$546,10)=0,"",SUMIFS('Raw IC'!$H$5:$H$546,'Raw IC'!$A$5:$A$546,$B105,'Raw IC'!$B$5:$B$546,10))</x:f>
        <x:v>-0.27529604804670327</x:v>
      </x:c>
      <x:c r="J105" s="30" t="n">
        <x:f>IF(COUNTIFS('Raw IC'!$A$5:$A$546,$B105,'Raw IC'!$B$5:$B$546,20)=0,"",SUMIFS('Raw IC'!$F$5:$F$546,'Raw IC'!$A$5:$A$546,$B105,'Raw IC'!$B$5:$B$546,20))</x:f>
        <x:v>-0.03780088527753827</x:v>
      </x:c>
      <x:c r="K105" s="30" t="n">
        <x:f>IF(COUNTIFS('Raw IC'!$A$5:$A$546,$B105,'Raw IC'!$B$5:$B$546,20)=0,"",SUMIFS('Raw IC'!$H$5:$H$546,'Raw IC'!$A$5:$A$546,$B105,'Raw IC'!$B$5:$B$546,20))</x:f>
        <x:v>-0.31473752483987744</x:v>
      </x:c>
      <x:c r="L105" s="30" t="n">
        <x:f>IF(COUNT(I105,K105)&lt;2,"",AVERAGE(ABS(I105),ABS(K105)))</x:f>
        <x:v>0.2950167864432903</x:v>
      </x:c>
      <x:c r="M105" t="str">
        <x:f>IF(COUNT(H105,J105)&lt;2,"",IF(H105*J105&gt;=0,IF(H105&gt;=0,"positive","negative"),"mixed"))</x:f>
        <x:v>negative</x:v>
      </x:c>
      <x:c r="N105" s="74" t="n">
        <x:v>46210.52408989584</x:v>
      </x:c>
      <x:c r="O105" s="19" t="n">
        <x:v>8902245</x:v>
      </x:c>
      <x:c r="P105" t="str">
        <x:v>40355b29bce094aef0e99358bdfd4011b92e72a54440a67760de4afae4883c33</x:v>
      </x:c>
      <x:c r="Q105" t="str">
        <x:v>factor_report/gtja191_batch/gtja_089</x:v>
      </x:c>
    </x:row>
    <x:row r="106">
      <x:c r="A106" s="50" t="n">
        <x:f>IF($C106="ranked",1+COUNTIFS($C$5:$C$190,"ranked",$L$5:$L$190,"&gt;"&amp;$L106),"")</x:f>
        <x:v>102</x:v>
      </x:c>
      <x:c r="B106" t="str">
        <x:v>gtja_086</x:v>
      </x:c>
      <x:c r="C106" t="str">
        <x:v>ranked</x:v>
      </x:c>
      <x:c r="D106" s="30" t="str">
        <x:f>IF(COUNTIFS('Raw IC'!$A$5:$A$546,$B106,'Raw IC'!$B$5:$B$546,1)=0,"",SUMIFS('Raw IC'!$F$5:$F$546,'Raw IC'!$A$5:$A$546,$B106,'Raw IC'!$B$5:$B$546,1))</x:f>
      </x:c>
      <x:c r="E106" s="30" t="str">
        <x:f>IF(COUNTIFS('Raw IC'!$A$5:$A$546,$B106,'Raw IC'!$B$5:$B$546,1)=0,"",SUMIFS('Raw IC'!$H$5:$H$546,'Raw IC'!$A$5:$A$546,$B106,'Raw IC'!$B$5:$B$546,1))</x:f>
      </x:c>
      <x:c r="F106" s="30" t="str">
        <x:f>IF(COUNTIFS('Raw IC'!$A$5:$A$546,$B106,'Raw IC'!$B$5:$B$546,5)=0,"",SUMIFS('Raw IC'!$F$5:$F$546,'Raw IC'!$A$5:$A$546,$B106,'Raw IC'!$B$5:$B$546,5))</x:f>
      </x:c>
      <x:c r="G106" s="30" t="str">
        <x:f>IF(COUNTIFS('Raw IC'!$A$5:$A$546,$B106,'Raw IC'!$B$5:$B$546,5)=0,"",SUMIFS('Raw IC'!$H$5:$H$546,'Raw IC'!$A$5:$A$546,$B106,'Raw IC'!$B$5:$B$546,5))</x:f>
      </x:c>
      <x:c r="H106" s="30" t="n">
        <x:f>IF(COUNTIFS('Raw IC'!$A$5:$A$546,$B106,'Raw IC'!$B$5:$B$546,10)=0,"",SUMIFS('Raw IC'!$F$5:$F$546,'Raw IC'!$A$5:$A$546,$B106,'Raw IC'!$B$5:$B$546,10))</x:f>
        <x:v>0.025539523204946915</x:v>
      </x:c>
      <x:c r="I106" s="30" t="n">
        <x:f>IF(COUNTIFS('Raw IC'!$A$5:$A$546,$B106,'Raw IC'!$B$5:$B$546,10)=0,"",SUMIFS('Raw IC'!$H$5:$H$546,'Raw IC'!$A$5:$A$546,$B106,'Raw IC'!$B$5:$B$546,10))</x:f>
        <x:v>0.2625061409747922</x:v>
      </x:c>
      <x:c r="J106" s="30" t="n">
        <x:f>IF(COUNTIFS('Raw IC'!$A$5:$A$546,$B106,'Raw IC'!$B$5:$B$546,20)=0,"",SUMIFS('Raw IC'!$F$5:$F$546,'Raw IC'!$A$5:$A$546,$B106,'Raw IC'!$B$5:$B$546,20))</x:f>
        <x:v>0.031187852970758673</x:v>
      </x:c>
      <x:c r="K106" s="30" t="n">
        <x:f>IF(COUNTIFS('Raw IC'!$A$5:$A$546,$B106,'Raw IC'!$B$5:$B$546,20)=0,"",SUMIFS('Raw IC'!$H$5:$H$546,'Raw IC'!$A$5:$A$546,$B106,'Raw IC'!$B$5:$B$546,20))</x:f>
        <x:v>0.3269978146021214</x:v>
      </x:c>
      <x:c r="L106" s="30" t="n">
        <x:f>IF(COUNT(I106,K106)&lt;2,"",AVERAGE(ABS(I106),ABS(K106)))</x:f>
        <x:v>0.2947519777884568</x:v>
      </x:c>
      <x:c r="M106" t="str">
        <x:f>IF(COUNT(H106,J106)&lt;2,"",IF(H106*J106&gt;=0,IF(H106&gt;=0,"positive","negative"),"mixed"))</x:f>
        <x:v>positive</x:v>
      </x:c>
      <x:c r="N106" s="74" t="n">
        <x:v>46211.32645658565</x:v>
      </x:c>
      <x:c r="O106" s="19" t="n">
        <x:v>8902245</x:v>
      </x:c>
      <x:c r="P106" t="str">
        <x:v>8f7e606554926462248cbcc654181861438ca768a0063f6b317223ede37d16fb</x:v>
      </x:c>
      <x:c r="Q106" t="str">
        <x:v>factor_report/gtja191_batch/gtja_086</x:v>
      </x:c>
    </x:row>
    <x:row r="107">
      <x:c r="A107" s="50" t="n">
        <x:f>IF($C107="ranked",1+COUNTIFS($C$5:$C$190,"ranked",$L$5:$L$190,"&gt;"&amp;$L107),"")</x:f>
        <x:v>103</x:v>
      </x:c>
      <x:c r="B107" t="str">
        <x:v>gtja_184</x:v>
      </x:c>
      <x:c r="C107" t="str">
        <x:v>ranked</x:v>
      </x:c>
      <x:c r="D107" s="30" t="str">
        <x:f>IF(COUNTIFS('Raw IC'!$A$5:$A$546,$B107,'Raw IC'!$B$5:$B$546,1)=0,"",SUMIFS('Raw IC'!$F$5:$F$546,'Raw IC'!$A$5:$A$546,$B107,'Raw IC'!$B$5:$B$546,1))</x:f>
      </x:c>
      <x:c r="E107" s="30" t="str">
        <x:f>IF(COUNTIFS('Raw IC'!$A$5:$A$546,$B107,'Raw IC'!$B$5:$B$546,1)=0,"",SUMIFS('Raw IC'!$H$5:$H$546,'Raw IC'!$A$5:$A$546,$B107,'Raw IC'!$B$5:$B$546,1))</x:f>
      </x:c>
      <x:c r="F107" s="30" t="str">
        <x:f>IF(COUNTIFS('Raw IC'!$A$5:$A$546,$B107,'Raw IC'!$B$5:$B$546,5)=0,"",SUMIFS('Raw IC'!$F$5:$F$546,'Raw IC'!$A$5:$A$546,$B107,'Raw IC'!$B$5:$B$546,5))</x:f>
      </x:c>
      <x:c r="G107" s="30" t="str">
        <x:f>IF(COUNTIFS('Raw IC'!$A$5:$A$546,$B107,'Raw IC'!$B$5:$B$546,5)=0,"",SUMIFS('Raw IC'!$H$5:$H$546,'Raw IC'!$A$5:$A$546,$B107,'Raw IC'!$B$5:$B$546,5))</x:f>
      </x:c>
      <x:c r="H107" s="30" t="n">
        <x:f>IF(COUNTIFS('Raw IC'!$A$5:$A$546,$B107,'Raw IC'!$B$5:$B$546,10)=0,"",SUMIFS('Raw IC'!$F$5:$F$546,'Raw IC'!$A$5:$A$546,$B107,'Raw IC'!$B$5:$B$546,10))</x:f>
        <x:v>0.02710165719105542</x:v>
      </x:c>
      <x:c r="I107" s="30" t="n">
        <x:f>IF(COUNTIFS('Raw IC'!$A$5:$A$546,$B107,'Raw IC'!$B$5:$B$546,10)=0,"",SUMIFS('Raw IC'!$H$5:$H$546,'Raw IC'!$A$5:$A$546,$B107,'Raw IC'!$B$5:$B$546,10))</x:f>
        <x:v>0.26146943597911027</x:v>
      </x:c>
      <x:c r="J107" s="30" t="n">
        <x:f>IF(COUNTIFS('Raw IC'!$A$5:$A$546,$B107,'Raw IC'!$B$5:$B$546,20)=0,"",SUMIFS('Raw IC'!$F$5:$F$546,'Raw IC'!$A$5:$A$546,$B107,'Raw IC'!$B$5:$B$546,20))</x:f>
        <x:v>0.03304714221422142</x:v>
      </x:c>
      <x:c r="K107" s="30" t="n">
        <x:f>IF(COUNTIFS('Raw IC'!$A$5:$A$546,$B107,'Raw IC'!$B$5:$B$546,20)=0,"",SUMIFS('Raw IC'!$H$5:$H$546,'Raw IC'!$A$5:$A$546,$B107,'Raw IC'!$B$5:$B$546,20))</x:f>
        <x:v>0.32099290503718403</x:v>
      </x:c>
      <x:c r="L107" s="30" t="n">
        <x:f>IF(COUNT(I107,K107)&lt;2,"",AVERAGE(ABS(I107),ABS(K107)))</x:f>
        <x:v>0.2912311705081472</x:v>
      </x:c>
      <x:c r="M107" t="str">
        <x:f>IF(COUNT(H107,J107)&lt;2,"",IF(H107*J107&gt;=0,IF(H107&gt;=0,"positive","negative"),"mixed"))</x:f>
        <x:v>positive</x:v>
      </x:c>
      <x:c r="N107" s="74" t="n">
        <x:v>46211.54342018518</x:v>
      </x:c>
      <x:c r="O107" s="19" t="n">
        <x:v>8902245</x:v>
      </x:c>
      <x:c r="P107" t="str">
        <x:v>8f7e606554926462248cbcc654181861438ca768a0063f6b317223ede37d16fb</x:v>
      </x:c>
      <x:c r="Q107" t="str">
        <x:v>factor_report/gtja191_batch/gtja_184</x:v>
      </x:c>
    </x:row>
    <x:row r="108">
      <x:c r="A108" s="50" t="n">
        <x:f>IF($C108="ranked",1+COUNTIFS($C$5:$C$190,"ranked",$L$5:$L$190,"&gt;"&amp;$L108),"")</x:f>
        <x:v>104</x:v>
      </x:c>
      <x:c r="B108" t="str">
        <x:v>gtja_112</x:v>
      </x:c>
      <x:c r="C108" t="str">
        <x:v>ranked</x:v>
      </x:c>
      <x:c r="D108" s="30" t="n">
        <x:f>IF(COUNTIFS('Raw IC'!$A$5:$A$546,$B108,'Raw IC'!$B$5:$B$546,1)=0,"",SUMIFS('Raw IC'!$F$5:$F$546,'Raw IC'!$A$5:$A$546,$B108,'Raw IC'!$B$5:$B$546,1))</x:f>
        <x:v>-0.027561529749791445</x:v>
      </x:c>
      <x:c r="E108" s="30" t="n">
        <x:f>IF(COUNTIFS('Raw IC'!$A$5:$A$546,$B108,'Raw IC'!$B$5:$B$546,1)=0,"",SUMIFS('Raw IC'!$H$5:$H$546,'Raw IC'!$A$5:$A$546,$B108,'Raw IC'!$B$5:$B$546,1))</x:f>
        <x:v>-0.20132241677558727</x:v>
      </x:c>
      <x:c r="F108" s="30" t="n">
        <x:f>IF(COUNTIFS('Raw IC'!$A$5:$A$546,$B108,'Raw IC'!$B$5:$B$546,5)=0,"",SUMIFS('Raw IC'!$F$5:$F$546,'Raw IC'!$A$5:$A$546,$B108,'Raw IC'!$B$5:$B$546,5))</x:f>
        <x:v>-0.032204877514276226</x:v>
      </x:c>
      <x:c r="G108" s="30" t="n">
        <x:f>IF(COUNTIFS('Raw IC'!$A$5:$A$546,$B108,'Raw IC'!$B$5:$B$546,5)=0,"",SUMIFS('Raw IC'!$H$5:$H$546,'Raw IC'!$A$5:$A$546,$B108,'Raw IC'!$B$5:$B$546,5))</x:f>
        <x:v>-0.25029856692551977</x:v>
      </x:c>
      <x:c r="H108" s="30" t="n">
        <x:f>IF(COUNTIFS('Raw IC'!$A$5:$A$546,$B108,'Raw IC'!$B$5:$B$546,10)=0,"",SUMIFS('Raw IC'!$F$5:$F$546,'Raw IC'!$A$5:$A$546,$B108,'Raw IC'!$B$5:$B$546,10))</x:f>
        <x:v>-0.03326163017810002</x:v>
      </x:c>
      <x:c r="I108" s="30" t="n">
        <x:f>IF(COUNTIFS('Raw IC'!$A$5:$A$546,$B108,'Raw IC'!$B$5:$B$546,10)=0,"",SUMIFS('Raw IC'!$H$5:$H$546,'Raw IC'!$A$5:$A$546,$B108,'Raw IC'!$B$5:$B$546,10))</x:f>
        <x:v>-0.26610285965690944</x:v>
      </x:c>
      <x:c r="J108" s="30" t="n">
        <x:f>IF(COUNTIFS('Raw IC'!$A$5:$A$546,$B108,'Raw IC'!$B$5:$B$546,20)=0,"",SUMIFS('Raw IC'!$F$5:$F$546,'Raw IC'!$A$5:$A$546,$B108,'Raw IC'!$B$5:$B$546,20))</x:f>
        <x:v>-0.03934198871690689</x:v>
      </x:c>
      <x:c r="K108" s="30" t="n">
        <x:f>IF(COUNTIFS('Raw IC'!$A$5:$A$546,$B108,'Raw IC'!$B$5:$B$546,20)=0,"",SUMIFS('Raw IC'!$H$5:$H$546,'Raw IC'!$A$5:$A$546,$B108,'Raw IC'!$B$5:$B$546,20))</x:f>
        <x:v>-0.3135034128600499</x:v>
      </x:c>
      <x:c r="L108" s="30" t="n">
        <x:f>IF(COUNT(I108,K108)&lt;2,"",AVERAGE(ABS(I108),ABS(K108)))</x:f>
        <x:v>0.28980313625847964</x:v>
      </x:c>
      <x:c r="M108" t="str">
        <x:f>IF(COUNT(H108,J108)&lt;2,"",IF(H108*J108&gt;=0,IF(H108&gt;=0,"positive","negative"),"mixed"))</x:f>
        <x:v>negative</x:v>
      </x:c>
      <x:c r="N108" s="74" t="n">
        <x:v>46210.62560251157</x:v>
      </x:c>
      <x:c r="O108" s="19" t="n">
        <x:v>8902245</x:v>
      </x:c>
      <x:c r="P108" t="str">
        <x:v>40355b29bce094aef0e99358bdfd4011b92e72a54440a67760de4afae4883c33</x:v>
      </x:c>
      <x:c r="Q108" t="str">
        <x:v>factor_report/gtja191_batch/gtja_112</x:v>
      </x:c>
    </x:row>
    <x:row r="109">
      <x:c r="A109" s="50" t="n">
        <x:f>IF($C109="ranked",1+COUNTIFS($C$5:$C$190,"ranked",$L$5:$L$190,"&gt;"&amp;$L109),"")</x:f>
        <x:v>105</x:v>
      </x:c>
      <x:c r="B109" t="str">
        <x:v>gtja_108</x:v>
      </x:c>
      <x:c r="C109" t="str">
        <x:v>ranked</x:v>
      </x:c>
      <x:c r="D109" s="30" t="str">
        <x:f>IF(COUNTIFS('Raw IC'!$A$5:$A$546,$B109,'Raw IC'!$B$5:$B$546,1)=0,"",SUMIFS('Raw IC'!$F$5:$F$546,'Raw IC'!$A$5:$A$546,$B109,'Raw IC'!$B$5:$B$546,1))</x:f>
      </x:c>
      <x:c r="E109" s="30" t="str">
        <x:f>IF(COUNTIFS('Raw IC'!$A$5:$A$546,$B109,'Raw IC'!$B$5:$B$546,1)=0,"",SUMIFS('Raw IC'!$H$5:$H$546,'Raw IC'!$A$5:$A$546,$B109,'Raw IC'!$B$5:$B$546,1))</x:f>
      </x:c>
      <x:c r="F109" s="30" t="str">
        <x:f>IF(COUNTIFS('Raw IC'!$A$5:$A$546,$B109,'Raw IC'!$B$5:$B$546,5)=0,"",SUMIFS('Raw IC'!$F$5:$F$546,'Raw IC'!$A$5:$A$546,$B109,'Raw IC'!$B$5:$B$546,5))</x:f>
      </x:c>
      <x:c r="G109" s="30" t="str">
        <x:f>IF(COUNTIFS('Raw IC'!$A$5:$A$546,$B109,'Raw IC'!$B$5:$B$546,5)=0,"",SUMIFS('Raw IC'!$H$5:$H$546,'Raw IC'!$A$5:$A$546,$B109,'Raw IC'!$B$5:$B$546,5))</x:f>
      </x:c>
      <x:c r="H109" s="30" t="n">
        <x:f>IF(COUNTIFS('Raw IC'!$A$5:$A$546,$B109,'Raw IC'!$B$5:$B$546,10)=0,"",SUMIFS('Raw IC'!$F$5:$F$546,'Raw IC'!$A$5:$A$546,$B109,'Raw IC'!$B$5:$B$546,10))</x:f>
        <x:v>0.021305135627949195</x:v>
      </x:c>
      <x:c r="I109" s="30" t="n">
        <x:f>IF(COUNTIFS('Raw IC'!$A$5:$A$546,$B109,'Raw IC'!$B$5:$B$546,10)=0,"",SUMIFS('Raw IC'!$H$5:$H$546,'Raw IC'!$A$5:$A$546,$B109,'Raw IC'!$B$5:$B$546,10))</x:f>
        <x:v>0.2705402575781153</x:v>
      </x:c>
      <x:c r="J109" s="30" t="n">
        <x:f>IF(COUNTIFS('Raw IC'!$A$5:$A$546,$B109,'Raw IC'!$B$5:$B$546,20)=0,"",SUMIFS('Raw IC'!$F$5:$F$546,'Raw IC'!$A$5:$A$546,$B109,'Raw IC'!$B$5:$B$546,20))</x:f>
        <x:v>0.02396255458178034</x:v>
      </x:c>
      <x:c r="K109" s="30" t="n">
        <x:f>IF(COUNTIFS('Raw IC'!$A$5:$A$546,$B109,'Raw IC'!$B$5:$B$546,20)=0,"",SUMIFS('Raw IC'!$H$5:$H$546,'Raw IC'!$A$5:$A$546,$B109,'Raw IC'!$B$5:$B$546,20))</x:f>
        <x:v>0.2993356984301542</x:v>
      </x:c>
      <x:c r="L109" s="30" t="n">
        <x:f>IF(COUNT(I109,K109)&lt;2,"",AVERAGE(ABS(I109),ABS(K109)))</x:f>
        <x:v>0.28493797800413473</x:v>
      </x:c>
      <x:c r="M109" t="str">
        <x:f>IF(COUNT(H109,J109)&lt;2,"",IF(H109*J109&gt;=0,IF(H109&gt;=0,"positive","negative"),"mixed"))</x:f>
        <x:v>positive</x:v>
      </x:c>
      <x:c r="N109" s="74" t="n">
        <x:v>46211.360724976854</x:v>
      </x:c>
      <x:c r="O109" s="19" t="n">
        <x:v>8902245</x:v>
      </x:c>
      <x:c r="P109" t="str">
        <x:v>8f7e606554926462248cbcc654181861438ca768a0063f6b317223ede37d16fb</x:v>
      </x:c>
      <x:c r="Q109" t="str">
        <x:v>factor_report/gtja191_batch/gtja_108</x:v>
      </x:c>
    </x:row>
    <x:row r="110">
      <x:c r="A110" s="50" t="n">
        <x:f>IF($C110="ranked",1+COUNTIFS($C$5:$C$190,"ranked",$L$5:$L$190,"&gt;"&amp;$L110),"")</x:f>
        <x:v>106</x:v>
      </x:c>
      <x:c r="B110" t="str">
        <x:v>gtja_020</x:v>
      </x:c>
      <x:c r="C110" t="str">
        <x:v>ranked</x:v>
      </x:c>
      <x:c r="D110" s="30" t="n">
        <x:f>IF(COUNTIFS('Raw IC'!$A$5:$A$546,$B110,'Raw IC'!$B$5:$B$546,1)=0,"",SUMIFS('Raw IC'!$F$5:$F$546,'Raw IC'!$A$5:$A$546,$B110,'Raw IC'!$B$5:$B$546,1))</x:f>
        <x:v>-0.029126869122610234</x:v>
      </x:c>
      <x:c r="E110" s="30" t="n">
        <x:f>IF(COUNTIFS('Raw IC'!$A$5:$A$546,$B110,'Raw IC'!$B$5:$B$546,1)=0,"",SUMIFS('Raw IC'!$H$5:$H$546,'Raw IC'!$A$5:$A$546,$B110,'Raw IC'!$B$5:$B$546,1))</x:f>
        <x:v>-0.19841047504445639</x:v>
      </x:c>
      <x:c r="F110" s="30" t="n">
        <x:f>IF(COUNTIFS('Raw IC'!$A$5:$A$546,$B110,'Raw IC'!$B$5:$B$546,5)=0,"",SUMIFS('Raw IC'!$F$5:$F$546,'Raw IC'!$A$5:$A$546,$B110,'Raw IC'!$B$5:$B$546,5))</x:f>
        <x:v>-0.03330528187721423</x:v>
      </x:c>
      <x:c r="G110" s="30" t="n">
        <x:f>IF(COUNTIFS('Raw IC'!$A$5:$A$546,$B110,'Raw IC'!$B$5:$B$546,5)=0,"",SUMIFS('Raw IC'!$H$5:$H$546,'Raw IC'!$A$5:$A$546,$B110,'Raw IC'!$B$5:$B$546,5))</x:f>
        <x:v>-0.2483251471188828</x:v>
      </x:c>
      <x:c r="H110" s="30" t="n">
        <x:f>IF(COUNTIFS('Raw IC'!$A$5:$A$546,$B110,'Raw IC'!$B$5:$B$546,10)=0,"",SUMIFS('Raw IC'!$F$5:$F$546,'Raw IC'!$A$5:$A$546,$B110,'Raw IC'!$B$5:$B$546,10))</x:f>
        <x:v>-0.0343093540926392</x:v>
      </x:c>
      <x:c r="I110" s="30" t="n">
        <x:f>IF(COUNTIFS('Raw IC'!$A$5:$A$546,$B110,'Raw IC'!$B$5:$B$546,10)=0,"",SUMIFS('Raw IC'!$H$5:$H$546,'Raw IC'!$A$5:$A$546,$B110,'Raw IC'!$B$5:$B$546,10))</x:f>
        <x:v>-0.2675049565660008</x:v>
      </x:c>
      <x:c r="J110" s="30" t="n">
        <x:f>IF(COUNTIFS('Raw IC'!$A$5:$A$546,$B110,'Raw IC'!$B$5:$B$546,20)=0,"",SUMIFS('Raw IC'!$F$5:$F$546,'Raw IC'!$A$5:$A$546,$B110,'Raw IC'!$B$5:$B$546,20))</x:f>
        <x:v>-0.0379479035368987</x:v>
      </x:c>
      <x:c r="K110" s="30" t="n">
        <x:f>IF(COUNTIFS('Raw IC'!$A$5:$A$546,$B110,'Raw IC'!$B$5:$B$546,20)=0,"",SUMIFS('Raw IC'!$H$5:$H$546,'Raw IC'!$A$5:$A$546,$B110,'Raw IC'!$B$5:$B$546,20))</x:f>
        <x:v>-0.3014904164221521</x:v>
      </x:c>
      <x:c r="L110" s="30" t="n">
        <x:f>IF(COUNT(I110,K110)&lt;2,"",AVERAGE(ABS(I110),ABS(K110)))</x:f>
        <x:v>0.2844976864940765</x:v>
      </x:c>
      <x:c r="M110" t="str">
        <x:f>IF(COUNT(H110,J110)&lt;2,"",IF(H110*J110&gt;=0,IF(H110&gt;=0,"positive","negative"),"mixed"))</x:f>
        <x:v>negative</x:v>
      </x:c>
      <x:c r="N110" s="74" t="n">
        <x:v>46210.19493413194</x:v>
      </x:c>
      <x:c r="O110" s="19" t="n">
        <x:v>8902245</x:v>
      </x:c>
      <x:c r="P110" t="str">
        <x:v>40355b29bce094aef0e99358bdfd4011b92e72a54440a67760de4afae4883c33</x:v>
      </x:c>
      <x:c r="Q110" t="str">
        <x:v>factor_report/gtja191_batch/gtja_020</x:v>
      </x:c>
    </x:row>
    <x:row r="111">
      <x:c r="A111" s="50" t="n">
        <x:f>IF($C111="ranked",1+COUNTIFS($C$5:$C$190,"ranked",$L$5:$L$190,"&gt;"&amp;$L111),"")</x:f>
        <x:v>107</x:v>
      </x:c>
      <x:c r="B111" t="str">
        <x:v>gtja_092</x:v>
      </x:c>
      <x:c r="C111" t="str">
        <x:v>ranked</x:v>
      </x:c>
      <x:c r="D111" s="30" t="str">
        <x:f>IF(COUNTIFS('Raw IC'!$A$5:$A$546,$B111,'Raw IC'!$B$5:$B$546,1)=0,"",SUMIFS('Raw IC'!$F$5:$F$546,'Raw IC'!$A$5:$A$546,$B111,'Raw IC'!$B$5:$B$546,1))</x:f>
      </x:c>
      <x:c r="E111" s="30" t="str">
        <x:f>IF(COUNTIFS('Raw IC'!$A$5:$A$546,$B111,'Raw IC'!$B$5:$B$546,1)=0,"",SUMIFS('Raw IC'!$H$5:$H$546,'Raw IC'!$A$5:$A$546,$B111,'Raw IC'!$B$5:$B$546,1))</x:f>
      </x:c>
      <x:c r="F111" s="30" t="str">
        <x:f>IF(COUNTIFS('Raw IC'!$A$5:$A$546,$B111,'Raw IC'!$B$5:$B$546,5)=0,"",SUMIFS('Raw IC'!$F$5:$F$546,'Raw IC'!$A$5:$A$546,$B111,'Raw IC'!$B$5:$B$546,5))</x:f>
      </x:c>
      <x:c r="G111" s="30" t="str">
        <x:f>IF(COUNTIFS('Raw IC'!$A$5:$A$546,$B111,'Raw IC'!$B$5:$B$546,5)=0,"",SUMIFS('Raw IC'!$H$5:$H$546,'Raw IC'!$A$5:$A$546,$B111,'Raw IC'!$B$5:$B$546,5))</x:f>
      </x:c>
      <x:c r="H111" s="30" t="n">
        <x:f>IF(COUNTIFS('Raw IC'!$A$5:$A$546,$B111,'Raw IC'!$B$5:$B$546,10)=0,"",SUMIFS('Raw IC'!$F$5:$F$546,'Raw IC'!$A$5:$A$546,$B111,'Raw IC'!$B$5:$B$546,10))</x:f>
        <x:v>0.020594322057518277</x:v>
      </x:c>
      <x:c r="I111" s="30" t="n">
        <x:f>IF(COUNTIFS('Raw IC'!$A$5:$A$546,$B111,'Raw IC'!$B$5:$B$546,10)=0,"",SUMIFS('Raw IC'!$H$5:$H$546,'Raw IC'!$A$5:$A$546,$B111,'Raw IC'!$B$5:$B$546,10))</x:f>
        <x:v>0.2622241081285228</x:v>
      </x:c>
      <x:c r="J111" s="30" t="n">
        <x:f>IF(COUNTIFS('Raw IC'!$A$5:$A$546,$B111,'Raw IC'!$B$5:$B$546,20)=0,"",SUMIFS('Raw IC'!$F$5:$F$546,'Raw IC'!$A$5:$A$546,$B111,'Raw IC'!$B$5:$B$546,20))</x:f>
        <x:v>0.02360047061428451</x:v>
      </x:c>
      <x:c r="K111" s="30" t="n">
        <x:f>IF(COUNTIFS('Raw IC'!$A$5:$A$546,$B111,'Raw IC'!$B$5:$B$546,20)=0,"",SUMIFS('Raw IC'!$H$5:$H$546,'Raw IC'!$A$5:$A$546,$B111,'Raw IC'!$B$5:$B$546,20))</x:f>
        <x:v>0.3008303528025629</x:v>
      </x:c>
      <x:c r="L111" s="30" t="n">
        <x:f>IF(COUNT(I111,K111)&lt;2,"",AVERAGE(ABS(I111),ABS(K111)))</x:f>
        <x:v>0.28152723046554284</x:v>
      </x:c>
      <x:c r="M111" t="str">
        <x:f>IF(COUNT(H111,J111)&lt;2,"",IF(H111*J111&gt;=0,IF(H111&gt;=0,"positive","negative"),"mixed"))</x:f>
        <x:v>positive</x:v>
      </x:c>
      <x:c r="N111" s="74" t="n">
        <x:v>46211.339528993056</x:v>
      </x:c>
      <x:c r="O111" s="19" t="n">
        <x:v>8902245</x:v>
      </x:c>
      <x:c r="P111" t="str">
        <x:v>8f7e606554926462248cbcc654181861438ca768a0063f6b317223ede37d16fb</x:v>
      </x:c>
      <x:c r="Q111" t="str">
        <x:v>factor_report/gtja191_batch/gtja_092</x:v>
      </x:c>
    </x:row>
    <x:row r="112">
      <x:c r="A112" s="50" t="n">
        <x:f>IF($C112="ranked",1+COUNTIFS($C$5:$C$190,"ranked",$L$5:$L$190,"&gt;"&amp;$L112),"")</x:f>
        <x:v>108</x:v>
      </x:c>
      <x:c r="B112" t="str">
        <x:v>gtja_010</x:v>
      </x:c>
      <x:c r="C112" t="str">
        <x:v>ranked</x:v>
      </x:c>
      <x:c r="D112" s="30" t="n">
        <x:f>IF(COUNTIFS('Raw IC'!$A$5:$A$546,$B112,'Raw IC'!$B$5:$B$546,1)=0,"",SUMIFS('Raw IC'!$F$5:$F$546,'Raw IC'!$A$5:$A$546,$B112,'Raw IC'!$B$5:$B$546,1))</x:f>
        <x:v>-0.02171232407919523</x:v>
      </x:c>
      <x:c r="E112" s="30" t="n">
        <x:f>IF(COUNTIFS('Raw IC'!$A$5:$A$546,$B112,'Raw IC'!$B$5:$B$546,1)=0,"",SUMIFS('Raw IC'!$H$5:$H$546,'Raw IC'!$A$5:$A$546,$B112,'Raw IC'!$B$5:$B$546,1))</x:f>
        <x:v>-0.13476065963522466</x:v>
      </x:c>
      <x:c r="F112" s="30" t="n">
        <x:f>IF(COUNTIFS('Raw IC'!$A$5:$A$546,$B112,'Raw IC'!$B$5:$B$546,5)=0,"",SUMIFS('Raw IC'!$F$5:$F$546,'Raw IC'!$A$5:$A$546,$B112,'Raw IC'!$B$5:$B$546,5))</x:f>
        <x:v>-0.03356127152475525</x:v>
      </x:c>
      <x:c r="G112" s="30" t="n">
        <x:f>IF(COUNTIFS('Raw IC'!$A$5:$A$546,$B112,'Raw IC'!$B$5:$B$546,5)=0,"",SUMIFS('Raw IC'!$H$5:$H$546,'Raw IC'!$A$5:$A$546,$B112,'Raw IC'!$B$5:$B$546,5))</x:f>
        <x:v>-0.1993320089574554</x:v>
      </x:c>
      <x:c r="H112" s="30" t="n">
        <x:f>IF(COUNTIFS('Raw IC'!$A$5:$A$546,$B112,'Raw IC'!$B$5:$B$546,10)=0,"",SUMIFS('Raw IC'!$F$5:$F$546,'Raw IC'!$A$5:$A$546,$B112,'Raw IC'!$B$5:$B$546,10))</x:f>
        <x:v>-0.043108207262912986</x:v>
      </x:c>
      <x:c r="I112" s="30" t="n">
        <x:f>IF(COUNTIFS('Raw IC'!$A$5:$A$546,$B112,'Raw IC'!$B$5:$B$546,10)=0,"",SUMIFS('Raw IC'!$H$5:$H$546,'Raw IC'!$A$5:$A$546,$B112,'Raw IC'!$B$5:$B$546,10))</x:f>
        <x:v>-0.2445599505723803</x:v>
      </x:c>
      <x:c r="J112" s="30" t="n">
        <x:f>IF(COUNTIFS('Raw IC'!$A$5:$A$546,$B112,'Raw IC'!$B$5:$B$546,20)=0,"",SUMIFS('Raw IC'!$F$5:$F$546,'Raw IC'!$A$5:$A$546,$B112,'Raw IC'!$B$5:$B$546,20))</x:f>
        <x:v>-0.05555365300187116</x:v>
      </x:c>
      <x:c r="K112" s="30" t="n">
        <x:f>IF(COUNTIFS('Raw IC'!$A$5:$A$546,$B112,'Raw IC'!$B$5:$B$546,20)=0,"",SUMIFS('Raw IC'!$H$5:$H$546,'Raw IC'!$A$5:$A$546,$B112,'Raw IC'!$B$5:$B$546,20))</x:f>
        <x:v>-0.309547138482271</x:v>
      </x:c>
      <x:c r="L112" s="30" t="n">
        <x:f>IF(COUNT(I112,K112)&lt;2,"",AVERAGE(ABS(I112),ABS(K112)))</x:f>
        <x:v>0.27705354452732567</x:v>
      </x:c>
      <x:c r="M112" t="str">
        <x:f>IF(COUNT(H112,J112)&lt;2,"",IF(H112*J112&gt;=0,IF(H112&gt;=0,"positive","negative"),"mixed"))</x:f>
        <x:v>negative</x:v>
      </x:c>
      <x:c r="N112" s="74" t="n">
        <x:v>46210.15392069444</x:v>
      </x:c>
      <x:c r="O112" s="19" t="n">
        <x:v>8902245</x:v>
      </x:c>
      <x:c r="P112" t="str">
        <x:v>40355b29bce094aef0e99358bdfd4011b92e72a54440a67760de4afae4883c33</x:v>
      </x:c>
      <x:c r="Q112" t="str">
        <x:v>factor_report/gtja191_batch/gtja_010</x:v>
      </x:c>
    </x:row>
    <x:row r="113">
      <x:c r="A113" s="50" t="n">
        <x:f>IF($C113="ranked",1+COUNTIFS($C$5:$C$190,"ranked",$L$5:$L$190,"&gt;"&amp;$L113),"")</x:f>
        <x:v>109</x:v>
      </x:c>
      <x:c r="B113" t="str">
        <x:v>gtja_063</x:v>
      </x:c>
      <x:c r="C113" t="str">
        <x:v>ranked</x:v>
      </x:c>
      <x:c r="D113" s="30" t="n">
        <x:f>IF(COUNTIFS('Raw IC'!$A$5:$A$546,$B113,'Raw IC'!$B$5:$B$546,1)=0,"",SUMIFS('Raw IC'!$F$5:$F$546,'Raw IC'!$A$5:$A$546,$B113,'Raw IC'!$B$5:$B$546,1))</x:f>
        <x:v>-0.029626434173609568</x:v>
      </x:c>
      <x:c r="E113" s="30" t="n">
        <x:f>IF(COUNTIFS('Raw IC'!$A$5:$A$546,$B113,'Raw IC'!$B$5:$B$546,1)=0,"",SUMIFS('Raw IC'!$H$5:$H$546,'Raw IC'!$A$5:$A$546,$B113,'Raw IC'!$B$5:$B$546,1))</x:f>
        <x:v>-0.2044522483938608</x:v>
      </x:c>
      <x:c r="F113" s="30" t="n">
        <x:f>IF(COUNTIFS('Raw IC'!$A$5:$A$546,$B113,'Raw IC'!$B$5:$B$546,5)=0,"",SUMIFS('Raw IC'!$F$5:$F$546,'Raw IC'!$A$5:$A$546,$B113,'Raw IC'!$B$5:$B$546,5))</x:f>
        <x:v>-0.03165498417135638</x:v>
      </x:c>
      <x:c r="G113" s="30" t="n">
        <x:f>IF(COUNTIFS('Raw IC'!$A$5:$A$546,$B113,'Raw IC'!$B$5:$B$546,5)=0,"",SUMIFS('Raw IC'!$H$5:$H$546,'Raw IC'!$A$5:$A$546,$B113,'Raw IC'!$B$5:$B$546,5))</x:f>
        <x:v>-0.2412274922497394</x:v>
      </x:c>
      <x:c r="H113" s="30" t="n">
        <x:f>IF(COUNTIFS('Raw IC'!$A$5:$A$546,$B113,'Raw IC'!$B$5:$B$546,10)=0,"",SUMIFS('Raw IC'!$F$5:$F$546,'Raw IC'!$A$5:$A$546,$B113,'Raw IC'!$B$5:$B$546,10))</x:f>
        <x:v>-0.03214577550026036</x:v>
      </x:c>
      <x:c r="I113" s="30" t="n">
        <x:f>IF(COUNTIFS('Raw IC'!$A$5:$A$546,$B113,'Raw IC'!$B$5:$B$546,10)=0,"",SUMIFS('Raw IC'!$H$5:$H$546,'Raw IC'!$A$5:$A$546,$B113,'Raw IC'!$B$5:$B$546,10))</x:f>
        <x:v>-0.25143222574705765</x:v>
      </x:c>
      <x:c r="J113" s="30" t="n">
        <x:f>IF(COUNTIFS('Raw IC'!$A$5:$A$546,$B113,'Raw IC'!$B$5:$B$546,20)=0,"",SUMIFS('Raw IC'!$F$5:$F$546,'Raw IC'!$A$5:$A$546,$B113,'Raw IC'!$B$5:$B$546,20))</x:f>
        <x:v>-0.03637963851538203</x:v>
      </x:c>
      <x:c r="K113" s="30" t="n">
        <x:f>IF(COUNTIFS('Raw IC'!$A$5:$A$546,$B113,'Raw IC'!$B$5:$B$546,20)=0,"",SUMIFS('Raw IC'!$H$5:$H$546,'Raw IC'!$A$5:$A$546,$B113,'Raw IC'!$B$5:$B$546,20))</x:f>
        <x:v>-0.29078707429938144</x:v>
      </x:c>
      <x:c r="L113" s="30" t="n">
        <x:f>IF(COUNT(I113,K113)&lt;2,"",AVERAGE(ABS(I113),ABS(K113)))</x:f>
        <x:v>0.2711096500232195</x:v>
      </x:c>
      <x:c r="M113" t="str">
        <x:f>IF(COUNT(H113,J113)&lt;2,"",IF(H113*J113&gt;=0,IF(H113&gt;=0,"positive","negative"),"mixed"))</x:f>
        <x:v>negative</x:v>
      </x:c>
      <x:c r="N113" s="74" t="n">
        <x:v>46210.385858483794</x:v>
      </x:c>
      <x:c r="O113" s="19" t="n">
        <x:v>8902245</x:v>
      </x:c>
      <x:c r="P113" t="str">
        <x:v>40355b29bce094aef0e99358bdfd4011b92e72a54440a67760de4afae4883c33</x:v>
      </x:c>
      <x:c r="Q113" t="str">
        <x:v>factor_report/gtja191_batch/gtja_063</x:v>
      </x:c>
    </x:row>
    <x:row r="114">
      <x:c r="A114" s="50" t="n">
        <x:f>IF($C114="ranked",1+COUNTIFS($C$5:$C$190,"ranked",$L$5:$L$190,"&gt;"&amp;$L114),"")</x:f>
        <x:v>110</x:v>
      </x:c>
      <x:c r="B114" t="str">
        <x:v>gtja_033</x:v>
      </x:c>
      <x:c r="C114" t="str">
        <x:v>ranked</x:v>
      </x:c>
      <x:c r="D114" s="30" t="str">
        <x:f>IF(COUNTIFS('Raw IC'!$A$5:$A$546,$B114,'Raw IC'!$B$5:$B$546,1)=0,"",SUMIFS('Raw IC'!$F$5:$F$546,'Raw IC'!$A$5:$A$546,$B114,'Raw IC'!$B$5:$B$546,1))</x:f>
      </x:c>
      <x:c r="E114" s="30" t="str">
        <x:f>IF(COUNTIFS('Raw IC'!$A$5:$A$546,$B114,'Raw IC'!$B$5:$B$546,1)=0,"",SUMIFS('Raw IC'!$H$5:$H$546,'Raw IC'!$A$5:$A$546,$B114,'Raw IC'!$B$5:$B$546,1))</x:f>
      </x:c>
      <x:c r="F114" s="30" t="str">
        <x:f>IF(COUNTIFS('Raw IC'!$A$5:$A$546,$B114,'Raw IC'!$B$5:$B$546,5)=0,"",SUMIFS('Raw IC'!$F$5:$F$546,'Raw IC'!$A$5:$A$546,$B114,'Raw IC'!$B$5:$B$546,5))</x:f>
      </x:c>
      <x:c r="G114" s="30" t="str">
        <x:f>IF(COUNTIFS('Raw IC'!$A$5:$A$546,$B114,'Raw IC'!$B$5:$B$546,5)=0,"",SUMIFS('Raw IC'!$H$5:$H$546,'Raw IC'!$A$5:$A$546,$B114,'Raw IC'!$B$5:$B$546,5))</x:f>
      </x:c>
      <x:c r="H114" s="30" t="n">
        <x:f>IF(COUNTIFS('Raw IC'!$A$5:$A$546,$B114,'Raw IC'!$B$5:$B$546,10)=0,"",SUMIFS('Raw IC'!$F$5:$F$546,'Raw IC'!$A$5:$A$546,$B114,'Raw IC'!$B$5:$B$546,10))</x:f>
        <x:v>0.030623947788683107</x:v>
      </x:c>
      <x:c r="I114" s="30" t="n">
        <x:f>IF(COUNTIFS('Raw IC'!$A$5:$A$546,$B114,'Raw IC'!$B$5:$B$546,10)=0,"",SUMIFS('Raw IC'!$H$5:$H$546,'Raw IC'!$A$5:$A$546,$B114,'Raw IC'!$B$5:$B$546,10))</x:f>
        <x:v>0.26474406673369666</x:v>
      </x:c>
      <x:c r="J114" s="30" t="n">
        <x:f>IF(COUNTIFS('Raw IC'!$A$5:$A$546,$B114,'Raw IC'!$B$5:$B$546,20)=0,"",SUMIFS('Raw IC'!$F$5:$F$546,'Raw IC'!$A$5:$A$546,$B114,'Raw IC'!$B$5:$B$546,20))</x:f>
        <x:v>0.03213346568996951</x:v>
      </x:c>
      <x:c r="K114" s="30" t="n">
        <x:f>IF(COUNTIFS('Raw IC'!$A$5:$A$546,$B114,'Raw IC'!$B$5:$B$546,20)=0,"",SUMIFS('Raw IC'!$H$5:$H$546,'Raw IC'!$A$5:$A$546,$B114,'Raw IC'!$B$5:$B$546,20))</x:f>
        <x:v>0.2766845401804414</x:v>
      </x:c>
      <x:c r="L114" s="30" t="n">
        <x:f>IF(COUNT(I114,K114)&lt;2,"",AVERAGE(ABS(I114),ABS(K114)))</x:f>
        <x:v>0.27071430345706904</x:v>
      </x:c>
      <x:c r="M114" t="str">
        <x:f>IF(COUNT(H114,J114)&lt;2,"",IF(H114*J114&gt;=0,IF(H114&gt;=0,"positive","negative"),"mixed"))</x:f>
        <x:v>positive</x:v>
      </x:c>
      <x:c r="N114" s="74" t="n">
        <x:v>46211.22782114583</x:v>
      </x:c>
      <x:c r="O114" s="19" t="n">
        <x:v>8902245</x:v>
      </x:c>
      <x:c r="P114" t="str">
        <x:v>8f7e606554926462248cbcc654181861438ca768a0063f6b317223ede37d16fb</x:v>
      </x:c>
      <x:c r="Q114" t="str">
        <x:v>factor_report/gtja191_batch/gtja_033</x:v>
      </x:c>
    </x:row>
    <x:row r="115">
      <x:c r="A115" s="50" t="n">
        <x:f>IF($C115="ranked",1+COUNTIFS($C$5:$C$190,"ranked",$L$5:$L$190,"&gt;"&amp;$L115),"")</x:f>
        <x:v>111</x:v>
      </x:c>
      <x:c r="B115" t="str">
        <x:v>gtja_023</x:v>
      </x:c>
      <x:c r="C115" t="str">
        <x:v>ranked</x:v>
      </x:c>
      <x:c r="D115" s="30" t="n">
        <x:f>IF(COUNTIFS('Raw IC'!$A$5:$A$546,$B115,'Raw IC'!$B$5:$B$546,1)=0,"",SUMIFS('Raw IC'!$F$5:$F$546,'Raw IC'!$A$5:$A$546,$B115,'Raw IC'!$B$5:$B$546,1))</x:f>
        <x:v>-0.014368128371761667</x:v>
      </x:c>
      <x:c r="E115" s="30" t="n">
        <x:f>IF(COUNTIFS('Raw IC'!$A$5:$A$546,$B115,'Raw IC'!$B$5:$B$546,1)=0,"",SUMIFS('Raw IC'!$H$5:$H$546,'Raw IC'!$A$5:$A$546,$B115,'Raw IC'!$B$5:$B$546,1))</x:f>
        <x:v>-0.13425633061690143</x:v>
      </x:c>
      <x:c r="F115" s="30" t="n">
        <x:f>IF(COUNTIFS('Raw IC'!$A$5:$A$546,$B115,'Raw IC'!$B$5:$B$546,5)=0,"",SUMIFS('Raw IC'!$F$5:$F$546,'Raw IC'!$A$5:$A$546,$B115,'Raw IC'!$B$5:$B$546,5))</x:f>
        <x:v>-0.02044460346308605</x:v>
      </x:c>
      <x:c r="G115" s="30" t="n">
        <x:f>IF(COUNTIFS('Raw IC'!$A$5:$A$546,$B115,'Raw IC'!$B$5:$B$546,5)=0,"",SUMIFS('Raw IC'!$H$5:$H$546,'Raw IC'!$A$5:$A$546,$B115,'Raw IC'!$B$5:$B$546,5))</x:f>
        <x:v>-0.20395213573282853</x:v>
      </x:c>
      <x:c r="H115" s="30" t="n">
        <x:f>IF(COUNTIFS('Raw IC'!$A$5:$A$546,$B115,'Raw IC'!$B$5:$B$546,10)=0,"",SUMIFS('Raw IC'!$F$5:$F$546,'Raw IC'!$A$5:$A$546,$B115,'Raw IC'!$B$5:$B$546,10))</x:f>
        <x:v>-0.02421312567684757</x:v>
      </x:c>
      <x:c r="I115" s="30" t="n">
        <x:f>IF(COUNTIFS('Raw IC'!$A$5:$A$546,$B115,'Raw IC'!$B$5:$B$546,10)=0,"",SUMIFS('Raw IC'!$H$5:$H$546,'Raw IC'!$A$5:$A$546,$B115,'Raw IC'!$B$5:$B$546,10))</x:f>
        <x:v>-0.24311600898458693</x:v>
      </x:c>
      <x:c r="J115" s="30" t="n">
        <x:f>IF(COUNTIFS('Raw IC'!$A$5:$A$546,$B115,'Raw IC'!$B$5:$B$546,20)=0,"",SUMIFS('Raw IC'!$F$5:$F$546,'Raw IC'!$A$5:$A$546,$B115,'Raw IC'!$B$5:$B$546,20))</x:f>
        <x:v>-0.030742870020993476</x:v>
      </x:c>
      <x:c r="K115" s="30" t="n">
        <x:f>IF(COUNTIFS('Raw IC'!$A$5:$A$546,$B115,'Raw IC'!$B$5:$B$546,20)=0,"",SUMIFS('Raw IC'!$H$5:$H$546,'Raw IC'!$A$5:$A$546,$B115,'Raw IC'!$B$5:$B$546,20))</x:f>
        <x:v>-0.2956871087113444</x:v>
      </x:c>
      <x:c r="L115" s="30" t="n">
        <x:f>IF(COUNT(I115,K115)&lt;2,"",AVERAGE(ABS(I115),ABS(K115)))</x:f>
        <x:v>0.2694015588479657</x:v>
      </x:c>
      <x:c r="M115" t="str">
        <x:f>IF(COUNT(H115,J115)&lt;2,"",IF(H115*J115&gt;=0,IF(H115&gt;=0,"positive","negative"),"mixed"))</x:f>
        <x:v>negative</x:v>
      </x:c>
      <x:c r="N115" s="74" t="n">
        <x:v>46210.20966594907</x:v>
      </x:c>
      <x:c r="O115" s="19" t="n">
        <x:v>8902245</x:v>
      </x:c>
      <x:c r="P115" t="str">
        <x:v>40355b29bce094aef0e99358bdfd4011b92e72a54440a67760de4afae4883c33</x:v>
      </x:c>
      <x:c r="Q115" t="str">
        <x:v>factor_report/gtja191_batch/gtja_023</x:v>
      </x:c>
    </x:row>
    <x:row r="116">
      <x:c r="A116" s="50" t="n">
        <x:f>IF($C116="ranked",1+COUNTIFS($C$5:$C$190,"ranked",$L$5:$L$190,"&gt;"&amp;$L116),"")</x:f>
        <x:v>112</x:v>
      </x:c>
      <x:c r="B116" t="str">
        <x:v>gtja_173</x:v>
      </x:c>
      <x:c r="C116" t="str">
        <x:v>ranked</x:v>
      </x:c>
      <x:c r="D116" s="30" t="n">
        <x:f>IF(COUNTIFS('Raw IC'!$A$5:$A$546,$B116,'Raw IC'!$B$5:$B$546,1)=0,"",SUMIFS('Raw IC'!$F$5:$F$546,'Raw IC'!$A$5:$A$546,$B116,'Raw IC'!$B$5:$B$546,1))</x:f>
        <x:v>-0.021278486728351535</x:v>
      </x:c>
      <x:c r="E116" s="30" t="n">
        <x:f>IF(COUNTIFS('Raw IC'!$A$5:$A$546,$B116,'Raw IC'!$B$5:$B$546,1)=0,"",SUMIFS('Raw IC'!$H$5:$H$546,'Raw IC'!$A$5:$A$546,$B116,'Raw IC'!$B$5:$B$546,1))</x:f>
        <x:v>-0.12708119175513985</x:v>
      </x:c>
      <x:c r="F116" s="30" t="n">
        <x:f>IF(COUNTIFS('Raw IC'!$A$5:$A$546,$B116,'Raw IC'!$B$5:$B$546,5)=0,"",SUMIFS('Raw IC'!$F$5:$F$546,'Raw IC'!$A$5:$A$546,$B116,'Raw IC'!$B$5:$B$546,5))</x:f>
        <x:v>-0.033439889745327314</x:v>
      </x:c>
      <x:c r="G116" s="30" t="n">
        <x:f>IF(COUNTIFS('Raw IC'!$A$5:$A$546,$B116,'Raw IC'!$B$5:$B$546,5)=0,"",SUMIFS('Raw IC'!$H$5:$H$546,'Raw IC'!$A$5:$A$546,$B116,'Raw IC'!$B$5:$B$546,5))</x:f>
        <x:v>-0.19059779235283658</x:v>
      </x:c>
      <x:c r="H116" s="30" t="n">
        <x:f>IF(COUNTIFS('Raw IC'!$A$5:$A$546,$B116,'Raw IC'!$B$5:$B$546,10)=0,"",SUMIFS('Raw IC'!$F$5:$F$546,'Raw IC'!$A$5:$A$546,$B116,'Raw IC'!$B$5:$B$546,10))</x:f>
        <x:v>-0.04325381637287457</x:v>
      </x:c>
      <x:c r="I116" s="30" t="n">
        <x:f>IF(COUNTIFS('Raw IC'!$A$5:$A$546,$B116,'Raw IC'!$B$5:$B$546,10)=0,"",SUMIFS('Raw IC'!$H$5:$H$546,'Raw IC'!$A$5:$A$546,$B116,'Raw IC'!$B$5:$B$546,10))</x:f>
        <x:v>-0.236051322243735</x:v>
      </x:c>
      <x:c r="J116" s="30" t="n">
        <x:f>IF(COUNTIFS('Raw IC'!$A$5:$A$546,$B116,'Raw IC'!$B$5:$B$546,20)=0,"",SUMIFS('Raw IC'!$F$5:$F$546,'Raw IC'!$A$5:$A$546,$B116,'Raw IC'!$B$5:$B$546,20))</x:f>
        <x:v>-0.05594958936404615</x:v>
      </x:c>
      <x:c r="K116" s="30" t="n">
        <x:f>IF(COUNTIFS('Raw IC'!$A$5:$A$546,$B116,'Raw IC'!$B$5:$B$546,20)=0,"",SUMIFS('Raw IC'!$H$5:$H$546,'Raw IC'!$A$5:$A$546,$B116,'Raw IC'!$B$5:$B$546,20))</x:f>
        <x:v>-0.2998686368934184</x:v>
      </x:c>
      <x:c r="L116" s="30" t="n">
        <x:f>IF(COUNT(I116,K116)&lt;2,"",AVERAGE(ABS(I116),ABS(K116)))</x:f>
        <x:v>0.2679599795685767</x:v>
      </x:c>
      <x:c r="M116" t="str">
        <x:f>IF(COUNT(H116,J116)&lt;2,"",IF(H116*J116&gt;=0,IF(H116&gt;=0,"positive","negative"),"mixed"))</x:f>
        <x:v>negative</x:v>
      </x:c>
      <x:c r="N116" s="74" t="n">
        <x:v>46210.91649931713</x:v>
      </x:c>
      <x:c r="O116" s="19" t="n">
        <x:v>8902245</x:v>
      </x:c>
      <x:c r="P116" t="str">
        <x:v>40355b29bce094aef0e99358bdfd4011b92e72a54440a67760de4afae4883c33</x:v>
      </x:c>
      <x:c r="Q116" t="str">
        <x:v>factor_report/gtja191_batch/gtja_173</x:v>
      </x:c>
    </x:row>
    <x:row r="117">
      <x:c r="A117" s="50" t="n">
        <x:f>IF($C117="ranked",1+COUNTIFS($C$5:$C$190,"ranked",$L$5:$L$190,"&gt;"&amp;$L117),"")</x:f>
        <x:v>113</x:v>
      </x:c>
      <x:c r="B117" t="str">
        <x:v>gtja_160</x:v>
      </x:c>
      <x:c r="C117" t="str">
        <x:v>ranked</x:v>
      </x:c>
      <x:c r="D117" s="30" t="n">
        <x:f>IF(COUNTIFS('Raw IC'!$A$5:$A$546,$B117,'Raw IC'!$B$5:$B$546,1)=0,"",SUMIFS('Raw IC'!$F$5:$F$546,'Raw IC'!$A$5:$A$546,$B117,'Raw IC'!$B$5:$B$546,1))</x:f>
        <x:v>-0.02416931820708422</x:v>
      </x:c>
      <x:c r="E117" s="30" t="n">
        <x:f>IF(COUNTIFS('Raw IC'!$A$5:$A$546,$B117,'Raw IC'!$B$5:$B$546,1)=0,"",SUMIFS('Raw IC'!$H$5:$H$546,'Raw IC'!$A$5:$A$546,$B117,'Raw IC'!$B$5:$B$546,1))</x:f>
        <x:v>-0.1305403854958483</x:v>
      </x:c>
      <x:c r="F117" s="30" t="n">
        <x:f>IF(COUNTIFS('Raw IC'!$A$5:$A$546,$B117,'Raw IC'!$B$5:$B$546,5)=0,"",SUMIFS('Raw IC'!$F$5:$F$546,'Raw IC'!$A$5:$A$546,$B117,'Raw IC'!$B$5:$B$546,5))</x:f>
        <x:v>-0.035838686284958336</x:v>
      </x:c>
      <x:c r="G117" s="30" t="n">
        <x:f>IF(COUNTIFS('Raw IC'!$A$5:$A$546,$B117,'Raw IC'!$B$5:$B$546,5)=0,"",SUMIFS('Raw IC'!$H$5:$H$546,'Raw IC'!$A$5:$A$546,$B117,'Raw IC'!$B$5:$B$546,5))</x:f>
        <x:v>-0.18960636004968626</x:v>
      </x:c>
      <x:c r="H117" s="30" t="n">
        <x:f>IF(COUNTIFS('Raw IC'!$A$5:$A$546,$B117,'Raw IC'!$B$5:$B$546,10)=0,"",SUMIFS('Raw IC'!$F$5:$F$546,'Raw IC'!$A$5:$A$546,$B117,'Raw IC'!$B$5:$B$546,10))</x:f>
        <x:v>-0.04511477824717248</x:v>
      </x:c>
      <x:c r="I117" s="30" t="n">
        <x:f>IF(COUNTIFS('Raw IC'!$A$5:$A$546,$B117,'Raw IC'!$B$5:$B$546,10)=0,"",SUMIFS('Raw IC'!$H$5:$H$546,'Raw IC'!$A$5:$A$546,$B117,'Raw IC'!$B$5:$B$546,10))</x:f>
        <x:v>-0.23253076283115112</x:v>
      </x:c>
      <x:c r="J117" s="30" t="n">
        <x:f>IF(COUNTIFS('Raw IC'!$A$5:$A$546,$B117,'Raw IC'!$B$5:$B$546,20)=0,"",SUMIFS('Raw IC'!$F$5:$F$546,'Raw IC'!$A$5:$A$546,$B117,'Raw IC'!$B$5:$B$546,20))</x:f>
        <x:v>-0.05881287740967297</x:v>
      </x:c>
      <x:c r="K117" s="30" t="n">
        <x:f>IF(COUNTIFS('Raw IC'!$A$5:$A$546,$B117,'Raw IC'!$B$5:$B$546,20)=0,"",SUMIFS('Raw IC'!$H$5:$H$546,'Raw IC'!$A$5:$A$546,$B117,'Raw IC'!$B$5:$B$546,20))</x:f>
        <x:v>-0.3000320107980246</x:v>
      </x:c>
      <x:c r="L117" s="30" t="n">
        <x:f>IF(COUNT(I117,K117)&lt;2,"",AVERAGE(ABS(I117),ABS(K117)))</x:f>
        <x:v>0.26628138681458785</x:v>
      </x:c>
      <x:c r="M117" t="str">
        <x:f>IF(COUNT(H117,J117)&lt;2,"",IF(H117*J117&gt;=0,IF(H117&gt;=0,"positive","negative"),"mixed"))</x:f>
        <x:v>negative</x:v>
      </x:c>
      <x:c r="N117" s="74" t="n">
        <x:v>46210.859459722225</x:v>
      </x:c>
      <x:c r="O117" s="19" t="n">
        <x:v>8902245</x:v>
      </x:c>
      <x:c r="P117" t="str">
        <x:v>40355b29bce094aef0e99358bdfd4011b92e72a54440a67760de4afae4883c33</x:v>
      </x:c>
      <x:c r="Q117" t="str">
        <x:v>factor_report/gtja191_batch/gtja_160</x:v>
      </x:c>
    </x:row>
    <x:row r="118">
      <x:c r="A118" s="50" t="n">
        <x:f>IF($C118="ranked",1+COUNTIFS($C$5:$C$190,"ranked",$L$5:$L$190,"&gt;"&amp;$L118),"")</x:f>
        <x:v>114</x:v>
      </x:c>
      <x:c r="B118" t="str">
        <x:v>gtja_014</x:v>
      </x:c>
      <x:c r="C118" t="str">
        <x:v>ranked</x:v>
      </x:c>
      <x:c r="D118" s="30" t="n">
        <x:f>IF(COUNTIFS('Raw IC'!$A$5:$A$546,$B118,'Raw IC'!$B$5:$B$546,1)=0,"",SUMIFS('Raw IC'!$F$5:$F$546,'Raw IC'!$A$5:$A$546,$B118,'Raw IC'!$B$5:$B$546,1))</x:f>
        <x:v>-0.02842733048255993</x:v>
      </x:c>
      <x:c r="E118" s="30" t="n">
        <x:f>IF(COUNTIFS('Raw IC'!$A$5:$A$546,$B118,'Raw IC'!$B$5:$B$546,1)=0,"",SUMIFS('Raw IC'!$H$5:$H$546,'Raw IC'!$A$5:$A$546,$B118,'Raw IC'!$B$5:$B$546,1))</x:f>
        <x:v>-0.20047170227874875</x:v>
      </x:c>
      <x:c r="F118" s="30" t="n">
        <x:f>IF(COUNTIFS('Raw IC'!$A$5:$A$546,$B118,'Raw IC'!$B$5:$B$546,5)=0,"",SUMIFS('Raw IC'!$F$5:$F$546,'Raw IC'!$A$5:$A$546,$B118,'Raw IC'!$B$5:$B$546,5))</x:f>
        <x:v>-0.03020372752716671</x:v>
      </x:c>
      <x:c r="G118" s="30" t="n">
        <x:f>IF(COUNTIFS('Raw IC'!$A$5:$A$546,$B118,'Raw IC'!$B$5:$B$546,5)=0,"",SUMIFS('Raw IC'!$H$5:$H$546,'Raw IC'!$A$5:$A$546,$B118,'Raw IC'!$B$5:$B$546,5))</x:f>
        <x:v>-0.22579932043784243</x:v>
      </x:c>
      <x:c r="H118" s="30" t="n">
        <x:f>IF(COUNTIFS('Raw IC'!$A$5:$A$546,$B118,'Raw IC'!$B$5:$B$546,10)=0,"",SUMIFS('Raw IC'!$F$5:$F$546,'Raw IC'!$A$5:$A$546,$B118,'Raw IC'!$B$5:$B$546,10))</x:f>
        <x:v>-0.03142291890680758</x:v>
      </x:c>
      <x:c r="I118" s="30" t="n">
        <x:f>IF(COUNTIFS('Raw IC'!$A$5:$A$546,$B118,'Raw IC'!$B$5:$B$546,10)=0,"",SUMIFS('Raw IC'!$H$5:$H$546,'Raw IC'!$A$5:$A$546,$B118,'Raw IC'!$B$5:$B$546,10))</x:f>
        <x:v>-0.24675283632010972</x:v>
      </x:c>
      <x:c r="J118" s="30" t="n">
        <x:f>IF(COUNTIFS('Raw IC'!$A$5:$A$546,$B118,'Raw IC'!$B$5:$B$546,20)=0,"",SUMIFS('Raw IC'!$F$5:$F$546,'Raw IC'!$A$5:$A$546,$B118,'Raw IC'!$B$5:$B$546,20))</x:f>
        <x:v>-0.03505559224469427</x:v>
      </x:c>
      <x:c r="K118" s="30" t="n">
        <x:f>IF(COUNTIFS('Raw IC'!$A$5:$A$546,$B118,'Raw IC'!$B$5:$B$546,20)=0,"",SUMIFS('Raw IC'!$H$5:$H$546,'Raw IC'!$A$5:$A$546,$B118,'Raw IC'!$B$5:$B$546,20))</x:f>
        <x:v>-0.2855895274462466</x:v>
      </x:c>
      <x:c r="L118" s="30" t="n">
        <x:f>IF(COUNT(I118,K118)&lt;2,"",AVERAGE(ABS(I118),ABS(K118)))</x:f>
        <x:v>0.2661711818831782</x:v>
      </x:c>
      <x:c r="M118" t="str">
        <x:f>IF(COUNT(H118,J118)&lt;2,"",IF(H118*J118&gt;=0,IF(H118&gt;=0,"positive","negative"),"mixed"))</x:f>
        <x:v>negative</x:v>
      </x:c>
      <x:c r="N118" s="74" t="n">
        <x:v>46210.170149652775</x:v>
      </x:c>
      <x:c r="O118" s="19" t="n">
        <x:v>8902245</x:v>
      </x:c>
      <x:c r="P118" t="str">
        <x:v>40355b29bce094aef0e99358bdfd4011b92e72a54440a67760de4afae4883c33</x:v>
      </x:c>
      <x:c r="Q118" t="str">
        <x:v>factor_report/gtja191_batch/gtja_014</x:v>
      </x:c>
    </x:row>
    <x:row r="119">
      <x:c r="A119" s="50" t="n">
        <x:f>IF($C119="ranked",1+COUNTIFS($C$5:$C$190,"ranked",$L$5:$L$190,"&gt;"&amp;$L119),"")</x:f>
        <x:v>115</x:v>
      </x:c>
      <x:c r="B119" t="str">
        <x:v>gtja_126</x:v>
      </x:c>
      <x:c r="C119" t="str">
        <x:v>ranked</x:v>
      </x:c>
      <x:c r="D119" s="30" t="n">
        <x:f>IF(COUNTIFS('Raw IC'!$A$5:$A$546,$B119,'Raw IC'!$B$5:$B$546,1)=0,"",SUMIFS('Raw IC'!$F$5:$F$546,'Raw IC'!$A$5:$A$546,$B119,'Raw IC'!$B$5:$B$546,1))</x:f>
        <x:v>-0.021097965625745237</x:v>
      </x:c>
      <x:c r="E119" s="30" t="n">
        <x:f>IF(COUNTIFS('Raw IC'!$A$5:$A$546,$B119,'Raw IC'!$B$5:$B$546,1)=0,"",SUMIFS('Raw IC'!$H$5:$H$546,'Raw IC'!$A$5:$A$546,$B119,'Raw IC'!$B$5:$B$546,1))</x:f>
        <x:v>-0.1261351422296245</x:v>
      </x:c>
      <x:c r="F119" s="30" t="n">
        <x:f>IF(COUNTIFS('Raw IC'!$A$5:$A$546,$B119,'Raw IC'!$B$5:$B$546,5)=0,"",SUMIFS('Raw IC'!$F$5:$F$546,'Raw IC'!$A$5:$A$546,$B119,'Raw IC'!$B$5:$B$546,5))</x:f>
        <x:v>-0.03298399488289722</x:v>
      </x:c>
      <x:c r="G119" s="30" t="n">
        <x:f>IF(COUNTIFS('Raw IC'!$A$5:$A$546,$B119,'Raw IC'!$B$5:$B$546,5)=0,"",SUMIFS('Raw IC'!$H$5:$H$546,'Raw IC'!$A$5:$A$546,$B119,'Raw IC'!$B$5:$B$546,5))</x:f>
        <x:v>-0.1880678961499171</x:v>
      </x:c>
      <x:c r="H119" s="30" t="n">
        <x:f>IF(COUNTIFS('Raw IC'!$A$5:$A$546,$B119,'Raw IC'!$B$5:$B$546,10)=0,"",SUMIFS('Raw IC'!$F$5:$F$546,'Raw IC'!$A$5:$A$546,$B119,'Raw IC'!$B$5:$B$546,10))</x:f>
        <x:v>-0.042572173846866894</x:v>
      </x:c>
      <x:c r="I119" s="30" t="n">
        <x:f>IF(COUNTIFS('Raw IC'!$A$5:$A$546,$B119,'Raw IC'!$B$5:$B$546,10)=0,"",SUMIFS('Raw IC'!$H$5:$H$546,'Raw IC'!$A$5:$A$546,$B119,'Raw IC'!$B$5:$B$546,10))</x:f>
        <x:v>-0.2323783193628518</x:v>
      </x:c>
      <x:c r="J119" s="30" t="n">
        <x:f>IF(COUNTIFS('Raw IC'!$A$5:$A$546,$B119,'Raw IC'!$B$5:$B$546,20)=0,"",SUMIFS('Raw IC'!$F$5:$F$546,'Raw IC'!$A$5:$A$546,$B119,'Raw IC'!$B$5:$B$546,20))</x:f>
        <x:v>-0.05513131510592174</x:v>
      </x:c>
      <x:c r="K119" s="30" t="n">
        <x:f>IF(COUNTIFS('Raw IC'!$A$5:$A$546,$B119,'Raw IC'!$B$5:$B$546,20)=0,"",SUMIFS('Raw IC'!$H$5:$H$546,'Raw IC'!$A$5:$A$546,$B119,'Raw IC'!$B$5:$B$546,20))</x:f>
        <x:v>-0.2958282599074486</x:v>
      </x:c>
      <x:c r="L119" s="30" t="n">
        <x:f>IF(COUNT(I119,K119)&lt;2,"",AVERAGE(ABS(I119),ABS(K119)))</x:f>
        <x:v>0.2641032896351502</x:v>
      </x:c>
      <x:c r="M119" t="str">
        <x:f>IF(COUNT(H119,J119)&lt;2,"",IF(H119*J119&gt;=0,IF(H119&gt;=0,"positive","negative"),"mixed"))</x:f>
        <x:v>negative</x:v>
      </x:c>
      <x:c r="N119" s="74" t="n">
        <x:v>46210.70792734954</x:v>
      </x:c>
      <x:c r="O119" s="19" t="n">
        <x:v>8902245</x:v>
      </x:c>
      <x:c r="P119" t="str">
        <x:v>40355b29bce094aef0e99358bdfd4011b92e72a54440a67760de4afae4883c33</x:v>
      </x:c>
      <x:c r="Q119" t="str">
        <x:v>factor_report/gtja191_batch/gtja_126</x:v>
      </x:c>
    </x:row>
    <x:row r="120">
      <x:c r="A120" s="50" t="n">
        <x:f>IF($C120="ranked",1+COUNTIFS($C$5:$C$190,"ranked",$L$5:$L$190,"&gt;"&amp;$L120),"")</x:f>
        <x:v>116</x:v>
      </x:c>
      <x:c r="B120" t="str">
        <x:v>gtja_102</x:v>
      </x:c>
      <x:c r="C120" t="str">
        <x:v>ranked</x:v>
      </x:c>
      <x:c r="D120" s="30" t="n">
        <x:f>IF(COUNTIFS('Raw IC'!$A$5:$A$546,$B120,'Raw IC'!$B$5:$B$546,1)=0,"",SUMIFS('Raw IC'!$F$5:$F$546,'Raw IC'!$A$5:$A$546,$B120,'Raw IC'!$B$5:$B$546,1))</x:f>
        <x:v>-0.026220389903831815</x:v>
      </x:c>
      <x:c r="E120" s="30" t="n">
        <x:f>IF(COUNTIFS('Raw IC'!$A$5:$A$546,$B120,'Raw IC'!$B$5:$B$546,1)=0,"",SUMIFS('Raw IC'!$H$5:$H$546,'Raw IC'!$A$5:$A$546,$B120,'Raw IC'!$B$5:$B$546,1))</x:f>
        <x:v>-0.28763400545552</x:v>
      </x:c>
      <x:c r="F120" s="30" t="n">
        <x:f>IF(COUNTIFS('Raw IC'!$A$5:$A$546,$B120,'Raw IC'!$B$5:$B$546,5)=0,"",SUMIFS('Raw IC'!$F$5:$F$546,'Raw IC'!$A$5:$A$546,$B120,'Raw IC'!$B$5:$B$546,5))</x:f>
        <x:v>-0.02261074637807211</x:v>
      </x:c>
      <x:c r="G120" s="30" t="n">
        <x:f>IF(COUNTIFS('Raw IC'!$A$5:$A$546,$B120,'Raw IC'!$B$5:$B$546,5)=0,"",SUMIFS('Raw IC'!$H$5:$H$546,'Raw IC'!$A$5:$A$546,$B120,'Raw IC'!$B$5:$B$546,5))</x:f>
        <x:v>-0.2697010845983342</x:v>
      </x:c>
      <x:c r="H120" s="30" t="n">
        <x:f>IF(COUNTIFS('Raw IC'!$A$5:$A$546,$B120,'Raw IC'!$B$5:$B$546,10)=0,"",SUMIFS('Raw IC'!$F$5:$F$546,'Raw IC'!$A$5:$A$546,$B120,'Raw IC'!$B$5:$B$546,10))</x:f>
        <x:v>-0.020352867178194785</x:v>
      </x:c>
      <x:c r="I120" s="30" t="n">
        <x:f>IF(COUNTIFS('Raw IC'!$A$5:$A$546,$B120,'Raw IC'!$B$5:$B$546,10)=0,"",SUMIFS('Raw IC'!$H$5:$H$546,'Raw IC'!$A$5:$A$546,$B120,'Raw IC'!$B$5:$B$546,10))</x:f>
        <x:v>-0.2535154898588005</x:v>
      </x:c>
      <x:c r="J120" s="30" t="n">
        <x:f>IF(COUNTIFS('Raw IC'!$A$5:$A$546,$B120,'Raw IC'!$B$5:$B$546,20)=0,"",SUMIFS('Raw IC'!$F$5:$F$546,'Raw IC'!$A$5:$A$546,$B120,'Raw IC'!$B$5:$B$546,20))</x:f>
        <x:v>-0.020542291091252312</x:v>
      </x:c>
      <x:c r="K120" s="30" t="n">
        <x:f>IF(COUNTIFS('Raw IC'!$A$5:$A$546,$B120,'Raw IC'!$B$5:$B$546,20)=0,"",SUMIFS('Raw IC'!$H$5:$H$546,'Raw IC'!$A$5:$A$546,$B120,'Raw IC'!$B$5:$B$546,20))</x:f>
        <x:v>-0.26910623307770154</x:v>
      </x:c>
      <x:c r="L120" s="30" t="n">
        <x:f>IF(COUNT(I120,K120)&lt;2,"",AVERAGE(ABS(I120),ABS(K120)))</x:f>
        <x:v>0.261310861468251</x:v>
      </x:c>
      <x:c r="M120" t="str">
        <x:f>IF(COUNT(H120,J120)&lt;2,"",IF(H120*J120&gt;=0,IF(H120&gt;=0,"positive","negative"),"mixed"))</x:f>
        <x:v>negative</x:v>
      </x:c>
      <x:c r="N120" s="74" t="n">
        <x:v>46210.58357934028</x:v>
      </x:c>
      <x:c r="O120" s="19" t="n">
        <x:v>8902245</x:v>
      </x:c>
      <x:c r="P120" t="str">
        <x:v>40355b29bce094aef0e99358bdfd4011b92e72a54440a67760de4afae4883c33</x:v>
      </x:c>
      <x:c r="Q120" t="str">
        <x:v>factor_report/gtja191_batch/gtja_102</x:v>
      </x:c>
    </x:row>
    <x:row r="121">
      <x:c r="A121" s="50" t="n">
        <x:f>IF($C121="ranked",1+COUNTIFS($C$5:$C$190,"ranked",$L$5:$L$190,"&gt;"&amp;$L121),"")</x:f>
        <x:v>117</x:v>
      </x:c>
      <x:c r="B121" t="str">
        <x:v>gtja_107</x:v>
      </x:c>
      <x:c r="C121" t="str">
        <x:v>ranked</x:v>
      </x:c>
      <x:c r="D121" s="30" t="n">
        <x:f>IF(COUNTIFS('Raw IC'!$A$5:$A$546,$B121,'Raw IC'!$B$5:$B$546,1)=0,"",SUMIFS('Raw IC'!$F$5:$F$546,'Raw IC'!$A$5:$A$546,$B121,'Raw IC'!$B$5:$B$546,1))</x:f>
        <x:v>-0.009023508854960031</x:v>
      </x:c>
      <x:c r="E121" s="30" t="n">
        <x:f>IF(COUNTIFS('Raw IC'!$A$5:$A$546,$B121,'Raw IC'!$B$5:$B$546,1)=0,"",SUMIFS('Raw IC'!$H$5:$H$546,'Raw IC'!$A$5:$A$546,$B121,'Raw IC'!$B$5:$B$546,1))</x:f>
        <x:v>-0.09589920031221577</x:v>
      </x:c>
      <x:c r="F121" s="30" t="n">
        <x:f>IF(COUNTIFS('Raw IC'!$A$5:$A$546,$B121,'Raw IC'!$B$5:$B$546,5)=0,"",SUMIFS('Raw IC'!$F$5:$F$546,'Raw IC'!$A$5:$A$546,$B121,'Raw IC'!$B$5:$B$546,5))</x:f>
        <x:v>-0.017552950821608838</x:v>
      </x:c>
      <x:c r="G121" s="30" t="n">
        <x:f>IF(COUNTIFS('Raw IC'!$A$5:$A$546,$B121,'Raw IC'!$B$5:$B$546,5)=0,"",SUMIFS('Raw IC'!$H$5:$H$546,'Raw IC'!$A$5:$A$546,$B121,'Raw IC'!$B$5:$B$546,5))</x:f>
        <x:v>-0.19273060512693735</x:v>
      </x:c>
      <x:c r="H121" s="30" t="n">
        <x:f>IF(COUNTIFS('Raw IC'!$A$5:$A$546,$B121,'Raw IC'!$B$5:$B$546,10)=0,"",SUMIFS('Raw IC'!$F$5:$F$546,'Raw IC'!$A$5:$A$546,$B121,'Raw IC'!$B$5:$B$546,10))</x:f>
        <x:v>-0.022211442200144024</x:v>
      </x:c>
      <x:c r="I121" s="30" t="n">
        <x:f>IF(COUNTIFS('Raw IC'!$A$5:$A$546,$B121,'Raw IC'!$B$5:$B$546,10)=0,"",SUMIFS('Raw IC'!$H$5:$H$546,'Raw IC'!$A$5:$A$546,$B121,'Raw IC'!$B$5:$B$546,10))</x:f>
        <x:v>-0.2420311606214853</x:v>
      </x:c>
      <x:c r="J121" s="30" t="n">
        <x:f>IF(COUNTIFS('Raw IC'!$A$5:$A$546,$B121,'Raw IC'!$B$5:$B$546,20)=0,"",SUMIFS('Raw IC'!$F$5:$F$546,'Raw IC'!$A$5:$A$546,$B121,'Raw IC'!$B$5:$B$546,20))</x:f>
        <x:v>-0.025765554587392003</x:v>
      </x:c>
      <x:c r="K121" s="30" t="n">
        <x:f>IF(COUNTIFS('Raw IC'!$A$5:$A$546,$B121,'Raw IC'!$B$5:$B$546,20)=0,"",SUMIFS('Raw IC'!$H$5:$H$546,'Raw IC'!$A$5:$A$546,$B121,'Raw IC'!$B$5:$B$546,20))</x:f>
        <x:v>-0.2797392117060154</x:v>
      </x:c>
      <x:c r="L121" s="30" t="n">
        <x:f>IF(COUNT(I121,K121)&lt;2,"",AVERAGE(ABS(I121),ABS(K121)))</x:f>
        <x:v>0.26088518616375034</x:v>
      </x:c>
      <x:c r="M121" t="str">
        <x:f>IF(COUNT(H121,J121)&lt;2,"",IF(H121*J121&gt;=0,IF(H121&gt;=0,"positive","negative"),"mixed"))</x:f>
        <x:v>negative</x:v>
      </x:c>
      <x:c r="N121" s="74" t="n">
        <x:v>46210.60368208333</x:v>
      </x:c>
      <x:c r="O121" s="19" t="n">
        <x:v>8902245</x:v>
      </x:c>
      <x:c r="P121" t="str">
        <x:v>40355b29bce094aef0e99358bdfd4011b92e72a54440a67760de4afae4883c33</x:v>
      </x:c>
      <x:c r="Q121" t="str">
        <x:v>factor_report/gtja191_batch/gtja_107</x:v>
      </x:c>
    </x:row>
    <x:row r="122">
      <x:c r="A122" s="50" t="n">
        <x:f>IF($C122="ranked",1+COUNTIFS($C$5:$C$190,"ranked",$L$5:$L$190,"&gt;"&amp;$L122),"")</x:f>
        <x:v>118</x:v>
      </x:c>
      <x:c r="B122" t="str">
        <x:v>gtja_019</x:v>
      </x:c>
      <x:c r="C122" t="str">
        <x:v>ranked</x:v>
      </x:c>
      <x:c r="D122" s="30" t="n">
        <x:f>IF(COUNTIFS('Raw IC'!$A$5:$A$546,$B122,'Raw IC'!$B$5:$B$546,1)=0,"",SUMIFS('Raw IC'!$F$5:$F$546,'Raw IC'!$A$5:$A$546,$B122,'Raw IC'!$B$5:$B$546,1))</x:f>
        <x:v>-0.029194853697055677</x:v>
      </x:c>
      <x:c r="E122" s="30" t="n">
        <x:f>IF(COUNTIFS('Raw IC'!$A$5:$A$546,$B122,'Raw IC'!$B$5:$B$546,1)=0,"",SUMIFS('Raw IC'!$H$5:$H$546,'Raw IC'!$A$5:$A$546,$B122,'Raw IC'!$B$5:$B$546,1))</x:f>
        <x:v>-0.19773101518616581</x:v>
      </x:c>
      <x:c r="F122" s="30" t="n">
        <x:f>IF(COUNTIFS('Raw IC'!$A$5:$A$546,$B122,'Raw IC'!$B$5:$B$546,5)=0,"",SUMIFS('Raw IC'!$F$5:$F$546,'Raw IC'!$A$5:$A$546,$B122,'Raw IC'!$B$5:$B$546,5))</x:f>
        <x:v>-0.03139965821397489</x:v>
      </x:c>
      <x:c r="G122" s="30" t="n">
        <x:f>IF(COUNTIFS('Raw IC'!$A$5:$A$546,$B122,'Raw IC'!$B$5:$B$546,5)=0,"",SUMIFS('Raw IC'!$H$5:$H$546,'Raw IC'!$A$5:$A$546,$B122,'Raw IC'!$B$5:$B$546,5))</x:f>
        <x:v>-0.2339743059509377</x:v>
      </x:c>
      <x:c r="H122" s="30" t="n">
        <x:f>IF(COUNTIFS('Raw IC'!$A$5:$A$546,$B122,'Raw IC'!$B$5:$B$546,10)=0,"",SUMIFS('Raw IC'!$F$5:$F$546,'Raw IC'!$A$5:$A$546,$B122,'Raw IC'!$B$5:$B$546,10))</x:f>
        <x:v>-0.03136635532491433</x:v>
      </x:c>
      <x:c r="I122" s="30" t="n">
        <x:f>IF(COUNTIFS('Raw IC'!$A$5:$A$546,$B122,'Raw IC'!$B$5:$B$546,10)=0,"",SUMIFS('Raw IC'!$H$5:$H$546,'Raw IC'!$A$5:$A$546,$B122,'Raw IC'!$B$5:$B$546,10))</x:f>
        <x:v>-0.24598395420106384</x:v>
      </x:c>
      <x:c r="J122" s="30" t="n">
        <x:f>IF(COUNTIFS('Raw IC'!$A$5:$A$546,$B122,'Raw IC'!$B$5:$B$546,20)=0,"",SUMIFS('Raw IC'!$F$5:$F$546,'Raw IC'!$A$5:$A$546,$B122,'Raw IC'!$B$5:$B$546,20))</x:f>
        <x:v>-0.03430559237782003</x:v>
      </x:c>
      <x:c r="K122" s="30" t="n">
        <x:f>IF(COUNTIFS('Raw IC'!$A$5:$A$546,$B122,'Raw IC'!$B$5:$B$546,20)=0,"",SUMIFS('Raw IC'!$H$5:$H$546,'Raw IC'!$A$5:$A$546,$B122,'Raw IC'!$B$5:$B$546,20))</x:f>
        <x:v>-0.2735476866157941</x:v>
      </x:c>
      <x:c r="L122" s="30" t="n">
        <x:f>IF(COUNT(I122,K122)&lt;2,"",AVERAGE(ABS(I122),ABS(K122)))</x:f>
        <x:v>0.259765820408429</x:v>
      </x:c>
      <x:c r="M122" t="str">
        <x:f>IF(COUNT(H122,J122)&lt;2,"",IF(H122*J122&gt;=0,IF(H122&gt;=0,"positive","negative"),"mixed"))</x:f>
        <x:v>negative</x:v>
      </x:c>
      <x:c r="N122" s="74" t="n">
        <x:v>46210.190837372684</x:v>
      </x:c>
      <x:c r="O122" s="19" t="n">
        <x:v>8902245</x:v>
      </x:c>
      <x:c r="P122" t="str">
        <x:v>40355b29bce094aef0e99358bdfd4011b92e72a54440a67760de4afae4883c33</x:v>
      </x:c>
      <x:c r="Q122" t="str">
        <x:v>factor_report/gtja191_batch/gtja_019</x:v>
      </x:c>
    </x:row>
    <x:row r="123">
      <x:c r="A123" s="50" t="n">
        <x:f>IF($C123="ranked",1+COUNTIFS($C$5:$C$190,"ranked",$L$5:$L$190,"&gt;"&amp;$L123),"")</x:f>
        <x:v>119</x:v>
      </x:c>
      <x:c r="B123" t="str">
        <x:v>gtja_018</x:v>
      </x:c>
      <x:c r="C123" t="str">
        <x:v>ranked</x:v>
      </x:c>
      <x:c r="D123" s="30" t="n">
        <x:f>IF(COUNTIFS('Raw IC'!$A$5:$A$546,$B123,'Raw IC'!$B$5:$B$546,1)=0,"",SUMIFS('Raw IC'!$F$5:$F$546,'Raw IC'!$A$5:$A$546,$B123,'Raw IC'!$B$5:$B$546,1))</x:f>
        <x:v>-0.029194867148294158</x:v>
      </x:c>
      <x:c r="E123" s="30" t="n">
        <x:f>IF(COUNTIFS('Raw IC'!$A$5:$A$546,$B123,'Raw IC'!$B$5:$B$546,1)=0,"",SUMIFS('Raw IC'!$H$5:$H$546,'Raw IC'!$A$5:$A$546,$B123,'Raw IC'!$B$5:$B$546,1))</x:f>
        <x:v>-0.19773109455620622</x:v>
      </x:c>
      <x:c r="F123" s="30" t="n">
        <x:f>IF(COUNTIFS('Raw IC'!$A$5:$A$546,$B123,'Raw IC'!$B$5:$B$546,5)=0,"",SUMIFS('Raw IC'!$F$5:$F$546,'Raw IC'!$A$5:$A$546,$B123,'Raw IC'!$B$5:$B$546,5))</x:f>
        <x:v>-0.031399670594069756</x:v>
      </x:c>
      <x:c r="G123" s="30" t="n">
        <x:f>IF(COUNTIFS('Raw IC'!$A$5:$A$546,$B123,'Raw IC'!$B$5:$B$546,5)=0,"",SUMIFS('Raw IC'!$H$5:$H$546,'Raw IC'!$A$5:$A$546,$B123,'Raw IC'!$B$5:$B$546,5))</x:f>
        <x:v>-0.23397436879616162</x:v>
      </x:c>
      <x:c r="H123" s="30" t="n">
        <x:f>IF(COUNTIFS('Raw IC'!$A$5:$A$546,$B123,'Raw IC'!$B$5:$B$546,10)=0,"",SUMIFS('Raw IC'!$F$5:$F$546,'Raw IC'!$A$5:$A$546,$B123,'Raw IC'!$B$5:$B$546,10))</x:f>
        <x:v>-0.03136636231735738</x:v>
      </x:c>
      <x:c r="I123" s="30" t="n">
        <x:f>IF(COUNTIFS('Raw IC'!$A$5:$A$546,$B123,'Raw IC'!$B$5:$B$546,10)=0,"",SUMIFS('Raw IC'!$H$5:$H$546,'Raw IC'!$A$5:$A$546,$B123,'Raw IC'!$B$5:$B$546,10))</x:f>
        <x:v>-0.2459838927636267</x:v>
      </x:c>
      <x:c r="J123" s="30" t="n">
        <x:f>IF(COUNTIFS('Raw IC'!$A$5:$A$546,$B123,'Raw IC'!$B$5:$B$546,20)=0,"",SUMIFS('Raw IC'!$F$5:$F$546,'Raw IC'!$A$5:$A$546,$B123,'Raw IC'!$B$5:$B$546,20))</x:f>
        <x:v>-0.03430560060147005</x:v>
      </x:c>
      <x:c r="K123" s="30" t="n">
        <x:f>IF(COUNTIFS('Raw IC'!$A$5:$A$546,$B123,'Raw IC'!$B$5:$B$546,20)=0,"",SUMIFS('Raw IC'!$H$5:$H$546,'Raw IC'!$A$5:$A$546,$B123,'Raw IC'!$B$5:$B$546,20))</x:f>
        <x:v>-0.2735476989476832</x:v>
      </x:c>
      <x:c r="L123" s="30" t="n">
        <x:f>IF(COUNT(I123,K123)&lt;2,"",AVERAGE(ABS(I123),ABS(K123)))</x:f>
        <x:v>0.25976579585565496</x:v>
      </x:c>
      <x:c r="M123" t="str">
        <x:f>IF(COUNT(H123,J123)&lt;2,"",IF(H123*J123&gt;=0,IF(H123&gt;=0,"positive","negative"),"mixed"))</x:f>
        <x:v>negative</x:v>
      </x:c>
      <x:c r="N123" s="74" t="n">
        <x:v>46210.18674793981</x:v>
      </x:c>
      <x:c r="O123" s="19" t="n">
        <x:v>8902245</x:v>
      </x:c>
      <x:c r="P123" t="str">
        <x:v>40355b29bce094aef0e99358bdfd4011b92e72a54440a67760de4afae4883c33</x:v>
      </x:c>
      <x:c r="Q123" t="str">
        <x:v>factor_report/gtja191_batch/gtja_018</x:v>
      </x:c>
    </x:row>
    <x:row r="124">
      <x:c r="A124" s="50" t="n">
        <x:f>IF($C124="ranked",1+COUNTIFS($C$5:$C$190,"ranked",$L$5:$L$190,"&gt;"&amp;$L124),"")</x:f>
        <x:v>120</x:v>
      </x:c>
      <x:c r="B124" t="str">
        <x:v>gtja_053</x:v>
      </x:c>
      <x:c r="C124" t="str">
        <x:v>ranked</x:v>
      </x:c>
      <x:c r="D124" s="30" t="n">
        <x:f>IF(COUNTIFS('Raw IC'!$A$5:$A$546,$B124,'Raw IC'!$B$5:$B$546,1)=0,"",SUMIFS('Raw IC'!$F$5:$F$546,'Raw IC'!$A$5:$A$546,$B124,'Raw IC'!$B$5:$B$546,1))</x:f>
        <x:v>-0.016102839965405964</x:v>
      </x:c>
      <x:c r="E124" s="30" t="n">
        <x:f>IF(COUNTIFS('Raw IC'!$A$5:$A$546,$B124,'Raw IC'!$B$5:$B$546,1)=0,"",SUMIFS('Raw IC'!$H$5:$H$546,'Raw IC'!$A$5:$A$546,$B124,'Raw IC'!$B$5:$B$546,1))</x:f>
        <x:v>-0.1541473121849001</x:v>
      </x:c>
      <x:c r="F124" s="30" t="n">
        <x:f>IF(COUNTIFS('Raw IC'!$A$5:$A$546,$B124,'Raw IC'!$B$5:$B$546,5)=0,"",SUMIFS('Raw IC'!$F$5:$F$546,'Raw IC'!$A$5:$A$546,$B124,'Raw IC'!$B$5:$B$546,5))</x:f>
        <x:v>-0.019807683124837255</x:v>
      </x:c>
      <x:c r="G124" s="30" t="n">
        <x:f>IF(COUNTIFS('Raw IC'!$A$5:$A$546,$B124,'Raw IC'!$B$5:$B$546,5)=0,"",SUMIFS('Raw IC'!$H$5:$H$546,'Raw IC'!$A$5:$A$546,$B124,'Raw IC'!$B$5:$B$546,5))</x:f>
        <x:v>-0.2018867532422451</x:v>
      </x:c>
      <x:c r="H124" s="30" t="n">
        <x:f>IF(COUNTIFS('Raw IC'!$A$5:$A$546,$B124,'Raw IC'!$B$5:$B$546,10)=0,"",SUMIFS('Raw IC'!$F$5:$F$546,'Raw IC'!$A$5:$A$546,$B124,'Raw IC'!$B$5:$B$546,10))</x:f>
        <x:v>-0.021981401750478545</x:v>
      </x:c>
      <x:c r="I124" s="30" t="n">
        <x:f>IF(COUNTIFS('Raw IC'!$A$5:$A$546,$B124,'Raw IC'!$B$5:$B$546,10)=0,"",SUMIFS('Raw IC'!$H$5:$H$546,'Raw IC'!$A$5:$A$546,$B124,'Raw IC'!$B$5:$B$546,10))</x:f>
        <x:v>-0.2251501914248568</x:v>
      </x:c>
      <x:c r="J124" s="30" t="n">
        <x:f>IF(COUNTIFS('Raw IC'!$A$5:$A$546,$B124,'Raw IC'!$B$5:$B$546,20)=0,"",SUMIFS('Raw IC'!$F$5:$F$546,'Raw IC'!$A$5:$A$546,$B124,'Raw IC'!$B$5:$B$546,20))</x:f>
        <x:v>-0.028910114969108554</x:v>
      </x:c>
      <x:c r="K124" s="30" t="n">
        <x:f>IF(COUNTIFS('Raw IC'!$A$5:$A$546,$B124,'Raw IC'!$B$5:$B$546,20)=0,"",SUMIFS('Raw IC'!$H$5:$H$546,'Raw IC'!$A$5:$A$546,$B124,'Raw IC'!$B$5:$B$546,20))</x:f>
        <x:v>-0.29310419296719525</x:v>
      </x:c>
      <x:c r="L124" s="30" t="n">
        <x:f>IF(COUNT(I124,K124)&lt;2,"",AVERAGE(ABS(I124),ABS(K124)))</x:f>
        <x:v>0.25912719219602603</x:v>
      </x:c>
      <x:c r="M124" t="str">
        <x:f>IF(COUNT(H124,J124)&lt;2,"",IF(H124*J124&gt;=0,IF(H124&gt;=0,"positive","negative"),"mixed"))</x:f>
        <x:v>negative</x:v>
      </x:c>
      <x:c r="N124" s="74" t="n">
        <x:v>46210.33939799768</x:v>
      </x:c>
      <x:c r="O124" s="19" t="n">
        <x:v>8902245</x:v>
      </x:c>
      <x:c r="P124" t="str">
        <x:v>40355b29bce094aef0e99358bdfd4011b92e72a54440a67760de4afae4883c33</x:v>
      </x:c>
      <x:c r="Q124" t="str">
        <x:v>factor_report/gtja191_batch/gtja_053</x:v>
      </x:c>
    </x:row>
    <x:row r="125">
      <x:c r="A125" s="50" t="n">
        <x:f>IF($C125="ranked",1+COUNTIFS($C$5:$C$190,"ranked",$L$5:$L$190,"&gt;"&amp;$L125),"")</x:f>
        <x:v>121</x:v>
      </x:c>
      <x:c r="B125" t="str">
        <x:v>gtja_060</x:v>
      </x:c>
      <x:c r="C125" t="str">
        <x:v>ranked</x:v>
      </x:c>
      <x:c r="D125" s="30" t="n">
        <x:f>IF(COUNTIFS('Raw IC'!$A$5:$A$546,$B125,'Raw IC'!$B$5:$B$546,1)=0,"",SUMIFS('Raw IC'!$F$5:$F$546,'Raw IC'!$A$5:$A$546,$B125,'Raw IC'!$B$5:$B$546,1))</x:f>
        <x:v>-0.011815777105240049</x:v>
      </x:c>
      <x:c r="E125" s="30" t="n">
        <x:f>IF(COUNTIFS('Raw IC'!$A$5:$A$546,$B125,'Raw IC'!$B$5:$B$546,1)=0,"",SUMIFS('Raw IC'!$H$5:$H$546,'Raw IC'!$A$5:$A$546,$B125,'Raw IC'!$B$5:$B$546,1))</x:f>
        <x:v>-0.11551694185854212</x:v>
      </x:c>
      <x:c r="F125" s="30" t="n">
        <x:f>IF(COUNTIFS('Raw IC'!$A$5:$A$546,$B125,'Raw IC'!$B$5:$B$546,5)=0,"",SUMIFS('Raw IC'!$F$5:$F$546,'Raw IC'!$A$5:$A$546,$B125,'Raw IC'!$B$5:$B$546,5))</x:f>
        <x:v>-0.015488033351198223</x:v>
      </x:c>
      <x:c r="G125" s="30" t="n">
        <x:f>IF(COUNTIFS('Raw IC'!$A$5:$A$546,$B125,'Raw IC'!$B$5:$B$546,5)=0,"",SUMIFS('Raw IC'!$H$5:$H$546,'Raw IC'!$A$5:$A$546,$B125,'Raw IC'!$B$5:$B$546,5))</x:f>
        <x:v>-0.1617642931908928</x:v>
      </x:c>
      <x:c r="H125" s="30" t="n">
        <x:f>IF(COUNTIFS('Raw IC'!$A$5:$A$546,$B125,'Raw IC'!$B$5:$B$546,10)=0,"",SUMIFS('Raw IC'!$F$5:$F$546,'Raw IC'!$A$5:$A$546,$B125,'Raw IC'!$B$5:$B$546,10))</x:f>
        <x:v>-0.02001290122792241</x:v>
      </x:c>
      <x:c r="I125" s="30" t="n">
        <x:f>IF(COUNTIFS('Raw IC'!$A$5:$A$546,$B125,'Raw IC'!$B$5:$B$546,10)=0,"",SUMIFS('Raw IC'!$H$5:$H$546,'Raw IC'!$A$5:$A$546,$B125,'Raw IC'!$B$5:$B$546,10))</x:f>
        <x:v>-0.21685046819798506</x:v>
      </x:c>
      <x:c r="J125" s="30" t="n">
        <x:f>IF(COUNTIFS('Raw IC'!$A$5:$A$546,$B125,'Raw IC'!$B$5:$B$546,20)=0,"",SUMIFS('Raw IC'!$F$5:$F$546,'Raw IC'!$A$5:$A$546,$B125,'Raw IC'!$B$5:$B$546,20))</x:f>
        <x:v>-0.027584066159598453</x:v>
      </x:c>
      <x:c r="K125" s="30" t="n">
        <x:f>IF(COUNTIFS('Raw IC'!$A$5:$A$546,$B125,'Raw IC'!$B$5:$B$546,20)=0,"",SUMIFS('Raw IC'!$H$5:$H$546,'Raw IC'!$A$5:$A$546,$B125,'Raw IC'!$B$5:$B$546,20))</x:f>
        <x:v>-0.2945137574397127</x:v>
      </x:c>
      <x:c r="L125" s="30" t="n">
        <x:f>IF(COUNT(I125,K125)&lt;2,"",AVERAGE(ABS(I125),ABS(K125)))</x:f>
        <x:v>0.2556821128188489</x:v>
      </x:c>
      <x:c r="M125" t="str">
        <x:f>IF(COUNT(H125,J125)&lt;2,"",IF(H125*J125&gt;=0,IF(H125&gt;=0,"positive","negative"),"mixed"))</x:f>
        <x:v>negative</x:v>
      </x:c>
      <x:c r="N125" s="74" t="n">
        <x:v>46210.37184259259</x:v>
      </x:c>
      <x:c r="O125" s="19" t="n">
        <x:v>8902245</x:v>
      </x:c>
      <x:c r="P125" t="str">
        <x:v>40355b29bce094aef0e99358bdfd4011b92e72a54440a67760de4afae4883c33</x:v>
      </x:c>
      <x:c r="Q125" t="str">
        <x:v>factor_report/gtja191_batch/gtja_060</x:v>
      </x:c>
    </x:row>
    <x:row r="126">
      <x:c r="A126" s="50" t="n">
        <x:f>IF($C126="ranked",1+COUNTIFS($C$5:$C$190,"ranked",$L$5:$L$190,"&gt;"&amp;$L126),"")</x:f>
        <x:v>122</x:v>
      </x:c>
      <x:c r="B126" t="str">
        <x:v>gtja_123</x:v>
      </x:c>
      <x:c r="C126" t="str">
        <x:v>ranked</x:v>
      </x:c>
      <x:c r="D126" s="30" t="str">
        <x:f>IF(COUNTIFS('Raw IC'!$A$5:$A$546,$B126,'Raw IC'!$B$5:$B$546,1)=0,"",SUMIFS('Raw IC'!$F$5:$F$546,'Raw IC'!$A$5:$A$546,$B126,'Raw IC'!$B$5:$B$546,1))</x:f>
      </x:c>
      <x:c r="E126" s="30" t="str">
        <x:f>IF(COUNTIFS('Raw IC'!$A$5:$A$546,$B126,'Raw IC'!$B$5:$B$546,1)=0,"",SUMIFS('Raw IC'!$H$5:$H$546,'Raw IC'!$A$5:$A$546,$B126,'Raw IC'!$B$5:$B$546,1))</x:f>
      </x:c>
      <x:c r="F126" s="30" t="str">
        <x:f>IF(COUNTIFS('Raw IC'!$A$5:$A$546,$B126,'Raw IC'!$B$5:$B$546,5)=0,"",SUMIFS('Raw IC'!$F$5:$F$546,'Raw IC'!$A$5:$A$546,$B126,'Raw IC'!$B$5:$B$546,5))</x:f>
      </x:c>
      <x:c r="G126" s="30" t="str">
        <x:f>IF(COUNTIFS('Raw IC'!$A$5:$A$546,$B126,'Raw IC'!$B$5:$B$546,5)=0,"",SUMIFS('Raw IC'!$H$5:$H$546,'Raw IC'!$A$5:$A$546,$B126,'Raw IC'!$B$5:$B$546,5))</x:f>
      </x:c>
      <x:c r="H126" s="30" t="n">
        <x:f>IF(COUNTIFS('Raw IC'!$A$5:$A$546,$B126,'Raw IC'!$B$5:$B$546,10)=0,"",SUMIFS('Raw IC'!$F$5:$F$546,'Raw IC'!$A$5:$A$546,$B126,'Raw IC'!$B$5:$B$546,10))</x:f>
        <x:v>0.011980777322754587</x:v>
      </x:c>
      <x:c r="I126" s="30" t="n">
        <x:f>IF(COUNTIFS('Raw IC'!$A$5:$A$546,$B126,'Raw IC'!$B$5:$B$546,10)=0,"",SUMIFS('Raw IC'!$H$5:$H$546,'Raw IC'!$A$5:$A$546,$B126,'Raw IC'!$B$5:$B$546,10))</x:f>
        <x:v>0.21012540797789328</x:v>
      </x:c>
      <x:c r="J126" s="30" t="n">
        <x:f>IF(COUNTIFS('Raw IC'!$A$5:$A$546,$B126,'Raw IC'!$B$5:$B$546,20)=0,"",SUMIFS('Raw IC'!$F$5:$F$546,'Raw IC'!$A$5:$A$546,$B126,'Raw IC'!$B$5:$B$546,20))</x:f>
        <x:v>0.016235807977282926</x:v>
      </x:c>
      <x:c r="K126" s="30" t="n">
        <x:f>IF(COUNTIFS('Raw IC'!$A$5:$A$546,$B126,'Raw IC'!$B$5:$B$546,20)=0,"",SUMIFS('Raw IC'!$H$5:$H$546,'Raw IC'!$A$5:$A$546,$B126,'Raw IC'!$B$5:$B$546,20))</x:f>
        <x:v>0.2895210903522067</x:v>
      </x:c>
      <x:c r="L126" s="30" t="n">
        <x:f>IF(COUNT(I126,K126)&lt;2,"",AVERAGE(ABS(I126),ABS(K126)))</x:f>
        <x:v>0.24982324916505</x:v>
      </x:c>
      <x:c r="M126" t="str">
        <x:f>IF(COUNT(H126,J126)&lt;2,"",IF(H126*J126&gt;=0,IF(H126&gt;=0,"positive","negative"),"mixed"))</x:f>
        <x:v>positive</x:v>
      </x:c>
      <x:c r="N126" s="74" t="n">
        <x:v>46211.407905775464</x:v>
      </x:c>
      <x:c r="O126" s="19" t="n">
        <x:v>8902245</x:v>
      </x:c>
      <x:c r="P126" t="str">
        <x:v>8f7e606554926462248cbcc654181861438ca768a0063f6b317223ede37d16fb</x:v>
      </x:c>
      <x:c r="Q126" t="str">
        <x:v>factor_report/gtja191_batch/gtja_123</x:v>
      </x:c>
    </x:row>
    <x:row r="127">
      <x:c r="A127" s="50" t="n">
        <x:f>IF($C127="ranked",1+COUNTIFS($C$5:$C$190,"ranked",$L$5:$L$190,"&gt;"&amp;$L127),"")</x:f>
        <x:v>123</x:v>
      </x:c>
      <x:c r="B127" t="str">
        <x:v>gtja_153</x:v>
      </x:c>
      <x:c r="C127" t="str">
        <x:v>ranked</x:v>
      </x:c>
      <x:c r="D127" s="30" t="n">
        <x:f>IF(COUNTIFS('Raw IC'!$A$5:$A$546,$B127,'Raw IC'!$B$5:$B$546,1)=0,"",SUMIFS('Raw IC'!$F$5:$F$546,'Raw IC'!$A$5:$A$546,$B127,'Raw IC'!$B$5:$B$546,1))</x:f>
        <x:v>-0.019613177718020416</x:v>
      </x:c>
      <x:c r="E127" s="30" t="n">
        <x:f>IF(COUNTIFS('Raw IC'!$A$5:$A$546,$B127,'Raw IC'!$B$5:$B$546,1)=0,"",SUMIFS('Raw IC'!$H$5:$H$546,'Raw IC'!$A$5:$A$546,$B127,'Raw IC'!$B$5:$B$546,1))</x:f>
        <x:v>-0.11680640003712932</x:v>
      </x:c>
      <x:c r="F127" s="30" t="n">
        <x:f>IF(COUNTIFS('Raw IC'!$A$5:$A$546,$B127,'Raw IC'!$B$5:$B$546,5)=0,"",SUMIFS('Raw IC'!$F$5:$F$546,'Raw IC'!$A$5:$A$546,$B127,'Raw IC'!$B$5:$B$546,5))</x:f>
        <x:v>-0.03067373866235267</x:v>
      </x:c>
      <x:c r="G127" s="30" t="n">
        <x:f>IF(COUNTIFS('Raw IC'!$A$5:$A$546,$B127,'Raw IC'!$B$5:$B$546,5)=0,"",SUMIFS('Raw IC'!$H$5:$H$546,'Raw IC'!$A$5:$A$546,$B127,'Raw IC'!$B$5:$B$546,5))</x:f>
        <x:v>-0.17439222142347738</x:v>
      </x:c>
      <x:c r="H127" s="30" t="n">
        <x:f>IF(COUNTIFS('Raw IC'!$A$5:$A$546,$B127,'Raw IC'!$B$5:$B$546,10)=0,"",SUMIFS('Raw IC'!$F$5:$F$546,'Raw IC'!$A$5:$A$546,$B127,'Raw IC'!$B$5:$B$546,10))</x:f>
        <x:v>-0.03994208451855303</x:v>
      </x:c>
      <x:c r="I127" s="30" t="n">
        <x:f>IF(COUNTIFS('Raw IC'!$A$5:$A$546,$B127,'Raw IC'!$B$5:$B$546,10)=0,"",SUMIFS('Raw IC'!$H$5:$H$546,'Raw IC'!$A$5:$A$546,$B127,'Raw IC'!$B$5:$B$546,10))</x:f>
        <x:v>-0.21754244983623824</x:v>
      </x:c>
      <x:c r="J127" s="30" t="n">
        <x:f>IF(COUNTIFS('Raw IC'!$A$5:$A$546,$B127,'Raw IC'!$B$5:$B$546,20)=0,"",SUMIFS('Raw IC'!$F$5:$F$546,'Raw IC'!$A$5:$A$546,$B127,'Raw IC'!$B$5:$B$546,20))</x:f>
        <x:v>-0.052101026597468354</x:v>
      </x:c>
      <x:c r="K127" s="30" t="n">
        <x:f>IF(COUNTIFS('Raw IC'!$A$5:$A$546,$B127,'Raw IC'!$B$5:$B$546,20)=0,"",SUMIFS('Raw IC'!$H$5:$H$546,'Raw IC'!$A$5:$A$546,$B127,'Raw IC'!$B$5:$B$546,20))</x:f>
        <x:v>-0.27968301264558193</x:v>
      </x:c>
      <x:c r="L127" s="30" t="n">
        <x:f>IF(COUNT(I127,K127)&lt;2,"",AVERAGE(ABS(I127),ABS(K127)))</x:f>
        <x:v>0.2486127312409101</x:v>
      </x:c>
      <x:c r="M127" t="str">
        <x:f>IF(COUNT(H127,J127)&lt;2,"",IF(H127*J127&gt;=0,IF(H127&gt;=0,"positive","negative"),"mixed"))</x:f>
        <x:v>negative</x:v>
      </x:c>
      <x:c r="N127" s="74" t="n">
        <x:v>46210.827101863426</x:v>
      </x:c>
      <x:c r="O127" s="19" t="n">
        <x:v>8902245</x:v>
      </x:c>
      <x:c r="P127" t="str">
        <x:v>40355b29bce094aef0e99358bdfd4011b92e72a54440a67760de4afae4883c33</x:v>
      </x:c>
      <x:c r="Q127" t="str">
        <x:v>factor_report/gtja191_batch/gtja_153</x:v>
      </x:c>
    </x:row>
    <x:row r="128">
      <x:c r="A128" s="50" t="n">
        <x:f>IF($C128="ranked",1+COUNTIFS($C$5:$C$190,"ranked",$L$5:$L$190,"&gt;"&amp;$L128),"")</x:f>
        <x:v>124</x:v>
      </x:c>
      <x:c r="B128" t="str">
        <x:v>gtja_008</x:v>
      </x:c>
      <x:c r="C128" t="str">
        <x:v>ranked</x:v>
      </x:c>
      <x:c r="D128" s="30" t="str">
        <x:f>IF(COUNTIFS('Raw IC'!$A$5:$A$546,$B128,'Raw IC'!$B$5:$B$546,1)=0,"",SUMIFS('Raw IC'!$F$5:$F$546,'Raw IC'!$A$5:$A$546,$B128,'Raw IC'!$B$5:$B$546,1))</x:f>
      </x:c>
      <x:c r="E128" s="30" t="str">
        <x:f>IF(COUNTIFS('Raw IC'!$A$5:$A$546,$B128,'Raw IC'!$B$5:$B$546,1)=0,"",SUMIFS('Raw IC'!$H$5:$H$546,'Raw IC'!$A$5:$A$546,$B128,'Raw IC'!$B$5:$B$546,1))</x:f>
      </x:c>
      <x:c r="F128" s="30" t="str">
        <x:f>IF(COUNTIFS('Raw IC'!$A$5:$A$546,$B128,'Raw IC'!$B$5:$B$546,5)=0,"",SUMIFS('Raw IC'!$F$5:$F$546,'Raw IC'!$A$5:$A$546,$B128,'Raw IC'!$B$5:$B$546,5))</x:f>
      </x:c>
      <x:c r="G128" s="30" t="str">
        <x:f>IF(COUNTIFS('Raw IC'!$A$5:$A$546,$B128,'Raw IC'!$B$5:$B$546,5)=0,"",SUMIFS('Raw IC'!$H$5:$H$546,'Raw IC'!$A$5:$A$546,$B128,'Raw IC'!$B$5:$B$546,5))</x:f>
      </x:c>
      <x:c r="H128" s="30" t="n">
        <x:f>IF(COUNTIFS('Raw IC'!$A$5:$A$546,$B128,'Raw IC'!$B$5:$B$546,10)=0,"",SUMIFS('Raw IC'!$F$5:$F$546,'Raw IC'!$A$5:$A$546,$B128,'Raw IC'!$B$5:$B$546,10))</x:f>
        <x:v>0.029069252476887388</x:v>
      </x:c>
      <x:c r="I128" s="30" t="n">
        <x:f>IF(COUNTIFS('Raw IC'!$A$5:$A$546,$B128,'Raw IC'!$B$5:$B$546,10)=0,"",SUMIFS('Raw IC'!$H$5:$H$546,'Raw IC'!$A$5:$A$546,$B128,'Raw IC'!$B$5:$B$546,10))</x:f>
        <x:v>0.22987204635898134</x:v>
      </x:c>
      <x:c r="J128" s="30" t="n">
        <x:f>IF(COUNTIFS('Raw IC'!$A$5:$A$546,$B128,'Raw IC'!$B$5:$B$546,20)=0,"",SUMIFS('Raw IC'!$F$5:$F$546,'Raw IC'!$A$5:$A$546,$B128,'Raw IC'!$B$5:$B$546,20))</x:f>
        <x:v>0.03263710560902991</x:v>
      </x:c>
      <x:c r="K128" s="30" t="n">
        <x:f>IF(COUNTIFS('Raw IC'!$A$5:$A$546,$B128,'Raw IC'!$B$5:$B$546,20)=0,"",SUMIFS('Raw IC'!$H$5:$H$546,'Raw IC'!$A$5:$A$546,$B128,'Raw IC'!$B$5:$B$546,20))</x:f>
        <x:v>0.26475160713144147</x:v>
      </x:c>
      <x:c r="L128" s="30" t="n">
        <x:f>IF(COUNT(I128,K128)&lt;2,"",AVERAGE(ABS(I128),ABS(K128)))</x:f>
        <x:v>0.2473118267452114</x:v>
      </x:c>
      <x:c r="M128" t="str">
        <x:f>IF(COUNT(H128,J128)&lt;2,"",IF(H128*J128&gt;=0,IF(H128&gt;=0,"positive","negative"),"mixed"))</x:f>
        <x:v>positive</x:v>
      </x:c>
      <x:c r="N128" s="74" t="n">
        <x:v>46211.178455532405</x:v>
      </x:c>
      <x:c r="O128" s="19" t="n">
        <x:v>8902245</x:v>
      </x:c>
      <x:c r="P128" t="str">
        <x:v>8f7e606554926462248cbcc654181861438ca768a0063f6b317223ede37d16fb</x:v>
      </x:c>
      <x:c r="Q128" t="str">
        <x:v>factor_report/gtja191_batch/gtja_008</x:v>
      </x:c>
    </x:row>
    <x:row r="129">
      <x:c r="A129" s="50" t="n">
        <x:f>IF($C129="ranked",1+COUNTIFS($C$5:$C$190,"ranked",$L$5:$L$190,"&gt;"&amp;$L129),"")</x:f>
        <x:v>125</x:v>
      </x:c>
      <x:c r="B129" t="str">
        <x:v>gtja_048</x:v>
      </x:c>
      <x:c r="C129" t="str">
        <x:v>ranked</x:v>
      </x:c>
      <x:c r="D129" s="30" t="str">
        <x:f>IF(COUNTIFS('Raw IC'!$A$5:$A$546,$B129,'Raw IC'!$B$5:$B$546,1)=0,"",SUMIFS('Raw IC'!$F$5:$F$546,'Raw IC'!$A$5:$A$546,$B129,'Raw IC'!$B$5:$B$546,1))</x:f>
      </x:c>
      <x:c r="E129" s="30" t="str">
        <x:f>IF(COUNTIFS('Raw IC'!$A$5:$A$546,$B129,'Raw IC'!$B$5:$B$546,1)=0,"",SUMIFS('Raw IC'!$H$5:$H$546,'Raw IC'!$A$5:$A$546,$B129,'Raw IC'!$B$5:$B$546,1))</x:f>
      </x:c>
      <x:c r="F129" s="30" t="str">
        <x:f>IF(COUNTIFS('Raw IC'!$A$5:$A$546,$B129,'Raw IC'!$B$5:$B$546,5)=0,"",SUMIFS('Raw IC'!$F$5:$F$546,'Raw IC'!$A$5:$A$546,$B129,'Raw IC'!$B$5:$B$546,5))</x:f>
      </x:c>
      <x:c r="G129" s="30" t="str">
        <x:f>IF(COUNTIFS('Raw IC'!$A$5:$A$546,$B129,'Raw IC'!$B$5:$B$546,5)=0,"",SUMIFS('Raw IC'!$H$5:$H$546,'Raw IC'!$A$5:$A$546,$B129,'Raw IC'!$B$5:$B$546,5))</x:f>
      </x:c>
      <x:c r="H129" s="30" t="n">
        <x:f>IF(COUNTIFS('Raw IC'!$A$5:$A$546,$B129,'Raw IC'!$B$5:$B$546,10)=0,"",SUMIFS('Raw IC'!$F$5:$F$546,'Raw IC'!$A$5:$A$546,$B129,'Raw IC'!$B$5:$B$546,10))</x:f>
        <x:v>0.022741292802513278</x:v>
      </x:c>
      <x:c r="I129" s="30" t="n">
        <x:f>IF(COUNTIFS('Raw IC'!$A$5:$A$546,$B129,'Raw IC'!$B$5:$B$546,10)=0,"",SUMIFS('Raw IC'!$H$5:$H$546,'Raw IC'!$A$5:$A$546,$B129,'Raw IC'!$B$5:$B$546,10))</x:f>
        <x:v>0.23078660124196615</x:v>
      </x:c>
      <x:c r="J129" s="30" t="n">
        <x:f>IF(COUNTIFS('Raw IC'!$A$5:$A$546,$B129,'Raw IC'!$B$5:$B$546,20)=0,"",SUMIFS('Raw IC'!$F$5:$F$546,'Raw IC'!$A$5:$A$546,$B129,'Raw IC'!$B$5:$B$546,20))</x:f>
        <x:v>0.024154346270597194</x:v>
      </x:c>
      <x:c r="K129" s="30" t="n">
        <x:f>IF(COUNTIFS('Raw IC'!$A$5:$A$546,$B129,'Raw IC'!$B$5:$B$546,20)=0,"",SUMIFS('Raw IC'!$H$5:$H$546,'Raw IC'!$A$5:$A$546,$B129,'Raw IC'!$B$5:$B$546,20))</x:f>
        <x:v>0.2485501383134282</x:v>
      </x:c>
      <x:c r="L129" s="30" t="n">
        <x:f>IF(COUNT(I129,K129)&lt;2,"",AVERAGE(ABS(I129),ABS(K129)))</x:f>
        <x:v>0.23966836977769718</x:v>
      </x:c>
      <x:c r="M129" t="str">
        <x:f>IF(COUNT(H129,J129)&lt;2,"",IF(H129*J129&gt;=0,IF(H129&gt;=0,"positive","negative"),"mixed"))</x:f>
        <x:v>positive</x:v>
      </x:c>
      <x:c r="N129" s="74" t="n">
        <x:v>46211.27421923611</x:v>
      </x:c>
      <x:c r="O129" s="19" t="n">
        <x:v>8902245</x:v>
      </x:c>
      <x:c r="P129" t="str">
        <x:v>8f7e606554926462248cbcc654181861438ca768a0063f6b317223ede37d16fb</x:v>
      </x:c>
      <x:c r="Q129" t="str">
        <x:v>factor_report/gtja191_batch/gtja_048</x:v>
      </x:c>
    </x:row>
    <x:row r="130">
      <x:c r="A130" s="50" t="n">
        <x:f>IF($C130="ranked",1+COUNTIFS($C$5:$C$190,"ranked",$L$5:$L$190,"&gt;"&amp;$L130),"")</x:f>
        <x:v>126</x:v>
      </x:c>
      <x:c r="B130" t="str">
        <x:v>gtja_080</x:v>
      </x:c>
      <x:c r="C130" t="str">
        <x:v>ranked</x:v>
      </x:c>
      <x:c r="D130" s="30" t="str">
        <x:f>IF(COUNTIFS('Raw IC'!$A$5:$A$546,$B130,'Raw IC'!$B$5:$B$546,1)=0,"",SUMIFS('Raw IC'!$F$5:$F$546,'Raw IC'!$A$5:$A$546,$B130,'Raw IC'!$B$5:$B$546,1))</x:f>
      </x:c>
      <x:c r="E130" s="30" t="str">
        <x:f>IF(COUNTIFS('Raw IC'!$A$5:$A$546,$B130,'Raw IC'!$B$5:$B$546,1)=0,"",SUMIFS('Raw IC'!$H$5:$H$546,'Raw IC'!$A$5:$A$546,$B130,'Raw IC'!$B$5:$B$546,1))</x:f>
      </x:c>
      <x:c r="F130" s="30" t="str">
        <x:f>IF(COUNTIFS('Raw IC'!$A$5:$A$546,$B130,'Raw IC'!$B$5:$B$546,5)=0,"",SUMIFS('Raw IC'!$F$5:$F$546,'Raw IC'!$A$5:$A$546,$B130,'Raw IC'!$B$5:$B$546,5))</x:f>
      </x:c>
      <x:c r="G130" s="30" t="str">
        <x:f>IF(COUNTIFS('Raw IC'!$A$5:$A$546,$B130,'Raw IC'!$B$5:$B$546,5)=0,"",SUMIFS('Raw IC'!$H$5:$H$546,'Raw IC'!$A$5:$A$546,$B130,'Raw IC'!$B$5:$B$546,5))</x:f>
      </x:c>
      <x:c r="H130" s="30" t="n">
        <x:f>IF(COUNTIFS('Raw IC'!$A$5:$A$546,$B130,'Raw IC'!$B$5:$B$546,10)=0,"",SUMIFS('Raw IC'!$F$5:$F$546,'Raw IC'!$A$5:$A$546,$B130,'Raw IC'!$B$5:$B$546,10))</x:f>
        <x:v>-0.01708948207940634</x:v>
      </x:c>
      <x:c r="I130" s="30" t="n">
        <x:f>IF(COUNTIFS('Raw IC'!$A$5:$A$546,$B130,'Raw IC'!$B$5:$B$546,10)=0,"",SUMIFS('Raw IC'!$H$5:$H$546,'Raw IC'!$A$5:$A$546,$B130,'Raw IC'!$B$5:$B$546,10))</x:f>
        <x:v>-0.228708845431552</x:v>
      </x:c>
      <x:c r="J130" s="30" t="n">
        <x:f>IF(COUNTIFS('Raw IC'!$A$5:$A$546,$B130,'Raw IC'!$B$5:$B$546,20)=0,"",SUMIFS('Raw IC'!$F$5:$F$546,'Raw IC'!$A$5:$A$546,$B130,'Raw IC'!$B$5:$B$546,20))</x:f>
        <x:v>-0.01710208475329374</x:v>
      </x:c>
      <x:c r="K130" s="30" t="n">
        <x:f>IF(COUNTIFS('Raw IC'!$A$5:$A$546,$B130,'Raw IC'!$B$5:$B$546,20)=0,"",SUMIFS('Raw IC'!$H$5:$H$546,'Raw IC'!$A$5:$A$546,$B130,'Raw IC'!$B$5:$B$546,20))</x:f>
        <x:v>-0.23928314434345288</x:v>
      </x:c>
      <x:c r="L130" s="30" t="n">
        <x:f>IF(COUNT(I130,K130)&lt;2,"",AVERAGE(ABS(I130),ABS(K130)))</x:f>
        <x:v>0.23399599488750245</x:v>
      </x:c>
      <x:c r="M130" t="str">
        <x:f>IF(COUNT(H130,J130)&lt;2,"",IF(H130*J130&gt;=0,IF(H130&gt;=0,"positive","negative"),"mixed"))</x:f>
        <x:v>negative</x:v>
      </x:c>
      <x:c r="N130" s="74" t="n">
        <x:v>46211.31192994213</x:v>
      </x:c>
      <x:c r="O130" s="19" t="n">
        <x:v>8902245</x:v>
      </x:c>
      <x:c r="P130" t="str">
        <x:v>8f7e606554926462248cbcc654181861438ca768a0063f6b317223ede37d16fb</x:v>
      </x:c>
      <x:c r="Q130" t="str">
        <x:v>factor_report/gtja191_batch/gtja_080</x:v>
      </x:c>
    </x:row>
    <x:row r="131">
      <x:c r="A131" s="50" t="n">
        <x:f>IF($C131="ranked",1+COUNTIFS($C$5:$C$190,"ranked",$L$5:$L$190,"&gt;"&amp;$L131),"")</x:f>
        <x:v>127</x:v>
      </x:c>
      <x:c r="B131" t="str">
        <x:v>gtja_009</x:v>
      </x:c>
      <x:c r="C131" t="str">
        <x:v>ranked</x:v>
      </x:c>
      <x:c r="D131" s="30" t="n">
        <x:f>IF(COUNTIFS('Raw IC'!$A$5:$A$546,$B131,'Raw IC'!$B$5:$B$546,1)=0,"",SUMIFS('Raw IC'!$F$5:$F$546,'Raw IC'!$A$5:$A$546,$B131,'Raw IC'!$B$5:$B$546,1))</x:f>
        <x:v>-0.02543813541677694</x:v>
      </x:c>
      <x:c r="E131" s="30" t="n">
        <x:f>IF(COUNTIFS('Raw IC'!$A$5:$A$546,$B131,'Raw IC'!$B$5:$B$546,1)=0,"",SUMIFS('Raw IC'!$H$5:$H$546,'Raw IC'!$A$5:$A$546,$B131,'Raw IC'!$B$5:$B$546,1))</x:f>
        <x:v>-0.19477849839541253</x:v>
      </x:c>
      <x:c r="F131" s="30" t="n">
        <x:f>IF(COUNTIFS('Raw IC'!$A$5:$A$546,$B131,'Raw IC'!$B$5:$B$546,5)=0,"",SUMIFS('Raw IC'!$F$5:$F$546,'Raw IC'!$A$5:$A$546,$B131,'Raw IC'!$B$5:$B$546,5))</x:f>
        <x:v>-0.025800912829572056</x:v>
      </x:c>
      <x:c r="G131" s="30" t="n">
        <x:f>IF(COUNTIFS('Raw IC'!$A$5:$A$546,$B131,'Raw IC'!$B$5:$B$546,5)=0,"",SUMIFS('Raw IC'!$H$5:$H$546,'Raw IC'!$A$5:$A$546,$B131,'Raw IC'!$B$5:$B$546,5))</x:f>
        <x:v>-0.20817462920097518</x:v>
      </x:c>
      <x:c r="H131" s="30" t="n">
        <x:f>IF(COUNTIFS('Raw IC'!$A$5:$A$546,$B131,'Raw IC'!$B$5:$B$546,10)=0,"",SUMIFS('Raw IC'!$F$5:$F$546,'Raw IC'!$A$5:$A$546,$B131,'Raw IC'!$B$5:$B$546,10))</x:f>
        <x:v>-0.02588146976534059</x:v>
      </x:c>
      <x:c r="I131" s="30" t="n">
        <x:f>IF(COUNTIFS('Raw IC'!$A$5:$A$546,$B131,'Raw IC'!$B$5:$B$546,10)=0,"",SUMIFS('Raw IC'!$H$5:$H$546,'Raw IC'!$A$5:$A$546,$B131,'Raw IC'!$B$5:$B$546,10))</x:f>
        <x:v>-0.2171185453459997</x:v>
      </x:c>
      <x:c r="J131" s="30" t="n">
        <x:f>IF(COUNTIFS('Raw IC'!$A$5:$A$546,$B131,'Raw IC'!$B$5:$B$546,20)=0,"",SUMIFS('Raw IC'!$F$5:$F$546,'Raw IC'!$A$5:$A$546,$B131,'Raw IC'!$B$5:$B$546,20))</x:f>
        <x:v>-0.028851328465264607</x:v>
      </x:c>
      <x:c r="K131" s="30" t="n">
        <x:f>IF(COUNTIFS('Raw IC'!$A$5:$A$546,$B131,'Raw IC'!$B$5:$B$546,20)=0,"",SUMIFS('Raw IC'!$H$5:$H$546,'Raw IC'!$A$5:$A$546,$B131,'Raw IC'!$B$5:$B$546,20))</x:f>
        <x:v>-0.2481351972302842</x:v>
      </x:c>
      <x:c r="L131" s="30" t="n">
        <x:f>IF(COUNT(I131,K131)&lt;2,"",AVERAGE(ABS(I131),ABS(K131)))</x:f>
        <x:v>0.23262687128814197</x:v>
      </x:c>
      <x:c r="M131" t="str">
        <x:f>IF(COUNT(H131,J131)&lt;2,"",IF(H131*J131&gt;=0,IF(H131&gt;=0,"positive","negative"),"mixed"))</x:f>
        <x:v>negative</x:v>
      </x:c>
      <x:c r="N131" s="74" t="n">
        <x:v>46210.14960534722</x:v>
      </x:c>
      <x:c r="O131" s="19" t="n">
        <x:v>8902245</x:v>
      </x:c>
      <x:c r="P131" t="str">
        <x:v>40355b29bce094aef0e99358bdfd4011b92e72a54440a67760de4afae4883c33</x:v>
      </x:c>
      <x:c r="Q131" t="str">
        <x:v>factor_report/gtja191_batch/gtja_009</x:v>
      </x:c>
    </x:row>
    <x:row r="132">
      <x:c r="A132" s="50" t="n">
        <x:f>IF($C132="ranked",1+COUNTIFS($C$5:$C$190,"ranked",$L$5:$L$190,"&gt;"&amp;$L132),"")</x:f>
        <x:v>128</x:v>
      </x:c>
      <x:c r="B132" t="str">
        <x:v>gtja_026</x:v>
      </x:c>
      <x:c r="C132" t="str">
        <x:v>ranked</x:v>
      </x:c>
      <x:c r="D132" s="30" t="str">
        <x:f>IF(COUNTIFS('Raw IC'!$A$5:$A$546,$B132,'Raw IC'!$B$5:$B$546,1)=0,"",SUMIFS('Raw IC'!$F$5:$F$546,'Raw IC'!$A$5:$A$546,$B132,'Raw IC'!$B$5:$B$546,1))</x:f>
      </x:c>
      <x:c r="E132" s="30" t="str">
        <x:f>IF(COUNTIFS('Raw IC'!$A$5:$A$546,$B132,'Raw IC'!$B$5:$B$546,1)=0,"",SUMIFS('Raw IC'!$H$5:$H$546,'Raw IC'!$A$5:$A$546,$B132,'Raw IC'!$B$5:$B$546,1))</x:f>
      </x:c>
      <x:c r="F132" s="30" t="str">
        <x:f>IF(COUNTIFS('Raw IC'!$A$5:$A$546,$B132,'Raw IC'!$B$5:$B$546,5)=0,"",SUMIFS('Raw IC'!$F$5:$F$546,'Raw IC'!$A$5:$A$546,$B132,'Raw IC'!$B$5:$B$546,5))</x:f>
      </x:c>
      <x:c r="G132" s="30" t="str">
        <x:f>IF(COUNTIFS('Raw IC'!$A$5:$A$546,$B132,'Raw IC'!$B$5:$B$546,5)=0,"",SUMIFS('Raw IC'!$H$5:$H$546,'Raw IC'!$A$5:$A$546,$B132,'Raw IC'!$B$5:$B$546,5))</x:f>
      </x:c>
      <x:c r="H132" s="30" t="n">
        <x:f>IF(COUNTIFS('Raw IC'!$A$5:$A$546,$B132,'Raw IC'!$B$5:$B$546,10)=0,"",SUMIFS('Raw IC'!$F$5:$F$546,'Raw IC'!$A$5:$A$546,$B132,'Raw IC'!$B$5:$B$546,10))</x:f>
        <x:v>0.027736643204687658</x:v>
      </x:c>
      <x:c r="I132" s="30" t="n">
        <x:f>IF(COUNTIFS('Raw IC'!$A$5:$A$546,$B132,'Raw IC'!$B$5:$B$546,10)=0,"",SUMIFS('Raw IC'!$H$5:$H$546,'Raw IC'!$A$5:$A$546,$B132,'Raw IC'!$B$5:$B$546,10))</x:f>
        <x:v>0.2162377010623079</x:v>
      </x:c>
      <x:c r="J132" s="30" t="n">
        <x:f>IF(COUNTIFS('Raw IC'!$A$5:$A$546,$B132,'Raw IC'!$B$5:$B$546,20)=0,"",SUMIFS('Raw IC'!$F$5:$F$546,'Raw IC'!$A$5:$A$546,$B132,'Raw IC'!$B$5:$B$546,20))</x:f>
        <x:v>0.030547769477213424</x:v>
      </x:c>
      <x:c r="K132" s="30" t="n">
        <x:f>IF(COUNTIFS('Raw IC'!$A$5:$A$546,$B132,'Raw IC'!$B$5:$B$546,20)=0,"",SUMIFS('Raw IC'!$H$5:$H$546,'Raw IC'!$A$5:$A$546,$B132,'Raw IC'!$B$5:$B$546,20))</x:f>
        <x:v>0.24708635250285738</x:v>
      </x:c>
      <x:c r="L132" s="30" t="n">
        <x:f>IF(COUNT(I132,K132)&lt;2,"",AVERAGE(ABS(I132),ABS(K132)))</x:f>
        <x:v>0.23166202678258263</x:v>
      </x:c>
      <x:c r="M132" t="str">
        <x:f>IF(COUNT(H132,J132)&lt;2,"",IF(H132*J132&gt;=0,IF(H132&gt;=0,"positive","negative"),"mixed"))</x:f>
        <x:v>positive</x:v>
      </x:c>
      <x:c r="N132" s="74" t="n">
        <x:v>46211.21334347222</x:v>
      </x:c>
      <x:c r="O132" s="19" t="n">
        <x:v>8902245</x:v>
      </x:c>
      <x:c r="P132" t="str">
        <x:v>8f7e606554926462248cbcc654181861438ca768a0063f6b317223ede37d16fb</x:v>
      </x:c>
      <x:c r="Q132" t="str">
        <x:v>factor_report/gtja191_batch/gtja_026</x:v>
      </x:c>
    </x:row>
    <x:row r="133">
      <x:c r="A133" s="50" t="n">
        <x:f>IF($C133="ranked",1+COUNTIFS($C$5:$C$190,"ranked",$L$5:$L$190,"&gt;"&amp;$L133),"")</x:f>
        <x:v>129</x:v>
      </x:c>
      <x:c r="B133" t="str">
        <x:v>gtja_093</x:v>
      </x:c>
      <x:c r="C133" t="str">
        <x:v>ranked</x:v>
      </x:c>
      <x:c r="D133" s="30" t="n">
        <x:f>IF(COUNTIFS('Raw IC'!$A$5:$A$546,$B133,'Raw IC'!$B$5:$B$546,1)=0,"",SUMIFS('Raw IC'!$F$5:$F$546,'Raw IC'!$A$5:$A$546,$B133,'Raw IC'!$B$5:$B$546,1))</x:f>
        <x:v>-0.019563766405308748</x:v>
      </x:c>
      <x:c r="E133" s="30" t="n">
        <x:f>IF(COUNTIFS('Raw IC'!$A$5:$A$546,$B133,'Raw IC'!$B$5:$B$546,1)=0,"",SUMIFS('Raw IC'!$H$5:$H$546,'Raw IC'!$A$5:$A$546,$B133,'Raw IC'!$B$5:$B$546,1))</x:f>
        <x:v>-0.1103459603865163</x:v>
      </x:c>
      <x:c r="F133" s="30" t="n">
        <x:f>IF(COUNTIFS('Raw IC'!$A$5:$A$546,$B133,'Raw IC'!$B$5:$B$546,5)=0,"",SUMIFS('Raw IC'!$F$5:$F$546,'Raw IC'!$A$5:$A$546,$B133,'Raw IC'!$B$5:$B$546,5))</x:f>
        <x:v>-0.029259202792010844</x:v>
      </x:c>
      <x:c r="G133" s="30" t="n">
        <x:f>IF(COUNTIFS('Raw IC'!$A$5:$A$546,$B133,'Raw IC'!$B$5:$B$546,5)=0,"",SUMIFS('Raw IC'!$H$5:$H$546,'Raw IC'!$A$5:$A$546,$B133,'Raw IC'!$B$5:$B$546,5))</x:f>
        <x:v>-0.16102650086495926</x:v>
      </x:c>
      <x:c r="H133" s="30" t="n">
        <x:f>IF(COUNTIFS('Raw IC'!$A$5:$A$546,$B133,'Raw IC'!$B$5:$B$546,10)=0,"",SUMIFS('Raw IC'!$F$5:$F$546,'Raw IC'!$A$5:$A$546,$B133,'Raw IC'!$B$5:$B$546,10))</x:f>
        <x:v>-0.0374173145148579</x:v>
      </x:c>
      <x:c r="I133" s="30" t="n">
        <x:f>IF(COUNTIFS('Raw IC'!$A$5:$A$546,$B133,'Raw IC'!$B$5:$B$546,10)=0,"",SUMIFS('Raw IC'!$H$5:$H$546,'Raw IC'!$A$5:$A$546,$B133,'Raw IC'!$B$5:$B$546,10))</x:f>
        <x:v>-0.1997198805928793</x:v>
      </x:c>
      <x:c r="J133" s="30" t="n">
        <x:f>IF(COUNTIFS('Raw IC'!$A$5:$A$546,$B133,'Raw IC'!$B$5:$B$546,20)=0,"",SUMIFS('Raw IC'!$F$5:$F$546,'Raw IC'!$A$5:$A$546,$B133,'Raw IC'!$B$5:$B$546,20))</x:f>
        <x:v>-0.048838455327472906</x:v>
      </x:c>
      <x:c r="K133" s="30" t="n">
        <x:f>IF(COUNTIFS('Raw IC'!$A$5:$A$546,$B133,'Raw IC'!$B$5:$B$546,20)=0,"",SUMIFS('Raw IC'!$H$5:$H$546,'Raw IC'!$A$5:$A$546,$B133,'Raw IC'!$B$5:$B$546,20))</x:f>
        <x:v>-0.25807462105825696</x:v>
      </x:c>
      <x:c r="L133" s="30" t="n">
        <x:f>IF(COUNT(I133,K133)&lt;2,"",AVERAGE(ABS(I133),ABS(K133)))</x:f>
        <x:v>0.2288972508255681</x:v>
      </x:c>
      <x:c r="M133" t="str">
        <x:f>IF(COUNT(H133,J133)&lt;2,"",IF(H133*J133&gt;=0,IF(H133&gt;=0,"positive","negative"),"mixed"))</x:f>
        <x:v>negative</x:v>
      </x:c>
      <x:c r="N133" s="74" t="n">
        <x:v>46210.543900254626</x:v>
      </x:c>
      <x:c r="O133" s="19" t="n">
        <x:v>8902245</x:v>
      </x:c>
      <x:c r="P133" t="str">
        <x:v>40355b29bce094aef0e99358bdfd4011b92e72a54440a67760de4afae4883c33</x:v>
      </x:c>
      <x:c r="Q133" t="str">
        <x:v>factor_report/gtja191_batch/gtja_093</x:v>
      </x:c>
    </x:row>
    <x:row r="134">
      <x:c r="A134" s="50" t="n">
        <x:f>IF($C134="ranked",1+COUNTIFS($C$5:$C$190,"ranked",$L$5:$L$190,"&gt;"&amp;$L134),"")</x:f>
        <x:v>130</x:v>
      </x:c>
      <x:c r="B134" t="str">
        <x:v>gtja_017</x:v>
      </x:c>
      <x:c r="C134" t="str">
        <x:v>ranked</x:v>
      </x:c>
      <x:c r="D134" s="30" t="str">
        <x:f>IF(COUNTIFS('Raw IC'!$A$5:$A$546,$B134,'Raw IC'!$B$5:$B$546,1)=0,"",SUMIFS('Raw IC'!$F$5:$F$546,'Raw IC'!$A$5:$A$546,$B134,'Raw IC'!$B$5:$B$546,1))</x:f>
      </x:c>
      <x:c r="E134" s="30" t="str">
        <x:f>IF(COUNTIFS('Raw IC'!$A$5:$A$546,$B134,'Raw IC'!$B$5:$B$546,1)=0,"",SUMIFS('Raw IC'!$H$5:$H$546,'Raw IC'!$A$5:$A$546,$B134,'Raw IC'!$B$5:$B$546,1))</x:f>
      </x:c>
      <x:c r="F134" s="30" t="str">
        <x:f>IF(COUNTIFS('Raw IC'!$A$5:$A$546,$B134,'Raw IC'!$B$5:$B$546,5)=0,"",SUMIFS('Raw IC'!$F$5:$F$546,'Raw IC'!$A$5:$A$546,$B134,'Raw IC'!$B$5:$B$546,5))</x:f>
      </x:c>
      <x:c r="G134" s="30" t="str">
        <x:f>IF(COUNTIFS('Raw IC'!$A$5:$A$546,$B134,'Raw IC'!$B$5:$B$546,5)=0,"",SUMIFS('Raw IC'!$H$5:$H$546,'Raw IC'!$A$5:$A$546,$B134,'Raw IC'!$B$5:$B$546,5))</x:f>
      </x:c>
      <x:c r="H134" s="30" t="n">
        <x:f>IF(COUNTIFS('Raw IC'!$A$5:$A$546,$B134,'Raw IC'!$B$5:$B$546,10)=0,"",SUMIFS('Raw IC'!$F$5:$F$546,'Raw IC'!$A$5:$A$546,$B134,'Raw IC'!$B$5:$B$546,10))</x:f>
        <x:v>0.026452121278683006</x:v>
      </x:c>
      <x:c r="I134" s="30" t="n">
        <x:f>IF(COUNTIFS('Raw IC'!$A$5:$A$546,$B134,'Raw IC'!$B$5:$B$546,10)=0,"",SUMIFS('Raw IC'!$H$5:$H$546,'Raw IC'!$A$5:$A$546,$B134,'Raw IC'!$B$5:$B$546,10))</x:f>
        <x:v>0.21149085981886837</x:v>
      </x:c>
      <x:c r="J134" s="30" t="n">
        <x:f>IF(COUNTIFS('Raw IC'!$A$5:$A$546,$B134,'Raw IC'!$B$5:$B$546,20)=0,"",SUMIFS('Raw IC'!$F$5:$F$546,'Raw IC'!$A$5:$A$546,$B134,'Raw IC'!$B$5:$B$546,20))</x:f>
        <x:v>0.02944576464845126</x:v>
      </x:c>
      <x:c r="K134" s="30" t="n">
        <x:f>IF(COUNTIFS('Raw IC'!$A$5:$A$546,$B134,'Raw IC'!$B$5:$B$546,20)=0,"",SUMIFS('Raw IC'!$H$5:$H$546,'Raw IC'!$A$5:$A$546,$B134,'Raw IC'!$B$5:$B$546,20))</x:f>
        <x:v>0.24386144562042228</x:v>
      </x:c>
      <x:c r="L134" s="30" t="n">
        <x:f>IF(COUNT(I134,K134)&lt;2,"",AVERAGE(ABS(I134),ABS(K134)))</x:f>
        <x:v>0.2276761527196453</x:v>
      </x:c>
      <x:c r="M134" t="str">
        <x:f>IF(COUNT(H134,J134)&lt;2,"",IF(H134*J134&gt;=0,IF(H134&gt;=0,"positive","negative"),"mixed"))</x:f>
        <x:v>positive</x:v>
      </x:c>
      <x:c r="N134" s="74" t="n">
        <x:v>46211.200878738426</x:v>
      </x:c>
      <x:c r="O134" s="19" t="n">
        <x:v>8902245</x:v>
      </x:c>
      <x:c r="P134" t="str">
        <x:v>8f7e606554926462248cbcc654181861438ca768a0063f6b317223ede37d16fb</x:v>
      </x:c>
      <x:c r="Q134" t="str">
        <x:v>factor_report/gtja191_batch/gtja_017</x:v>
      </x:c>
    </x:row>
    <x:row r="135">
      <x:c r="A135" s="50" t="n">
        <x:f>IF($C135="ranked",1+COUNTIFS($C$5:$C$190,"ranked",$L$5:$L$190,"&gt;"&amp;$L135),"")</x:f>
        <x:v>131</x:v>
      </x:c>
      <x:c r="B135" t="str">
        <x:v>gtja_025</x:v>
      </x:c>
      <x:c r="C135" t="str">
        <x:v>ranked</x:v>
      </x:c>
      <x:c r="D135" s="30" t="str">
        <x:f>IF(COUNTIFS('Raw IC'!$A$5:$A$546,$B135,'Raw IC'!$B$5:$B$546,1)=0,"",SUMIFS('Raw IC'!$F$5:$F$546,'Raw IC'!$A$5:$A$546,$B135,'Raw IC'!$B$5:$B$546,1))</x:f>
      </x:c>
      <x:c r="E135" s="30" t="str">
        <x:f>IF(COUNTIFS('Raw IC'!$A$5:$A$546,$B135,'Raw IC'!$B$5:$B$546,1)=0,"",SUMIFS('Raw IC'!$H$5:$H$546,'Raw IC'!$A$5:$A$546,$B135,'Raw IC'!$B$5:$B$546,1))</x:f>
      </x:c>
      <x:c r="F135" s="30" t="str">
        <x:f>IF(COUNTIFS('Raw IC'!$A$5:$A$546,$B135,'Raw IC'!$B$5:$B$546,5)=0,"",SUMIFS('Raw IC'!$F$5:$F$546,'Raw IC'!$A$5:$A$546,$B135,'Raw IC'!$B$5:$B$546,5))</x:f>
      </x:c>
      <x:c r="G135" s="30" t="str">
        <x:f>IF(COUNTIFS('Raw IC'!$A$5:$A$546,$B135,'Raw IC'!$B$5:$B$546,5)=0,"",SUMIFS('Raw IC'!$H$5:$H$546,'Raw IC'!$A$5:$A$546,$B135,'Raw IC'!$B$5:$B$546,5))</x:f>
      </x:c>
      <x:c r="H135" s="30" t="n">
        <x:f>IF(COUNTIFS('Raw IC'!$A$5:$A$546,$B135,'Raw IC'!$B$5:$B$546,10)=0,"",SUMIFS('Raw IC'!$F$5:$F$546,'Raw IC'!$A$5:$A$546,$B135,'Raw IC'!$B$5:$B$546,10))</x:f>
        <x:v>0.02562738492603111</x:v>
      </x:c>
      <x:c r="I135" s="30" t="n">
        <x:f>IF(COUNTIFS('Raw IC'!$A$5:$A$546,$B135,'Raw IC'!$B$5:$B$546,10)=0,"",SUMIFS('Raw IC'!$H$5:$H$546,'Raw IC'!$A$5:$A$546,$B135,'Raw IC'!$B$5:$B$546,10))</x:f>
        <x:v>0.20509456164650175</x:v>
      </x:c>
      <x:c r="J135" s="30" t="n">
        <x:f>IF(COUNTIFS('Raw IC'!$A$5:$A$546,$B135,'Raw IC'!$B$5:$B$546,20)=0,"",SUMIFS('Raw IC'!$F$5:$F$546,'Raw IC'!$A$5:$A$546,$B135,'Raw IC'!$B$5:$B$546,20))</x:f>
        <x:v>0.0303902036840893</x:v>
      </x:c>
      <x:c r="K135" s="30" t="n">
        <x:f>IF(COUNTIFS('Raw IC'!$A$5:$A$546,$B135,'Raw IC'!$B$5:$B$546,20)=0,"",SUMIFS('Raw IC'!$H$5:$H$546,'Raw IC'!$A$5:$A$546,$B135,'Raw IC'!$B$5:$B$546,20))</x:f>
        <x:v>0.2459100371516621</x:v>
      </x:c>
      <x:c r="L135" s="30" t="n">
        <x:f>IF(COUNT(I135,K135)&lt;2,"",AVERAGE(ABS(I135),ABS(K135)))</x:f>
        <x:v>0.22550229939908192</x:v>
      </x:c>
      <x:c r="M135" t="str">
        <x:f>IF(COUNT(H135,J135)&lt;2,"",IF(H135*J135&gt;=0,IF(H135&gt;=0,"positive","negative"),"mixed"))</x:f>
        <x:v>positive</x:v>
      </x:c>
      <x:c r="N135" s="74" t="n">
        <x:v>46211.209765810185</x:v>
      </x:c>
      <x:c r="O135" s="19" t="n">
        <x:v>8902245</x:v>
      </x:c>
      <x:c r="P135" t="str">
        <x:v>8f7e606554926462248cbcc654181861438ca768a0063f6b317223ede37d16fb</x:v>
      </x:c>
      <x:c r="Q135" t="str">
        <x:v>factor_report/gtja191_batch/gtja_025</x:v>
      </x:c>
    </x:row>
    <x:row r="136">
      <x:c r="A136" s="50" t="n">
        <x:f>IF($C136="ranked",1+COUNTIFS($C$5:$C$190,"ranked",$L$5:$L$190,"&gt;"&amp;$L136),"")</x:f>
        <x:v>132</x:v>
      </x:c>
      <x:c r="B136" t="str">
        <x:v>gtja_152</x:v>
      </x:c>
      <x:c r="C136" t="str">
        <x:v>ranked</x:v>
      </x:c>
      <x:c r="D136" s="30" t="n">
        <x:f>IF(COUNTIFS('Raw IC'!$A$5:$A$546,$B136,'Raw IC'!$B$5:$B$546,1)=0,"",SUMIFS('Raw IC'!$F$5:$F$546,'Raw IC'!$A$5:$A$546,$B136,'Raw IC'!$B$5:$B$546,1))</x:f>
        <x:v>-0.01459540524139156</x:v>
      </x:c>
      <x:c r="E136" s="30" t="n">
        <x:f>IF(COUNTIFS('Raw IC'!$A$5:$A$546,$B136,'Raw IC'!$B$5:$B$546,1)=0,"",SUMIFS('Raw IC'!$H$5:$H$546,'Raw IC'!$A$5:$A$546,$B136,'Raw IC'!$B$5:$B$546,1))</x:f>
        <x:v>-0.11525764933640832</x:v>
      </x:c>
      <x:c r="F136" s="30" t="n">
        <x:f>IF(COUNTIFS('Raw IC'!$A$5:$A$546,$B136,'Raw IC'!$B$5:$B$546,5)=0,"",SUMIFS('Raw IC'!$F$5:$F$546,'Raw IC'!$A$5:$A$546,$B136,'Raw IC'!$B$5:$B$546,5))</x:f>
        <x:v>-0.023532595295527762</x:v>
      </x:c>
      <x:c r="G136" s="30" t="n">
        <x:f>IF(COUNTIFS('Raw IC'!$A$5:$A$546,$B136,'Raw IC'!$B$5:$B$546,5)=0,"",SUMIFS('Raw IC'!$H$5:$H$546,'Raw IC'!$A$5:$A$546,$B136,'Raw IC'!$B$5:$B$546,5))</x:f>
        <x:v>-0.18664903754957068</x:v>
      </x:c>
      <x:c r="H136" s="30" t="n">
        <x:f>IF(COUNTIFS('Raw IC'!$A$5:$A$546,$B136,'Raw IC'!$B$5:$B$546,10)=0,"",SUMIFS('Raw IC'!$F$5:$F$546,'Raw IC'!$A$5:$A$546,$B136,'Raw IC'!$B$5:$B$546,10))</x:f>
        <x:v>-0.027070408073359118</x:v>
      </x:c>
      <x:c r="I136" s="30" t="n">
        <x:f>IF(COUNTIFS('Raw IC'!$A$5:$A$546,$B136,'Raw IC'!$B$5:$B$546,10)=0,"",SUMIFS('Raw IC'!$H$5:$H$546,'Raw IC'!$A$5:$A$546,$B136,'Raw IC'!$B$5:$B$546,10))</x:f>
        <x:v>-0.21151008346508282</x:v>
      </x:c>
      <x:c r="J136" s="30" t="n">
        <x:f>IF(COUNTIFS('Raw IC'!$A$5:$A$546,$B136,'Raw IC'!$B$5:$B$546,20)=0,"",SUMIFS('Raw IC'!$F$5:$F$546,'Raw IC'!$A$5:$A$546,$B136,'Raw IC'!$B$5:$B$546,20))</x:f>
        <x:v>-0.0303796035749371</x:v>
      </x:c>
      <x:c r="K136" s="30" t="n">
        <x:f>IF(COUNTIFS('Raw IC'!$A$5:$A$546,$B136,'Raw IC'!$B$5:$B$546,20)=0,"",SUMIFS('Raw IC'!$H$5:$H$546,'Raw IC'!$A$5:$A$546,$B136,'Raw IC'!$B$5:$B$546,20))</x:f>
        <x:v>-0.23766591410056254</x:v>
      </x:c>
      <x:c r="L136" s="30" t="n">
        <x:f>IF(COUNT(I136,K136)&lt;2,"",AVERAGE(ABS(I136),ABS(K136)))</x:f>
        <x:v>0.22458799878282268</x:v>
      </x:c>
      <x:c r="M136" t="str">
        <x:f>IF(COUNT(H136,J136)&lt;2,"",IF(H136*J136&gt;=0,IF(H136&gt;=0,"positive","negative"),"mixed"))</x:f>
        <x:v>negative</x:v>
      </x:c>
      <x:c r="N136" s="74" t="n">
        <x:v>46210.823093680556</x:v>
      </x:c>
      <x:c r="O136" s="19" t="n">
        <x:v>8902245</x:v>
      </x:c>
      <x:c r="P136" t="str">
        <x:v>40355b29bce094aef0e99358bdfd4011b92e72a54440a67760de4afae4883c33</x:v>
      </x:c>
      <x:c r="Q136" t="str">
        <x:v>factor_report/gtja191_batch/gtja_152</x:v>
      </x:c>
    </x:row>
    <x:row r="137">
      <x:c r="A137" s="50" t="n">
        <x:f>IF($C137="ranked",1+COUNTIFS($C$5:$C$190,"ranked",$L$5:$L$190,"&gt;"&amp;$L137),"")</x:f>
        <x:v>133</x:v>
      </x:c>
      <x:c r="B137" t="str">
        <x:v>gtja_143</x:v>
      </x:c>
      <x:c r="C137" t="str">
        <x:v>ranked</x:v>
      </x:c>
      <x:c r="D137" s="30" t="n">
        <x:f>IF(COUNTIFS('Raw IC'!$A$5:$A$546,$B137,'Raw IC'!$B$5:$B$546,1)=0,"",SUMIFS('Raw IC'!$F$5:$F$546,'Raw IC'!$A$5:$A$546,$B137,'Raw IC'!$B$5:$B$546,1))</x:f>
        <x:v>-0.012789547134223096</x:v>
      </x:c>
      <x:c r="E137" s="30" t="n">
        <x:f>IF(COUNTIFS('Raw IC'!$A$5:$A$546,$B137,'Raw IC'!$B$5:$B$546,1)=0,"",SUMIFS('Raw IC'!$H$5:$H$546,'Raw IC'!$A$5:$A$546,$B137,'Raw IC'!$B$5:$B$546,1))</x:f>
        <x:v>-0.11038213345826195</x:v>
      </x:c>
      <x:c r="F137" s="30" t="n">
        <x:f>IF(COUNTIFS('Raw IC'!$A$5:$A$546,$B137,'Raw IC'!$B$5:$B$546,5)=0,"",SUMIFS('Raw IC'!$F$5:$F$546,'Raw IC'!$A$5:$A$546,$B137,'Raw IC'!$B$5:$B$546,5))</x:f>
        <x:v>-0.018380086872813808</x:v>
      </x:c>
      <x:c r="G137" s="30" t="n">
        <x:f>IF(COUNTIFS('Raw IC'!$A$5:$A$546,$B137,'Raw IC'!$B$5:$B$546,5)=0,"",SUMIFS('Raw IC'!$H$5:$H$546,'Raw IC'!$A$5:$A$546,$B137,'Raw IC'!$B$5:$B$546,5))</x:f>
        <x:v>-0.1638698705950972</x:v>
      </x:c>
      <x:c r="H137" s="30" t="n">
        <x:f>IF(COUNTIFS('Raw IC'!$A$5:$A$546,$B137,'Raw IC'!$B$5:$B$546,10)=0,"",SUMIFS('Raw IC'!$F$5:$F$546,'Raw IC'!$A$5:$A$546,$B137,'Raw IC'!$B$5:$B$546,10))</x:f>
        <x:v>-0.021687967404591352</x:v>
      </x:c>
      <x:c r="I137" s="30" t="n">
        <x:f>IF(COUNTIFS('Raw IC'!$A$5:$A$546,$B137,'Raw IC'!$B$5:$B$546,10)=0,"",SUMIFS('Raw IC'!$H$5:$H$546,'Raw IC'!$A$5:$A$546,$B137,'Raw IC'!$B$5:$B$546,10))</x:f>
        <x:v>-0.2004055322312728</x:v>
      </x:c>
      <x:c r="J137" s="30" t="n">
        <x:f>IF(COUNTIFS('Raw IC'!$A$5:$A$546,$B137,'Raw IC'!$B$5:$B$546,20)=0,"",SUMIFS('Raw IC'!$F$5:$F$546,'Raw IC'!$A$5:$A$546,$B137,'Raw IC'!$B$5:$B$546,20))</x:f>
        <x:v>-0.026709392101047096</x:v>
      </x:c>
      <x:c r="K137" s="30" t="n">
        <x:f>IF(COUNTIFS('Raw IC'!$A$5:$A$546,$B137,'Raw IC'!$B$5:$B$546,20)=0,"",SUMIFS('Raw IC'!$H$5:$H$546,'Raw IC'!$A$5:$A$546,$B137,'Raw IC'!$B$5:$B$546,20))</x:f>
        <x:v>-0.24757736891036491</x:v>
      </x:c>
      <x:c r="L137" s="30" t="n">
        <x:f>IF(COUNT(I137,K137)&lt;2,"",AVERAGE(ABS(I137),ABS(K137)))</x:f>
        <x:v>0.22399145057081887</x:v>
      </x:c>
      <x:c r="M137" t="str">
        <x:f>IF(COUNT(H137,J137)&lt;2,"",IF(H137*J137&gt;=0,IF(H137&gt;=0,"positive","negative"),"mixed"))</x:f>
        <x:v>negative</x:v>
      </x:c>
      <x:c r="N137" s="74" t="n">
        <x:v>46210.787863425925</x:v>
      </x:c>
      <x:c r="O137" s="19" t="n">
        <x:v>8902245</x:v>
      </x:c>
      <x:c r="P137" t="str">
        <x:v>40355b29bce094aef0e99358bdfd4011b92e72a54440a67760de4afae4883c33</x:v>
      </x:c>
      <x:c r="Q137" t="str">
        <x:v>factor_report/gtja191_batch/gtja_143</x:v>
      </x:c>
    </x:row>
    <x:row r="138">
      <x:c r="A138" s="50" t="n">
        <x:f>IF($C138="ranked",1+COUNTIFS($C$5:$C$190,"ranked",$L$5:$L$190,"&gt;"&amp;$L138),"")</x:f>
        <x:v>134</x:v>
      </x:c>
      <x:c r="B138" t="str">
        <x:v>gtja_183</x:v>
      </x:c>
      <x:c r="C138" t="str">
        <x:v>ranked</x:v>
      </x:c>
      <x:c r="D138" s="30" t="str">
        <x:f>IF(COUNTIFS('Raw IC'!$A$5:$A$546,$B138,'Raw IC'!$B$5:$B$546,1)=0,"",SUMIFS('Raw IC'!$F$5:$F$546,'Raw IC'!$A$5:$A$546,$B138,'Raw IC'!$B$5:$B$546,1))</x:f>
      </x:c>
      <x:c r="E138" s="30" t="str">
        <x:f>IF(COUNTIFS('Raw IC'!$A$5:$A$546,$B138,'Raw IC'!$B$5:$B$546,1)=0,"",SUMIFS('Raw IC'!$H$5:$H$546,'Raw IC'!$A$5:$A$546,$B138,'Raw IC'!$B$5:$B$546,1))</x:f>
      </x:c>
      <x:c r="F138" s="30" t="str">
        <x:f>IF(COUNTIFS('Raw IC'!$A$5:$A$546,$B138,'Raw IC'!$B$5:$B$546,5)=0,"",SUMIFS('Raw IC'!$F$5:$F$546,'Raw IC'!$A$5:$A$546,$B138,'Raw IC'!$B$5:$B$546,5))</x:f>
      </x:c>
      <x:c r="G138" s="30" t="str">
        <x:f>IF(COUNTIFS('Raw IC'!$A$5:$A$546,$B138,'Raw IC'!$B$5:$B$546,5)=0,"",SUMIFS('Raw IC'!$H$5:$H$546,'Raw IC'!$A$5:$A$546,$B138,'Raw IC'!$B$5:$B$546,5))</x:f>
      </x:c>
      <x:c r="H138" s="30" t="n">
        <x:f>IF(COUNTIFS('Raw IC'!$A$5:$A$546,$B138,'Raw IC'!$B$5:$B$546,10)=0,"",SUMIFS('Raw IC'!$F$5:$F$546,'Raw IC'!$A$5:$A$546,$B138,'Raw IC'!$B$5:$B$546,10))</x:f>
        <x:v>0.01674646395746224</x:v>
      </x:c>
      <x:c r="I138" s="30" t="n">
        <x:f>IF(COUNTIFS('Raw IC'!$A$5:$A$546,$B138,'Raw IC'!$B$5:$B$546,10)=0,"",SUMIFS('Raw IC'!$H$5:$H$546,'Raw IC'!$A$5:$A$546,$B138,'Raw IC'!$B$5:$B$546,10))</x:f>
        <x:v>0.1938824115479992</x:v>
      </x:c>
      <x:c r="J138" s="30" t="n">
        <x:f>IF(COUNTIFS('Raw IC'!$A$5:$A$546,$B138,'Raw IC'!$B$5:$B$546,20)=0,"",SUMIFS('Raw IC'!$F$5:$F$546,'Raw IC'!$A$5:$A$546,$B138,'Raw IC'!$B$5:$B$546,20))</x:f>
        <x:v>0.01964685471091268</x:v>
      </x:c>
      <x:c r="K138" s="30" t="n">
        <x:f>IF(COUNTIFS('Raw IC'!$A$5:$A$546,$B138,'Raw IC'!$B$5:$B$546,20)=0,"",SUMIFS('Raw IC'!$H$5:$H$546,'Raw IC'!$A$5:$A$546,$B138,'Raw IC'!$B$5:$B$546,20))</x:f>
        <x:v>0.23925093062604616</x:v>
      </x:c>
      <x:c r="L138" s="30" t="n">
        <x:f>IF(COUNT(I138,K138)&lt;2,"",AVERAGE(ABS(I138),ABS(K138)))</x:f>
        <x:v>0.21656667108702268</x:v>
      </x:c>
      <x:c r="M138" t="str">
        <x:f>IF(COUNT(H138,J138)&lt;2,"",IF(H138*J138&gt;=0,IF(H138&gt;=0,"positive","negative"),"mixed"))</x:f>
        <x:v>positive</x:v>
      </x:c>
      <x:c r="N138" s="74" t="n">
        <x:v>46211.5411328125</x:v>
      </x:c>
      <x:c r="O138" s="19" t="n">
        <x:v>8902245</x:v>
      </x:c>
      <x:c r="P138" t="str">
        <x:v>8f7e606554926462248cbcc654181861438ca768a0063f6b317223ede37d16fb</x:v>
      </x:c>
      <x:c r="Q138" t="str">
        <x:v>factor_report/gtja191_batch/gtja_183</x:v>
      </x:c>
    </x:row>
    <x:row r="139">
      <x:c r="A139" s="50" t="n">
        <x:f>IF($C139="ranked",1+COUNTIFS($C$5:$C$190,"ranked",$L$5:$L$190,"&gt;"&amp;$L139),"")</x:f>
        <x:v>135</x:v>
      </x:c>
      <x:c r="B139" t="str">
        <x:v>gtja_065</x:v>
      </x:c>
      <x:c r="C139" t="str">
        <x:v>ranked</x:v>
      </x:c>
      <x:c r="D139" s="30" t="str">
        <x:f>IF(COUNTIFS('Raw IC'!$A$5:$A$546,$B139,'Raw IC'!$B$5:$B$546,1)=0,"",SUMIFS('Raw IC'!$F$5:$F$546,'Raw IC'!$A$5:$A$546,$B139,'Raw IC'!$B$5:$B$546,1))</x:f>
      </x:c>
      <x:c r="E139" s="30" t="str">
        <x:f>IF(COUNTIFS('Raw IC'!$A$5:$A$546,$B139,'Raw IC'!$B$5:$B$546,1)=0,"",SUMIFS('Raw IC'!$H$5:$H$546,'Raw IC'!$A$5:$A$546,$B139,'Raw IC'!$B$5:$B$546,1))</x:f>
      </x:c>
      <x:c r="F139" s="30" t="str">
        <x:f>IF(COUNTIFS('Raw IC'!$A$5:$A$546,$B139,'Raw IC'!$B$5:$B$546,5)=0,"",SUMIFS('Raw IC'!$F$5:$F$546,'Raw IC'!$A$5:$A$546,$B139,'Raw IC'!$B$5:$B$546,5))</x:f>
      </x:c>
      <x:c r="G139" s="30" t="str">
        <x:f>IF(COUNTIFS('Raw IC'!$A$5:$A$546,$B139,'Raw IC'!$B$5:$B$546,5)=0,"",SUMIFS('Raw IC'!$H$5:$H$546,'Raw IC'!$A$5:$A$546,$B139,'Raw IC'!$B$5:$B$546,5))</x:f>
      </x:c>
      <x:c r="H139" s="30" t="n">
        <x:f>IF(COUNTIFS('Raw IC'!$A$5:$A$546,$B139,'Raw IC'!$B$5:$B$546,10)=0,"",SUMIFS('Raw IC'!$F$5:$F$546,'Raw IC'!$A$5:$A$546,$B139,'Raw IC'!$B$5:$B$546,10))</x:f>
        <x:v>0.025976389900272553</x:v>
      </x:c>
      <x:c r="I139" s="30" t="n">
        <x:f>IF(COUNTIFS('Raw IC'!$A$5:$A$546,$B139,'Raw IC'!$B$5:$B$546,10)=0,"",SUMIFS('Raw IC'!$H$5:$H$546,'Raw IC'!$A$5:$A$546,$B139,'Raw IC'!$B$5:$B$546,10))</x:f>
        <x:v>0.2025550377961323</x:v>
      </x:c>
      <x:c r="J139" s="30" t="n">
        <x:f>IF(COUNTIFS('Raw IC'!$A$5:$A$546,$B139,'Raw IC'!$B$5:$B$546,20)=0,"",SUMIFS('Raw IC'!$F$5:$F$546,'Raw IC'!$A$5:$A$546,$B139,'Raw IC'!$B$5:$B$546,20))</x:f>
        <x:v>0.028293083254012495</x:v>
      </x:c>
      <x:c r="K139" s="30" t="n">
        <x:f>IF(COUNTIFS('Raw IC'!$A$5:$A$546,$B139,'Raw IC'!$B$5:$B$546,20)=0,"",SUMIFS('Raw IC'!$H$5:$H$546,'Raw IC'!$A$5:$A$546,$B139,'Raw IC'!$B$5:$B$546,20))</x:f>
        <x:v>0.22474451883555766</x:v>
      </x:c>
      <x:c r="L139" s="30" t="n">
        <x:f>IF(COUNT(I139,K139)&lt;2,"",AVERAGE(ABS(I139),ABS(K139)))</x:f>
        <x:v>0.21364977831584497</x:v>
      </x:c>
      <x:c r="M139" t="str">
        <x:f>IF(COUNT(H139,J139)&lt;2,"",IF(H139*J139&gt;=0,IF(H139&gt;=0,"positive","negative"),"mixed"))</x:f>
        <x:v>positive</x:v>
      </x:c>
      <x:c r="N139" s="74" t="n">
        <x:v>46211.29584099537</x:v>
      </x:c>
      <x:c r="O139" s="19" t="n">
        <x:v>8902245</x:v>
      </x:c>
      <x:c r="P139" t="str">
        <x:v>8f7e606554926462248cbcc654181861438ca768a0063f6b317223ede37d16fb</x:v>
      </x:c>
      <x:c r="Q139" t="str">
        <x:v>factor_report/gtja191_batch/gtja_065</x:v>
      </x:c>
    </x:row>
    <x:row r="140">
      <x:c r="A140" s="50" t="n">
        <x:f>IF($C140="ranked",1+COUNTIFS($C$5:$C$190,"ranked",$L$5:$L$190,"&gt;"&amp;$L140),"")</x:f>
        <x:v>136</x:v>
      </x:c>
      <x:c r="B140" t="str">
        <x:v>gtja_066</x:v>
      </x:c>
      <x:c r="C140" t="str">
        <x:v>ranked</x:v>
      </x:c>
      <x:c r="D140" s="30" t="n">
        <x:f>IF(COUNTIFS('Raw IC'!$A$5:$A$546,$B140,'Raw IC'!$B$5:$B$546,1)=0,"",SUMIFS('Raw IC'!$F$5:$F$546,'Raw IC'!$A$5:$A$546,$B140,'Raw IC'!$B$5:$B$546,1))</x:f>
        <x:v>-0.026107823787031158</x:v>
      </x:c>
      <x:c r="E140" s="30" t="n">
        <x:f>IF(COUNTIFS('Raw IC'!$A$5:$A$546,$B140,'Raw IC'!$B$5:$B$546,1)=0,"",SUMIFS('Raw IC'!$H$5:$H$546,'Raw IC'!$A$5:$A$546,$B140,'Raw IC'!$B$5:$B$546,1))</x:f>
        <x:v>-0.17396454789784666</x:v>
      </x:c>
      <x:c r="F140" s="30" t="n">
        <x:f>IF(COUNTIFS('Raw IC'!$A$5:$A$546,$B140,'Raw IC'!$B$5:$B$546,5)=0,"",SUMIFS('Raw IC'!$F$5:$F$546,'Raw IC'!$A$5:$A$546,$B140,'Raw IC'!$B$5:$B$546,5))</x:f>
        <x:v>-0.02789052771250005</x:v>
      </x:c>
      <x:c r="G140" s="30" t="n">
        <x:f>IF(COUNTIFS('Raw IC'!$A$5:$A$546,$B140,'Raw IC'!$B$5:$B$546,5)=0,"",SUMIFS('Raw IC'!$H$5:$H$546,'Raw IC'!$A$5:$A$546,$B140,'Raw IC'!$B$5:$B$546,5))</x:f>
        <x:v>-0.20844115639621716</x:v>
      </x:c>
      <x:c r="H140" s="30" t="n">
        <x:f>IF(COUNTIFS('Raw IC'!$A$5:$A$546,$B140,'Raw IC'!$B$5:$B$546,10)=0,"",SUMIFS('Raw IC'!$F$5:$F$546,'Raw IC'!$A$5:$A$546,$B140,'Raw IC'!$B$5:$B$546,10))</x:f>
        <x:v>-0.025976368214410687</x:v>
      </x:c>
      <x:c r="I140" s="30" t="n">
        <x:f>IF(COUNTIFS('Raw IC'!$A$5:$A$546,$B140,'Raw IC'!$B$5:$B$546,10)=0,"",SUMIFS('Raw IC'!$H$5:$H$546,'Raw IC'!$A$5:$A$546,$B140,'Raw IC'!$B$5:$B$546,10))</x:f>
        <x:v>-0.20255490709860088</x:v>
      </x:c>
      <x:c r="J140" s="30" t="n">
        <x:f>IF(COUNTIFS('Raw IC'!$A$5:$A$546,$B140,'Raw IC'!$B$5:$B$546,20)=0,"",SUMIFS('Raw IC'!$F$5:$F$546,'Raw IC'!$A$5:$A$546,$B140,'Raw IC'!$B$5:$B$546,20))</x:f>
        <x:v>-0.028293036013445596</x:v>
      </x:c>
      <x:c r="K140" s="30" t="n">
        <x:f>IF(COUNTIFS('Raw IC'!$A$5:$A$546,$B140,'Raw IC'!$B$5:$B$546,20)=0,"",SUMIFS('Raw IC'!$H$5:$H$546,'Raw IC'!$A$5:$A$546,$B140,'Raw IC'!$B$5:$B$546,20))</x:f>
        <x:v>-0.2247441908957228</x:v>
      </x:c>
      <x:c r="L140" s="30" t="n">
        <x:f>IF(COUNT(I140,K140)&lt;2,"",AVERAGE(ABS(I140),ABS(K140)))</x:f>
        <x:v>0.21364954899716185</x:v>
      </x:c>
      <x:c r="M140" t="str">
        <x:f>IF(COUNT(H140,J140)&lt;2,"",IF(H140*J140&gt;=0,IF(H140&gt;=0,"positive","negative"),"mixed"))</x:f>
        <x:v>negative</x:v>
      </x:c>
      <x:c r="N140" s="74" t="n">
        <x:v>46210.39822400463</x:v>
      </x:c>
      <x:c r="O140" s="19" t="n">
        <x:v>8902245</x:v>
      </x:c>
      <x:c r="P140" t="str">
        <x:v>40355b29bce094aef0e99358bdfd4011b92e72a54440a67760de4afae4883c33</x:v>
      </x:c>
      <x:c r="Q140" t="str">
        <x:v>factor_report/gtja191_batch/gtja_066</x:v>
      </x:c>
    </x:row>
    <x:row r="141">
      <x:c r="A141" s="50" t="n">
        <x:f>IF($C141="ranked",1+COUNTIFS($C$5:$C$190,"ranked",$L$5:$L$190,"&gt;"&amp;$L141),"")</x:f>
        <x:v>137</x:v>
      </x:c>
      <x:c r="B141" t="str">
        <x:v>gtja_006</x:v>
      </x:c>
      <x:c r="C141" t="str">
        <x:v>ranked</x:v>
      </x:c>
      <x:c r="D141" s="30" t="str">
        <x:f>IF(COUNTIFS('Raw IC'!$A$5:$A$546,$B141,'Raw IC'!$B$5:$B$546,1)=0,"",SUMIFS('Raw IC'!$F$5:$F$546,'Raw IC'!$A$5:$A$546,$B141,'Raw IC'!$B$5:$B$546,1))</x:f>
      </x:c>
      <x:c r="E141" s="30" t="str">
        <x:f>IF(COUNTIFS('Raw IC'!$A$5:$A$546,$B141,'Raw IC'!$B$5:$B$546,1)=0,"",SUMIFS('Raw IC'!$H$5:$H$546,'Raw IC'!$A$5:$A$546,$B141,'Raw IC'!$B$5:$B$546,1))</x:f>
      </x:c>
      <x:c r="F141" s="30" t="str">
        <x:f>IF(COUNTIFS('Raw IC'!$A$5:$A$546,$B141,'Raw IC'!$B$5:$B$546,5)=0,"",SUMIFS('Raw IC'!$F$5:$F$546,'Raw IC'!$A$5:$A$546,$B141,'Raw IC'!$B$5:$B$546,5))</x:f>
      </x:c>
      <x:c r="G141" s="30" t="str">
        <x:f>IF(COUNTIFS('Raw IC'!$A$5:$A$546,$B141,'Raw IC'!$B$5:$B$546,5)=0,"",SUMIFS('Raw IC'!$H$5:$H$546,'Raw IC'!$A$5:$A$546,$B141,'Raw IC'!$B$5:$B$546,5))</x:f>
      </x:c>
      <x:c r="H141" s="30" t="n">
        <x:f>IF(COUNTIFS('Raw IC'!$A$5:$A$546,$B141,'Raw IC'!$B$5:$B$546,10)=0,"",SUMIFS('Raw IC'!$F$5:$F$546,'Raw IC'!$A$5:$A$546,$B141,'Raw IC'!$B$5:$B$546,10))</x:f>
        <x:v>0.018833424828975622</x:v>
      </x:c>
      <x:c r="I141" s="30" t="n">
        <x:f>IF(COUNTIFS('Raw IC'!$A$5:$A$546,$B141,'Raw IC'!$B$5:$B$546,10)=0,"",SUMIFS('Raw IC'!$H$5:$H$546,'Raw IC'!$A$5:$A$546,$B141,'Raw IC'!$B$5:$B$546,10))</x:f>
        <x:v>0.19400090343609808</x:v>
      </x:c>
      <x:c r="J141" s="30" t="n">
        <x:f>IF(COUNTIFS('Raw IC'!$A$5:$A$546,$B141,'Raw IC'!$B$5:$B$546,20)=0,"",SUMIFS('Raw IC'!$F$5:$F$546,'Raw IC'!$A$5:$A$546,$B141,'Raw IC'!$B$5:$B$546,20))</x:f>
        <x:v>0.01986712337058728</x:v>
      </x:c>
      <x:c r="K141" s="30" t="n">
        <x:f>IF(COUNTIFS('Raw IC'!$A$5:$A$546,$B141,'Raw IC'!$B$5:$B$546,20)=0,"",SUMIFS('Raw IC'!$H$5:$H$546,'Raw IC'!$A$5:$A$546,$B141,'Raw IC'!$B$5:$B$546,20))</x:f>
        <x:v>0.2048546099990268</x:v>
      </x:c>
      <x:c r="L141" s="30" t="n">
        <x:f>IF(COUNT(I141,K141)&lt;2,"",AVERAGE(ABS(I141),ABS(K141)))</x:f>
        <x:v>0.19942775671756244</x:v>
      </x:c>
      <x:c r="M141" t="str">
        <x:f>IF(COUNT(H141,J141)&lt;2,"",IF(H141*J141&gt;=0,IF(H141&gt;=0,"positive","negative"),"mixed"))</x:f>
        <x:v>positive</x:v>
      </x:c>
      <x:c r="N141" s="74" t="n">
        <x:v>46211.17062405092</x:v>
      </x:c>
      <x:c r="O141" s="19" t="n">
        <x:v>8902245</x:v>
      </x:c>
      <x:c r="P141" t="str">
        <x:v>8f7e606554926462248cbcc654181861438ca768a0063f6b317223ede37d16fb</x:v>
      </x:c>
      <x:c r="Q141" t="str">
        <x:v>factor_report/gtja191_batch/gtja_006</x:v>
      </x:c>
    </x:row>
    <x:row r="142">
      <x:c r="A142" s="50" t="n">
        <x:f>IF($C142="ranked",1+COUNTIFS($C$5:$C$190,"ranked",$L$5:$L$190,"&gt;"&amp;$L142),"")</x:f>
        <x:v>138</x:v>
      </x:c>
      <x:c r="B142" t="str">
        <x:v>gtja_137</x:v>
      </x:c>
      <x:c r="C142" t="str">
        <x:v>ranked</x:v>
      </x:c>
      <x:c r="D142" s="30" t="n">
        <x:f>IF(COUNTIFS('Raw IC'!$A$5:$A$546,$B142,'Raw IC'!$B$5:$B$546,1)=0,"",SUMIFS('Raw IC'!$F$5:$F$546,'Raw IC'!$A$5:$A$546,$B142,'Raw IC'!$B$5:$B$546,1))</x:f>
        <x:v>-0.023086031715358998</x:v>
      </x:c>
      <x:c r="E142" s="30" t="n">
        <x:f>IF(COUNTIFS('Raw IC'!$A$5:$A$546,$B142,'Raw IC'!$B$5:$B$546,1)=0,"",SUMIFS('Raw IC'!$H$5:$H$546,'Raw IC'!$A$5:$A$546,$B142,'Raw IC'!$B$5:$B$546,1))</x:f>
        <x:v>-0.17212183006653992</x:v>
      </x:c>
      <x:c r="F142" s="30" t="n">
        <x:f>IF(COUNTIFS('Raw IC'!$A$5:$A$546,$B142,'Raw IC'!$B$5:$B$546,5)=0,"",SUMIFS('Raw IC'!$F$5:$F$546,'Raw IC'!$A$5:$A$546,$B142,'Raw IC'!$B$5:$B$546,5))</x:f>
        <x:v>-0.024155270959396073</x:v>
      </x:c>
      <x:c r="G142" s="30" t="n">
        <x:f>IF(COUNTIFS('Raw IC'!$A$5:$A$546,$B142,'Raw IC'!$B$5:$B$546,5)=0,"",SUMIFS('Raw IC'!$H$5:$H$546,'Raw IC'!$A$5:$A$546,$B142,'Raw IC'!$B$5:$B$546,5))</x:f>
        <x:v>-0.1931315208289806</x:v>
      </x:c>
      <x:c r="H142" s="30" t="n">
        <x:f>IF(COUNTIFS('Raw IC'!$A$5:$A$546,$B142,'Raw IC'!$B$5:$B$546,10)=0,"",SUMIFS('Raw IC'!$F$5:$F$546,'Raw IC'!$A$5:$A$546,$B142,'Raw IC'!$B$5:$B$546,10))</x:f>
        <x:v>-0.0224102167539663</x:v>
      </x:c>
      <x:c r="I142" s="30" t="n">
        <x:f>IF(COUNTIFS('Raw IC'!$A$5:$A$546,$B142,'Raw IC'!$B$5:$B$546,10)=0,"",SUMIFS('Raw IC'!$H$5:$H$546,'Raw IC'!$A$5:$A$546,$B142,'Raw IC'!$B$5:$B$546,10))</x:f>
        <x:v>-0.18293386454436303</x:v>
      </x:c>
      <x:c r="J142" s="30" t="n">
        <x:f>IF(COUNTIFS('Raw IC'!$A$5:$A$546,$B142,'Raw IC'!$B$5:$B$546,20)=0,"",SUMIFS('Raw IC'!$F$5:$F$546,'Raw IC'!$A$5:$A$546,$B142,'Raw IC'!$B$5:$B$546,20))</x:f>
        <x:v>-0.025883364402236844</x:v>
      </x:c>
      <x:c r="K142" s="30" t="n">
        <x:f>IF(COUNTIFS('Raw IC'!$A$5:$A$546,$B142,'Raw IC'!$B$5:$B$546,20)=0,"",SUMIFS('Raw IC'!$H$5:$H$546,'Raw IC'!$A$5:$A$546,$B142,'Raw IC'!$B$5:$B$546,20))</x:f>
        <x:v>-0.21547740973493418</x:v>
      </x:c>
      <x:c r="L142" s="30" t="n">
        <x:f>IF(COUNT(I142,K142)&lt;2,"",AVERAGE(ABS(I142),ABS(K142)))</x:f>
        <x:v>0.19920563713964862</x:v>
      </x:c>
      <x:c r="M142" t="str">
        <x:f>IF(COUNT(H142,J142)&lt;2,"",IF(H142*J142&gt;=0,IF(H142&gt;=0,"positive","negative"),"mixed"))</x:f>
        <x:v>negative</x:v>
      </x:c>
      <x:c r="N142" s="74" t="n">
        <x:v>46210.75457434028</x:v>
      </x:c>
      <x:c r="O142" s="19" t="n">
        <x:v>8902245</x:v>
      </x:c>
      <x:c r="P142" t="str">
        <x:v>40355b29bce094aef0e99358bdfd4011b92e72a54440a67760de4afae4883c33</x:v>
      </x:c>
      <x:c r="Q142" t="str">
        <x:v>factor_report/gtja191_batch/gtja_137</x:v>
      </x:c>
    </x:row>
    <x:row r="143">
      <x:c r="A143" s="50" t="n">
        <x:f>IF($C143="ranked",1+COUNTIFS($C$5:$C$190,"ranked",$L$5:$L$190,"&gt;"&amp;$L143),"")</x:f>
        <x:v>139</x:v>
      </x:c>
      <x:c r="B143" t="str">
        <x:v>gtja_155</x:v>
      </x:c>
      <x:c r="C143" t="str">
        <x:v>ranked</x:v>
      </x:c>
      <x:c r="D143" s="30" t="str">
        <x:f>IF(COUNTIFS('Raw IC'!$A$5:$A$546,$B143,'Raw IC'!$B$5:$B$546,1)=0,"",SUMIFS('Raw IC'!$F$5:$F$546,'Raw IC'!$A$5:$A$546,$B143,'Raw IC'!$B$5:$B$546,1))</x:f>
      </x:c>
      <x:c r="E143" s="30" t="str">
        <x:f>IF(COUNTIFS('Raw IC'!$A$5:$A$546,$B143,'Raw IC'!$B$5:$B$546,1)=0,"",SUMIFS('Raw IC'!$H$5:$H$546,'Raw IC'!$A$5:$A$546,$B143,'Raw IC'!$B$5:$B$546,1))</x:f>
      </x:c>
      <x:c r="F143" s="30" t="str">
        <x:f>IF(COUNTIFS('Raw IC'!$A$5:$A$546,$B143,'Raw IC'!$B$5:$B$546,5)=0,"",SUMIFS('Raw IC'!$F$5:$F$546,'Raw IC'!$A$5:$A$546,$B143,'Raw IC'!$B$5:$B$546,5))</x:f>
      </x:c>
      <x:c r="G143" s="30" t="str">
        <x:f>IF(COUNTIFS('Raw IC'!$A$5:$A$546,$B143,'Raw IC'!$B$5:$B$546,5)=0,"",SUMIFS('Raw IC'!$H$5:$H$546,'Raw IC'!$A$5:$A$546,$B143,'Raw IC'!$B$5:$B$546,5))</x:f>
      </x:c>
      <x:c r="H143" s="30" t="n">
        <x:f>IF(COUNTIFS('Raw IC'!$A$5:$A$546,$B143,'Raw IC'!$B$5:$B$546,10)=0,"",SUMIFS('Raw IC'!$F$5:$F$546,'Raw IC'!$A$5:$A$546,$B143,'Raw IC'!$B$5:$B$546,10))</x:f>
        <x:v>-0.015673193144436708</x:v>
      </x:c>
      <x:c r="I143" s="30" t="n">
        <x:f>IF(COUNTIFS('Raw IC'!$A$5:$A$546,$B143,'Raw IC'!$B$5:$B$546,10)=0,"",SUMIFS('Raw IC'!$H$5:$H$546,'Raw IC'!$A$5:$A$546,$B143,'Raw IC'!$B$5:$B$546,10))</x:f>
        <x:v>-0.2033686197939107</x:v>
      </x:c>
      <x:c r="J143" s="30" t="n">
        <x:f>IF(COUNTIFS('Raw IC'!$A$5:$A$546,$B143,'Raw IC'!$B$5:$B$546,20)=0,"",SUMIFS('Raw IC'!$F$5:$F$546,'Raw IC'!$A$5:$A$546,$B143,'Raw IC'!$B$5:$B$546,20))</x:f>
        <x:v>-0.014456809730245502</x:v>
      </x:c>
      <x:c r="K143" s="30" t="n">
        <x:f>IF(COUNTIFS('Raw IC'!$A$5:$A$546,$B143,'Raw IC'!$B$5:$B$546,20)=0,"",SUMIFS('Raw IC'!$H$5:$H$546,'Raw IC'!$A$5:$A$546,$B143,'Raw IC'!$B$5:$B$546,20))</x:f>
        <x:v>-0.19013564481156836</x:v>
      </x:c>
      <x:c r="L143" s="30" t="n">
        <x:f>IF(COUNT(I143,K143)&lt;2,"",AVERAGE(ABS(I143),ABS(K143)))</x:f>
        <x:v>0.19675213230273952</x:v>
      </x:c>
      <x:c r="M143" t="str">
        <x:f>IF(COUNT(H143,J143)&lt;2,"",IF(H143*J143&gt;=0,IF(H143&gt;=0,"positive","negative"),"mixed"))</x:f>
        <x:v>negative</x:v>
      </x:c>
      <x:c r="N143" s="74" t="n">
        <x:v>46211.49922533565</x:v>
      </x:c>
      <x:c r="O143" s="19" t="n">
        <x:v>8902245</x:v>
      </x:c>
      <x:c r="P143" t="str">
        <x:v>8f7e606554926462248cbcc654181861438ca768a0063f6b317223ede37d16fb</x:v>
      </x:c>
      <x:c r="Q143" t="str">
        <x:v>factor_report/gtja191_batch/gtja_155</x:v>
      </x:c>
    </x:row>
    <x:row r="144">
      <x:c r="A144" s="50" t="n">
        <x:f>IF($C144="ranked",1+COUNTIFS($C$5:$C$190,"ranked",$L$5:$L$190,"&gt;"&amp;$L144),"")</x:f>
        <x:v>140</x:v>
      </x:c>
      <x:c r="B144" t="str">
        <x:v>gtja_044</x:v>
      </x:c>
      <x:c r="C144" t="str">
        <x:v>ranked</x:v>
      </x:c>
      <x:c r="D144" s="30" t="str">
        <x:f>IF(COUNTIFS('Raw IC'!$A$5:$A$546,$B144,'Raw IC'!$B$5:$B$546,1)=0,"",SUMIFS('Raw IC'!$F$5:$F$546,'Raw IC'!$A$5:$A$546,$B144,'Raw IC'!$B$5:$B$546,1))</x:f>
      </x:c>
      <x:c r="E144" s="30" t="str">
        <x:f>IF(COUNTIFS('Raw IC'!$A$5:$A$546,$B144,'Raw IC'!$B$5:$B$546,1)=0,"",SUMIFS('Raw IC'!$H$5:$H$546,'Raw IC'!$A$5:$A$546,$B144,'Raw IC'!$B$5:$B$546,1))</x:f>
      </x:c>
      <x:c r="F144" s="30" t="str">
        <x:f>IF(COUNTIFS('Raw IC'!$A$5:$A$546,$B144,'Raw IC'!$B$5:$B$546,5)=0,"",SUMIFS('Raw IC'!$F$5:$F$546,'Raw IC'!$A$5:$A$546,$B144,'Raw IC'!$B$5:$B$546,5))</x:f>
      </x:c>
      <x:c r="G144" s="30" t="str">
        <x:f>IF(COUNTIFS('Raw IC'!$A$5:$A$546,$B144,'Raw IC'!$B$5:$B$546,5)=0,"",SUMIFS('Raw IC'!$H$5:$H$546,'Raw IC'!$A$5:$A$546,$B144,'Raw IC'!$B$5:$B$546,5))</x:f>
      </x:c>
      <x:c r="H144" s="30" t="n">
        <x:f>IF(COUNTIFS('Raw IC'!$A$5:$A$546,$B144,'Raw IC'!$B$5:$B$546,10)=0,"",SUMIFS('Raw IC'!$F$5:$F$546,'Raw IC'!$A$5:$A$546,$B144,'Raw IC'!$B$5:$B$546,10))</x:f>
        <x:v>-0.015621451984378426</x:v>
      </x:c>
      <x:c r="I144" s="30" t="n">
        <x:f>IF(COUNTIFS('Raw IC'!$A$5:$A$546,$B144,'Raw IC'!$B$5:$B$546,10)=0,"",SUMIFS('Raw IC'!$H$5:$H$546,'Raw IC'!$A$5:$A$546,$B144,'Raw IC'!$B$5:$B$546,10))</x:f>
        <x:v>-0.19840000861438417</x:v>
      </x:c>
      <x:c r="J144" s="30" t="n">
        <x:f>IF(COUNTIFS('Raw IC'!$A$5:$A$546,$B144,'Raw IC'!$B$5:$B$546,20)=0,"",SUMIFS('Raw IC'!$F$5:$F$546,'Raw IC'!$A$5:$A$546,$B144,'Raw IC'!$B$5:$B$546,20))</x:f>
        <x:v>-0.015000810899272576</x:v>
      </x:c>
      <x:c r="K144" s="30" t="n">
        <x:f>IF(COUNTIFS('Raw IC'!$A$5:$A$546,$B144,'Raw IC'!$B$5:$B$546,20)=0,"",SUMIFS('Raw IC'!$H$5:$H$546,'Raw IC'!$A$5:$A$546,$B144,'Raw IC'!$B$5:$B$546,20))</x:f>
        <x:v>-0.1914331116412949</x:v>
      </x:c>
      <x:c r="L144" s="30" t="n">
        <x:f>IF(COUNT(I144,K144)&lt;2,"",AVERAGE(ABS(I144),ABS(K144)))</x:f>
        <x:v>0.19491656012783953</x:v>
      </x:c>
      <x:c r="M144" t="str">
        <x:f>IF(COUNT(H144,J144)&lt;2,"",IF(H144*J144&gt;=0,IF(H144&gt;=0,"positive","negative"),"mixed"))</x:f>
        <x:v>negative</x:v>
      </x:c>
      <x:c r="N144" s="74" t="n">
        <x:v>46211.262911157406</x:v>
      </x:c>
      <x:c r="O144" s="19" t="n">
        <x:v>8902245</x:v>
      </x:c>
      <x:c r="P144" t="str">
        <x:v>8f7e606554926462248cbcc654181861438ca768a0063f6b317223ede37d16fb</x:v>
      </x:c>
      <x:c r="Q144" t="str">
        <x:v>factor_report/gtja191_batch/gtja_044</x:v>
      </x:c>
    </x:row>
    <x:row r="145">
      <x:c r="A145" s="50" t="n">
        <x:f>IF($C145="ranked",1+COUNTIFS($C$5:$C$190,"ranked",$L$5:$L$190,"&gt;"&amp;$L145),"")</x:f>
        <x:v>141</x:v>
      </x:c>
      <x:c r="B145" t="str">
        <x:v>gtja_188</x:v>
      </x:c>
      <x:c r="C145" t="str">
        <x:v>ranked</x:v>
      </x:c>
      <x:c r="D145" s="30" t="str">
        <x:f>IF(COUNTIFS('Raw IC'!$A$5:$A$546,$B145,'Raw IC'!$B$5:$B$546,1)=0,"",SUMIFS('Raw IC'!$F$5:$F$546,'Raw IC'!$A$5:$A$546,$B145,'Raw IC'!$B$5:$B$546,1))</x:f>
      </x:c>
      <x:c r="E145" s="30" t="str">
        <x:f>IF(COUNTIFS('Raw IC'!$A$5:$A$546,$B145,'Raw IC'!$B$5:$B$546,1)=0,"",SUMIFS('Raw IC'!$H$5:$H$546,'Raw IC'!$A$5:$A$546,$B145,'Raw IC'!$B$5:$B$546,1))</x:f>
      </x:c>
      <x:c r="F145" s="30" t="str">
        <x:f>IF(COUNTIFS('Raw IC'!$A$5:$A$546,$B145,'Raw IC'!$B$5:$B$546,5)=0,"",SUMIFS('Raw IC'!$F$5:$F$546,'Raw IC'!$A$5:$A$546,$B145,'Raw IC'!$B$5:$B$546,5))</x:f>
      </x:c>
      <x:c r="G145" s="30" t="str">
        <x:f>IF(COUNTIFS('Raw IC'!$A$5:$A$546,$B145,'Raw IC'!$B$5:$B$546,5)=0,"",SUMIFS('Raw IC'!$H$5:$H$546,'Raw IC'!$A$5:$A$546,$B145,'Raw IC'!$B$5:$B$546,5))</x:f>
      </x:c>
      <x:c r="H145" s="30" t="n">
        <x:f>IF(COUNTIFS('Raw IC'!$A$5:$A$546,$B145,'Raw IC'!$B$5:$B$546,10)=0,"",SUMIFS('Raw IC'!$F$5:$F$546,'Raw IC'!$A$5:$A$546,$B145,'Raw IC'!$B$5:$B$546,10))</x:f>
        <x:v>-0.013187674989053533</x:v>
      </x:c>
      <x:c r="I145" s="30" t="n">
        <x:f>IF(COUNTIFS('Raw IC'!$A$5:$A$546,$B145,'Raw IC'!$B$5:$B$546,10)=0,"",SUMIFS('Raw IC'!$H$5:$H$546,'Raw IC'!$A$5:$A$546,$B145,'Raw IC'!$B$5:$B$546,10))</x:f>
        <x:v>-0.17674889567640598</x:v>
      </x:c>
      <x:c r="J145" s="30" t="n">
        <x:f>IF(COUNTIFS('Raw IC'!$A$5:$A$546,$B145,'Raw IC'!$B$5:$B$546,20)=0,"",SUMIFS('Raw IC'!$F$5:$F$546,'Raw IC'!$A$5:$A$546,$B145,'Raw IC'!$B$5:$B$546,20))</x:f>
        <x:v>-0.01434776947407209</x:v>
      </x:c>
      <x:c r="K145" s="30" t="n">
        <x:f>IF(COUNTIFS('Raw IC'!$A$5:$A$546,$B145,'Raw IC'!$B$5:$B$546,20)=0,"",SUMIFS('Raw IC'!$H$5:$H$546,'Raw IC'!$A$5:$A$546,$B145,'Raw IC'!$B$5:$B$546,20))</x:f>
        <x:v>-0.19621012271278615</x:v>
      </x:c>
      <x:c r="L145" s="30" t="n">
        <x:f>IF(COUNT(I145,K145)&lt;2,"",AVERAGE(ABS(I145),ABS(K145)))</x:f>
        <x:v>0.18647950919459605</x:v>
      </x:c>
      <x:c r="M145" t="str">
        <x:f>IF(COUNT(H145,J145)&lt;2,"",IF(H145*J145&gt;=0,IF(H145&gt;=0,"positive","negative"),"mixed"))</x:f>
        <x:v>negative</x:v>
      </x:c>
      <x:c r="N145" s="74" t="n">
        <x:v>46211.55150134259</x:v>
      </x:c>
      <x:c r="O145" s="19" t="n">
        <x:v>8902245</x:v>
      </x:c>
      <x:c r="P145" t="str">
        <x:v>8f7e606554926462248cbcc654181861438ca768a0063f6b317223ede37d16fb</x:v>
      </x:c>
      <x:c r="Q145" t="str">
        <x:v>factor_report/gtja191_batch/gtja_188</x:v>
      </x:c>
    </x:row>
    <x:row r="146">
      <x:c r="A146" s="50" t="n">
        <x:f>IF($C146="ranked",1+COUNTIFS($C$5:$C$190,"ranked",$L$5:$L$190,"&gt;"&amp;$L146),"")</x:f>
        <x:v>142</x:v>
      </x:c>
      <x:c r="B146" t="str">
        <x:v>gtja_096</x:v>
      </x:c>
      <x:c r="C146" t="str">
        <x:v>ranked</x:v>
      </x:c>
      <x:c r="D146" s="30" t="str">
        <x:f>IF(COUNTIFS('Raw IC'!$A$5:$A$546,$B146,'Raw IC'!$B$5:$B$546,1)=0,"",SUMIFS('Raw IC'!$F$5:$F$546,'Raw IC'!$A$5:$A$546,$B146,'Raw IC'!$B$5:$B$546,1))</x:f>
      </x:c>
      <x:c r="E146" s="30" t="str">
        <x:f>IF(COUNTIFS('Raw IC'!$A$5:$A$546,$B146,'Raw IC'!$B$5:$B$546,1)=0,"",SUMIFS('Raw IC'!$H$5:$H$546,'Raw IC'!$A$5:$A$546,$B146,'Raw IC'!$B$5:$B$546,1))</x:f>
      </x:c>
      <x:c r="F146" s="30" t="str">
        <x:f>IF(COUNTIFS('Raw IC'!$A$5:$A$546,$B146,'Raw IC'!$B$5:$B$546,5)=0,"",SUMIFS('Raw IC'!$F$5:$F$546,'Raw IC'!$A$5:$A$546,$B146,'Raw IC'!$B$5:$B$546,5))</x:f>
      </x:c>
      <x:c r="G146" s="30" t="str">
        <x:f>IF(COUNTIFS('Raw IC'!$A$5:$A$546,$B146,'Raw IC'!$B$5:$B$546,5)=0,"",SUMIFS('Raw IC'!$H$5:$H$546,'Raw IC'!$A$5:$A$546,$B146,'Raw IC'!$B$5:$B$546,5))</x:f>
      </x:c>
      <x:c r="H146" s="30" t="n">
        <x:f>IF(COUNTIFS('Raw IC'!$A$5:$A$546,$B146,'Raw IC'!$B$5:$B$546,10)=0,"",SUMIFS('Raw IC'!$F$5:$F$546,'Raw IC'!$A$5:$A$546,$B146,'Raw IC'!$B$5:$B$546,10))</x:f>
        <x:v>-0.019271218597420786</x:v>
      </x:c>
      <x:c r="I146" s="30" t="n">
        <x:f>IF(COUNTIFS('Raw IC'!$A$5:$A$546,$B146,'Raw IC'!$B$5:$B$546,10)=0,"",SUMIFS('Raw IC'!$H$5:$H$546,'Raw IC'!$A$5:$A$546,$B146,'Raw IC'!$B$5:$B$546,10))</x:f>
        <x:v>-0.1560567836434504</x:v>
      </x:c>
      <x:c r="J146" s="30" t="n">
        <x:f>IF(COUNTIFS('Raw IC'!$A$5:$A$546,$B146,'Raw IC'!$B$5:$B$546,20)=0,"",SUMIFS('Raw IC'!$F$5:$F$546,'Raw IC'!$A$5:$A$546,$B146,'Raw IC'!$B$5:$B$546,20))</x:f>
        <x:v>-0.024734146091325928</x:v>
      </x:c>
      <x:c r="K146" s="30" t="n">
        <x:f>IF(COUNTIFS('Raw IC'!$A$5:$A$546,$B146,'Raw IC'!$B$5:$B$546,20)=0,"",SUMIFS('Raw IC'!$H$5:$H$546,'Raw IC'!$A$5:$A$546,$B146,'Raw IC'!$B$5:$B$546,20))</x:f>
        <x:v>-0.19606529421827856</x:v>
      </x:c>
      <x:c r="L146" s="30" t="n">
        <x:f>IF(COUNT(I146,K146)&lt;2,"",AVERAGE(ABS(I146),ABS(K146)))</x:f>
        <x:v>0.1760610389308645</x:v>
      </x:c>
      <x:c r="M146" t="str">
        <x:f>IF(COUNT(H146,J146)&lt;2,"",IF(H146*J146&gt;=0,IF(H146&gt;=0,"positive","negative"),"mixed"))</x:f>
        <x:v>negative</x:v>
      </x:c>
      <x:c r="N146" s="74" t="n">
        <x:v>46211.3433033912</x:v>
      </x:c>
      <x:c r="O146" s="19" t="n">
        <x:v>8902245</x:v>
      </x:c>
      <x:c r="P146" t="str">
        <x:v>8f7e606554926462248cbcc654181861438ca768a0063f6b317223ede37d16fb</x:v>
      </x:c>
      <x:c r="Q146" t="str">
        <x:v>factor_report/gtja191_batch/gtja_096</x:v>
      </x:c>
    </x:row>
    <x:row r="147">
      <x:c r="A147" s="50" t="n">
        <x:f>IF($C147="ranked",1+COUNTIFS($C$5:$C$190,"ranked",$L$5:$L$190,"&gt;"&amp;$L147),"")</x:f>
        <x:v>143</x:v>
      </x:c>
      <x:c r="B147" t="str">
        <x:v>gtja_072</x:v>
      </x:c>
      <x:c r="C147" t="str">
        <x:v>ranked</x:v>
      </x:c>
      <x:c r="D147" s="30" t="str">
        <x:f>IF(COUNTIFS('Raw IC'!$A$5:$A$546,$B147,'Raw IC'!$B$5:$B$546,1)=0,"",SUMIFS('Raw IC'!$F$5:$F$546,'Raw IC'!$A$5:$A$546,$B147,'Raw IC'!$B$5:$B$546,1))</x:f>
      </x:c>
      <x:c r="E147" s="30" t="str">
        <x:f>IF(COUNTIFS('Raw IC'!$A$5:$A$546,$B147,'Raw IC'!$B$5:$B$546,1)=0,"",SUMIFS('Raw IC'!$H$5:$H$546,'Raw IC'!$A$5:$A$546,$B147,'Raw IC'!$B$5:$B$546,1))</x:f>
      </x:c>
      <x:c r="F147" s="30" t="str">
        <x:f>IF(COUNTIFS('Raw IC'!$A$5:$A$546,$B147,'Raw IC'!$B$5:$B$546,5)=0,"",SUMIFS('Raw IC'!$F$5:$F$546,'Raw IC'!$A$5:$A$546,$B147,'Raw IC'!$B$5:$B$546,5))</x:f>
      </x:c>
      <x:c r="G147" s="30" t="str">
        <x:f>IF(COUNTIFS('Raw IC'!$A$5:$A$546,$B147,'Raw IC'!$B$5:$B$546,5)=0,"",SUMIFS('Raw IC'!$H$5:$H$546,'Raw IC'!$A$5:$A$546,$B147,'Raw IC'!$B$5:$B$546,5))</x:f>
      </x:c>
      <x:c r="H147" s="30" t="n">
        <x:f>IF(COUNTIFS('Raw IC'!$A$5:$A$546,$B147,'Raw IC'!$B$5:$B$546,10)=0,"",SUMIFS('Raw IC'!$F$5:$F$546,'Raw IC'!$A$5:$A$546,$B147,'Raw IC'!$B$5:$B$546,10))</x:f>
        <x:v>0.020469736367572655</x:v>
      </x:c>
      <x:c r="I147" s="30" t="n">
        <x:f>IF(COUNTIFS('Raw IC'!$A$5:$A$546,$B147,'Raw IC'!$B$5:$B$546,10)=0,"",SUMIFS('Raw IC'!$H$5:$H$546,'Raw IC'!$A$5:$A$546,$B147,'Raw IC'!$B$5:$B$546,10))</x:f>
        <x:v>0.1566352103022842</x:v>
      </x:c>
      <x:c r="J147" s="30" t="n">
        <x:f>IF(COUNTIFS('Raw IC'!$A$5:$A$546,$B147,'Raw IC'!$B$5:$B$546,20)=0,"",SUMIFS('Raw IC'!$F$5:$F$546,'Raw IC'!$A$5:$A$546,$B147,'Raw IC'!$B$5:$B$546,20))</x:f>
        <x:v>0.0259470444569019</x:v>
      </x:c>
      <x:c r="K147" s="30" t="n">
        <x:f>IF(COUNTIFS('Raw IC'!$A$5:$A$546,$B147,'Raw IC'!$B$5:$B$546,20)=0,"",SUMIFS('Raw IC'!$H$5:$H$546,'Raw IC'!$A$5:$A$546,$B147,'Raw IC'!$B$5:$B$546,20))</x:f>
        <x:v>0.1945428325399764</x:v>
      </x:c>
      <x:c r="L147" s="30" t="n">
        <x:f>IF(COUNT(I147,K147)&lt;2,"",AVERAGE(ABS(I147),ABS(K147)))</x:f>
        <x:v>0.1755890214211303</x:v>
      </x:c>
      <x:c r="M147" t="str">
        <x:f>IF(COUNT(H147,J147)&lt;2,"",IF(H147*J147&gt;=0,IF(H147&gt;=0,"positive","negative"),"mixed"))</x:f>
        <x:v>positive</x:v>
      </x:c>
      <x:c r="N147" s="74" t="n">
        <x:v>46211.29907770833</x:v>
      </x:c>
      <x:c r="O147" s="19" t="n">
        <x:v>8902245</x:v>
      </x:c>
      <x:c r="P147" t="str">
        <x:v>8f7e606554926462248cbcc654181861438ca768a0063f6b317223ede37d16fb</x:v>
      </x:c>
      <x:c r="Q147" t="str">
        <x:v>factor_report/gtja191_batch/gtja_072</x:v>
      </x:c>
    </x:row>
    <x:row r="148">
      <x:c r="A148" s="50" t="n">
        <x:f>IF($C148="ranked",1+COUNTIFS($C$5:$C$190,"ranked",$L$5:$L$190,"&gt;"&amp;$L148),"")</x:f>
        <x:v>144</x:v>
      </x:c>
      <x:c r="B148" t="str">
        <x:v>gtja_045</x:v>
      </x:c>
      <x:c r="C148" t="str">
        <x:v>ranked</x:v>
      </x:c>
      <x:c r="D148" s="30" t="str">
        <x:f>IF(COUNTIFS('Raw IC'!$A$5:$A$546,$B148,'Raw IC'!$B$5:$B$546,1)=0,"",SUMIFS('Raw IC'!$F$5:$F$546,'Raw IC'!$A$5:$A$546,$B148,'Raw IC'!$B$5:$B$546,1))</x:f>
      </x:c>
      <x:c r="E148" s="30" t="str">
        <x:f>IF(COUNTIFS('Raw IC'!$A$5:$A$546,$B148,'Raw IC'!$B$5:$B$546,1)=0,"",SUMIFS('Raw IC'!$H$5:$H$546,'Raw IC'!$A$5:$A$546,$B148,'Raw IC'!$B$5:$B$546,1))</x:f>
      </x:c>
      <x:c r="F148" s="30" t="str">
        <x:f>IF(COUNTIFS('Raw IC'!$A$5:$A$546,$B148,'Raw IC'!$B$5:$B$546,5)=0,"",SUMIFS('Raw IC'!$F$5:$F$546,'Raw IC'!$A$5:$A$546,$B148,'Raw IC'!$B$5:$B$546,5))</x:f>
      </x:c>
      <x:c r="G148" s="30" t="str">
        <x:f>IF(COUNTIFS('Raw IC'!$A$5:$A$546,$B148,'Raw IC'!$B$5:$B$546,5)=0,"",SUMIFS('Raw IC'!$H$5:$H$546,'Raw IC'!$A$5:$A$546,$B148,'Raw IC'!$B$5:$B$546,5))</x:f>
      </x:c>
      <x:c r="H148" s="30" t="n">
        <x:f>IF(COUNTIFS('Raw IC'!$A$5:$A$546,$B148,'Raw IC'!$B$5:$B$546,10)=0,"",SUMIFS('Raw IC'!$F$5:$F$546,'Raw IC'!$A$5:$A$546,$B148,'Raw IC'!$B$5:$B$546,10))</x:f>
        <x:v>-0.015929620972991176</x:v>
      </x:c>
      <x:c r="I148" s="30" t="n">
        <x:f>IF(COUNTIFS('Raw IC'!$A$5:$A$546,$B148,'Raw IC'!$B$5:$B$546,10)=0,"",SUMIFS('Raw IC'!$H$5:$H$546,'Raw IC'!$A$5:$A$546,$B148,'Raw IC'!$B$5:$B$546,10))</x:f>
        <x:v>-0.16417141727391843</x:v>
      </x:c>
      <x:c r="J148" s="30" t="n">
        <x:f>IF(COUNTIFS('Raw IC'!$A$5:$A$546,$B148,'Raw IC'!$B$5:$B$546,20)=0,"",SUMIFS('Raw IC'!$F$5:$F$546,'Raw IC'!$A$5:$A$546,$B148,'Raw IC'!$B$5:$B$546,20))</x:f>
        <x:v>-0.017380649409067202</x:v>
      </x:c>
      <x:c r="K148" s="30" t="n">
        <x:f>IF(COUNTIFS('Raw IC'!$A$5:$A$546,$B148,'Raw IC'!$B$5:$B$546,20)=0,"",SUMIFS('Raw IC'!$H$5:$H$546,'Raw IC'!$A$5:$A$546,$B148,'Raw IC'!$B$5:$B$546,20))</x:f>
        <x:v>-0.1847494114558793</x:v>
      </x:c>
      <x:c r="L148" s="30" t="n">
        <x:f>IF(COUNT(I148,K148)&lt;2,"",AVERAGE(ABS(I148),ABS(K148)))</x:f>
        <x:v>0.17446041436489887</x:v>
      </x:c>
      <x:c r="M148" t="str">
        <x:f>IF(COUNT(H148,J148)&lt;2,"",IF(H148*J148&gt;=0,IF(H148&gt;=0,"positive","negative"),"mixed"))</x:f>
        <x:v>negative</x:v>
      </x:c>
      <x:c r="N148" s="74" t="n">
        <x:v>46211.26636591435</x:v>
      </x:c>
      <x:c r="O148" s="19" t="n">
        <x:v>8902245</x:v>
      </x:c>
      <x:c r="P148" t="str">
        <x:v>8f7e606554926462248cbcc654181861438ca768a0063f6b317223ede37d16fb</x:v>
      </x:c>
      <x:c r="Q148" t="str">
        <x:v>factor_report/gtja191_batch/gtja_045</x:v>
      </x:c>
    </x:row>
    <x:row r="149">
      <x:c r="A149" s="50" t="n">
        <x:f>IF($C149="ranked",1+COUNTIFS($C$5:$C$190,"ranked",$L$5:$L$190,"&gt;"&amp;$L149),"")</x:f>
        <x:v>145</x:v>
      </x:c>
      <x:c r="B149" t="str">
        <x:v>gtja_047</x:v>
      </x:c>
      <x:c r="C149" t="str">
        <x:v>ranked</x:v>
      </x:c>
      <x:c r="D149" s="30" t="str">
        <x:f>IF(COUNTIFS('Raw IC'!$A$5:$A$546,$B149,'Raw IC'!$B$5:$B$546,1)=0,"",SUMIFS('Raw IC'!$F$5:$F$546,'Raw IC'!$A$5:$A$546,$B149,'Raw IC'!$B$5:$B$546,1))</x:f>
      </x:c>
      <x:c r="E149" s="30" t="str">
        <x:f>IF(COUNTIFS('Raw IC'!$A$5:$A$546,$B149,'Raw IC'!$B$5:$B$546,1)=0,"",SUMIFS('Raw IC'!$H$5:$H$546,'Raw IC'!$A$5:$A$546,$B149,'Raw IC'!$B$5:$B$546,1))</x:f>
      </x:c>
      <x:c r="F149" s="30" t="str">
        <x:f>IF(COUNTIFS('Raw IC'!$A$5:$A$546,$B149,'Raw IC'!$B$5:$B$546,5)=0,"",SUMIFS('Raw IC'!$F$5:$F$546,'Raw IC'!$A$5:$A$546,$B149,'Raw IC'!$B$5:$B$546,5))</x:f>
      </x:c>
      <x:c r="G149" s="30" t="str">
        <x:f>IF(COUNTIFS('Raw IC'!$A$5:$A$546,$B149,'Raw IC'!$B$5:$B$546,5)=0,"",SUMIFS('Raw IC'!$H$5:$H$546,'Raw IC'!$A$5:$A$546,$B149,'Raw IC'!$B$5:$B$546,5))</x:f>
      </x:c>
      <x:c r="H149" s="30" t="n">
        <x:f>IF(COUNTIFS('Raw IC'!$A$5:$A$546,$B149,'Raw IC'!$B$5:$B$546,10)=0,"",SUMIFS('Raw IC'!$F$5:$F$546,'Raw IC'!$A$5:$A$546,$B149,'Raw IC'!$B$5:$B$546,10))</x:f>
        <x:v>0.01954156887494311</x:v>
      </x:c>
      <x:c r="I149" s="30" t="n">
        <x:f>IF(COUNTIFS('Raw IC'!$A$5:$A$546,$B149,'Raw IC'!$B$5:$B$546,10)=0,"",SUMIFS('Raw IC'!$H$5:$H$546,'Raw IC'!$A$5:$A$546,$B149,'Raw IC'!$B$5:$B$546,10))</x:f>
        <x:v>0.1530041859759862</x:v>
      </x:c>
      <x:c r="J149" s="30" t="n">
        <x:f>IF(COUNTIFS('Raw IC'!$A$5:$A$546,$B149,'Raw IC'!$B$5:$B$546,20)=0,"",SUMIFS('Raw IC'!$F$5:$F$546,'Raw IC'!$A$5:$A$546,$B149,'Raw IC'!$B$5:$B$546,20))</x:f>
        <x:v>0.024927053410138605</x:v>
      </x:c>
      <x:c r="K149" s="30" t="n">
        <x:f>IF(COUNTIFS('Raw IC'!$A$5:$A$546,$B149,'Raw IC'!$B$5:$B$546,20)=0,"",SUMIFS('Raw IC'!$H$5:$H$546,'Raw IC'!$A$5:$A$546,$B149,'Raw IC'!$B$5:$B$546,20))</x:f>
        <x:v>0.1922753346271489</x:v>
      </x:c>
      <x:c r="L149" s="30" t="n">
        <x:f>IF(COUNT(I149,K149)&lt;2,"",AVERAGE(ABS(I149),ABS(K149)))</x:f>
        <x:v>0.17263976030156755</x:v>
      </x:c>
      <x:c r="M149" t="str">
        <x:f>IF(COUNT(H149,J149)&lt;2,"",IF(H149*J149&gt;=0,IF(H149&gt;=0,"positive","negative"),"mixed"))</x:f>
        <x:v>positive</x:v>
      </x:c>
      <x:c r="N149" s="74" t="n">
        <x:v>46211.27178611111</x:v>
      </x:c>
      <x:c r="O149" s="19" t="n">
        <x:v>8902245</x:v>
      </x:c>
      <x:c r="P149" t="str">
        <x:v>8f7e606554926462248cbcc654181861438ca768a0063f6b317223ede37d16fb</x:v>
      </x:c>
      <x:c r="Q149" t="str">
        <x:v>factor_report/gtja191_batch/gtja_047</x:v>
      </x:c>
    </x:row>
    <x:row r="150">
      <x:c r="A150" s="50" t="n">
        <x:f>IF($C150="ranked",1+COUNTIFS($C$5:$C$190,"ranked",$L$5:$L$190,"&gt;"&amp;$L150),"")</x:f>
        <x:v>146</x:v>
      </x:c>
      <x:c r="B150" t="str">
        <x:v>gtja_082</x:v>
      </x:c>
      <x:c r="C150" t="str">
        <x:v>ranked</x:v>
      </x:c>
      <x:c r="D150" s="30" t="str">
        <x:f>IF(COUNTIFS('Raw IC'!$A$5:$A$546,$B150,'Raw IC'!$B$5:$B$546,1)=0,"",SUMIFS('Raw IC'!$F$5:$F$546,'Raw IC'!$A$5:$A$546,$B150,'Raw IC'!$B$5:$B$546,1))</x:f>
      </x:c>
      <x:c r="E150" s="30" t="str">
        <x:f>IF(COUNTIFS('Raw IC'!$A$5:$A$546,$B150,'Raw IC'!$B$5:$B$546,1)=0,"",SUMIFS('Raw IC'!$H$5:$H$546,'Raw IC'!$A$5:$A$546,$B150,'Raw IC'!$B$5:$B$546,1))</x:f>
      </x:c>
      <x:c r="F150" s="30" t="str">
        <x:f>IF(COUNTIFS('Raw IC'!$A$5:$A$546,$B150,'Raw IC'!$B$5:$B$546,5)=0,"",SUMIFS('Raw IC'!$F$5:$F$546,'Raw IC'!$A$5:$A$546,$B150,'Raw IC'!$B$5:$B$546,5))</x:f>
      </x:c>
      <x:c r="G150" s="30" t="str">
        <x:f>IF(COUNTIFS('Raw IC'!$A$5:$A$546,$B150,'Raw IC'!$B$5:$B$546,5)=0,"",SUMIFS('Raw IC'!$H$5:$H$546,'Raw IC'!$A$5:$A$546,$B150,'Raw IC'!$B$5:$B$546,5))</x:f>
      </x:c>
      <x:c r="H150" s="30" t="n">
        <x:f>IF(COUNTIFS('Raw IC'!$A$5:$A$546,$B150,'Raw IC'!$B$5:$B$546,10)=0,"",SUMIFS('Raw IC'!$F$5:$F$546,'Raw IC'!$A$5:$A$546,$B150,'Raw IC'!$B$5:$B$546,10))</x:f>
        <x:v>0.019699206520663495</x:v>
      </x:c>
      <x:c r="I150" s="30" t="n">
        <x:f>IF(COUNTIFS('Raw IC'!$A$5:$A$546,$B150,'Raw IC'!$B$5:$B$546,10)=0,"",SUMIFS('Raw IC'!$H$5:$H$546,'Raw IC'!$A$5:$A$546,$B150,'Raw IC'!$B$5:$B$546,10))</x:f>
        <x:v>0.14930194523262613</x:v>
      </x:c>
      <x:c r="J150" s="30" t="n">
        <x:f>IF(COUNTIFS('Raw IC'!$A$5:$A$546,$B150,'Raw IC'!$B$5:$B$546,20)=0,"",SUMIFS('Raw IC'!$F$5:$F$546,'Raw IC'!$A$5:$A$546,$B150,'Raw IC'!$B$5:$B$546,20))</x:f>
        <x:v>0.024805974874621117</x:v>
      </x:c>
      <x:c r="K150" s="30" t="n">
        <x:f>IF(COUNTIFS('Raw IC'!$A$5:$A$546,$B150,'Raw IC'!$B$5:$B$546,20)=0,"",SUMIFS('Raw IC'!$H$5:$H$546,'Raw IC'!$A$5:$A$546,$B150,'Raw IC'!$B$5:$B$546,20))</x:f>
        <x:v>0.1837501225287725</x:v>
      </x:c>
      <x:c r="L150" s="30" t="n">
        <x:f>IF(COUNT(I150,K150)&lt;2,"",AVERAGE(ABS(I150),ABS(K150)))</x:f>
        <x:v>0.1665260338806993</x:v>
      </x:c>
      <x:c r="M150" t="str">
        <x:f>IF(COUNT(H150,J150)&lt;2,"",IF(H150*J150&gt;=0,IF(H150&gt;=0,"positive","negative"),"mixed"))</x:f>
        <x:v>positive</x:v>
      </x:c>
      <x:c r="N150" s="74" t="n">
        <x:v>46211.314943969905</x:v>
      </x:c>
      <x:c r="O150" s="19" t="n">
        <x:v>8902245</x:v>
      </x:c>
      <x:c r="P150" t="str">
        <x:v>8f7e606554926462248cbcc654181861438ca768a0063f6b317223ede37d16fb</x:v>
      </x:c>
      <x:c r="Q150" t="str">
        <x:v>factor_report/gtja191_batch/gtja_082</x:v>
      </x:c>
    </x:row>
    <x:row r="151">
      <x:c r="A151" s="50" t="n">
        <x:f>IF($C151="ranked",1+COUNTIFS($C$5:$C$190,"ranked",$L$5:$L$190,"&gt;"&amp;$L151),"")</x:f>
        <x:v>147</x:v>
      </x:c>
      <x:c r="B151" t="str">
        <x:v>gtja_057</x:v>
      </x:c>
      <x:c r="C151" t="str">
        <x:v>ranked</x:v>
      </x:c>
      <x:c r="D151" s="30" t="str">
        <x:f>IF(COUNTIFS('Raw IC'!$A$5:$A$546,$B151,'Raw IC'!$B$5:$B$546,1)=0,"",SUMIFS('Raw IC'!$F$5:$F$546,'Raw IC'!$A$5:$A$546,$B151,'Raw IC'!$B$5:$B$546,1))</x:f>
      </x:c>
      <x:c r="E151" s="30" t="str">
        <x:f>IF(COUNTIFS('Raw IC'!$A$5:$A$546,$B151,'Raw IC'!$B$5:$B$546,1)=0,"",SUMIFS('Raw IC'!$H$5:$H$546,'Raw IC'!$A$5:$A$546,$B151,'Raw IC'!$B$5:$B$546,1))</x:f>
      </x:c>
      <x:c r="F151" s="30" t="str">
        <x:f>IF(COUNTIFS('Raw IC'!$A$5:$A$546,$B151,'Raw IC'!$B$5:$B$546,5)=0,"",SUMIFS('Raw IC'!$F$5:$F$546,'Raw IC'!$A$5:$A$546,$B151,'Raw IC'!$B$5:$B$546,5))</x:f>
      </x:c>
      <x:c r="G151" s="30" t="str">
        <x:f>IF(COUNTIFS('Raw IC'!$A$5:$A$546,$B151,'Raw IC'!$B$5:$B$546,5)=0,"",SUMIFS('Raw IC'!$H$5:$H$546,'Raw IC'!$A$5:$A$546,$B151,'Raw IC'!$B$5:$B$546,5))</x:f>
      </x:c>
      <x:c r="H151" s="30" t="n">
        <x:f>IF(COUNTIFS('Raw IC'!$A$5:$A$546,$B151,'Raw IC'!$B$5:$B$546,10)=0,"",SUMIFS('Raw IC'!$F$5:$F$546,'Raw IC'!$A$5:$A$546,$B151,'Raw IC'!$B$5:$B$546,10))</x:f>
        <x:v>-0.018479898515854735</x:v>
      </x:c>
      <x:c r="I151" s="30" t="n">
        <x:f>IF(COUNTIFS('Raw IC'!$A$5:$A$546,$B151,'Raw IC'!$B$5:$B$546,10)=0,"",SUMIFS('Raw IC'!$H$5:$H$546,'Raw IC'!$A$5:$A$546,$B151,'Raw IC'!$B$5:$B$546,10))</x:f>
        <x:v>-0.1469785282445923</x:v>
      </x:c>
      <x:c r="J151" s="30" t="n">
        <x:f>IF(COUNTIFS('Raw IC'!$A$5:$A$546,$B151,'Raw IC'!$B$5:$B$546,20)=0,"",SUMIFS('Raw IC'!$F$5:$F$546,'Raw IC'!$A$5:$A$546,$B151,'Raw IC'!$B$5:$B$546,20))</x:f>
        <x:v>-0.023146052466604495</x:v>
      </x:c>
      <x:c r="K151" s="30" t="n">
        <x:f>IF(COUNTIFS('Raw IC'!$A$5:$A$546,$B151,'Raw IC'!$B$5:$B$546,20)=0,"",SUMIFS('Raw IC'!$H$5:$H$546,'Raw IC'!$A$5:$A$546,$B151,'Raw IC'!$B$5:$B$546,20))</x:f>
        <x:v>-0.18505255834328277</x:v>
      </x:c>
      <x:c r="L151" s="30" t="n">
        <x:f>IF(COUNT(I151,K151)&lt;2,"",AVERAGE(ABS(I151),ABS(K151)))</x:f>
        <x:v>0.16601554329393753</x:v>
      </x:c>
      <x:c r="M151" t="str">
        <x:f>IF(COUNT(H151,J151)&lt;2,"",IF(H151*J151&gt;=0,IF(H151&gt;=0,"positive","negative"),"mixed"))</x:f>
        <x:v>negative</x:v>
      </x:c>
      <x:c r="N151" s="74" t="n">
        <x:v>46211.28466986111</x:v>
      </x:c>
      <x:c r="O151" s="19" t="n">
        <x:v>8902245</x:v>
      </x:c>
      <x:c r="P151" t="str">
        <x:v>8f7e606554926462248cbcc654181861438ca768a0063f6b317223ede37d16fb</x:v>
      </x:c>
      <x:c r="Q151" t="str">
        <x:v>factor_report/gtja191_batch/gtja_057</x:v>
      </x:c>
    </x:row>
    <x:row r="152">
      <x:c r="A152" s="50" t="n">
        <x:f>IF($C152="ranked",1+COUNTIFS($C$5:$C$190,"ranked",$L$5:$L$190,"&gt;"&amp;$L152),"")</x:f>
        <x:v>148</x:v>
      </x:c>
      <x:c r="B152" t="str">
        <x:v>gtja_115</x:v>
      </x:c>
      <x:c r="C152" t="str">
        <x:v>ranked</x:v>
      </x:c>
      <x:c r="D152" s="30" t="str">
        <x:f>IF(COUNTIFS('Raw IC'!$A$5:$A$546,$B152,'Raw IC'!$B$5:$B$546,1)=0,"",SUMIFS('Raw IC'!$F$5:$F$546,'Raw IC'!$A$5:$A$546,$B152,'Raw IC'!$B$5:$B$546,1))</x:f>
      </x:c>
      <x:c r="E152" s="30" t="str">
        <x:f>IF(COUNTIFS('Raw IC'!$A$5:$A$546,$B152,'Raw IC'!$B$5:$B$546,1)=0,"",SUMIFS('Raw IC'!$H$5:$H$546,'Raw IC'!$A$5:$A$546,$B152,'Raw IC'!$B$5:$B$546,1))</x:f>
      </x:c>
      <x:c r="F152" s="30" t="str">
        <x:f>IF(COUNTIFS('Raw IC'!$A$5:$A$546,$B152,'Raw IC'!$B$5:$B$546,5)=0,"",SUMIFS('Raw IC'!$F$5:$F$546,'Raw IC'!$A$5:$A$546,$B152,'Raw IC'!$B$5:$B$546,5))</x:f>
      </x:c>
      <x:c r="G152" s="30" t="str">
        <x:f>IF(COUNTIFS('Raw IC'!$A$5:$A$546,$B152,'Raw IC'!$B$5:$B$546,5)=0,"",SUMIFS('Raw IC'!$H$5:$H$546,'Raw IC'!$A$5:$A$546,$B152,'Raw IC'!$B$5:$B$546,5))</x:f>
      </x:c>
      <x:c r="H152" s="30" t="n">
        <x:f>IF(COUNTIFS('Raw IC'!$A$5:$A$546,$B152,'Raw IC'!$B$5:$B$546,10)=0,"",SUMIFS('Raw IC'!$F$5:$F$546,'Raw IC'!$A$5:$A$546,$B152,'Raw IC'!$B$5:$B$546,10))</x:f>
        <x:v>0.007737353715511953</x:v>
      </x:c>
      <x:c r="I152" s="30" t="n">
        <x:f>IF(COUNTIFS('Raw IC'!$A$5:$A$546,$B152,'Raw IC'!$B$5:$B$546,10)=0,"",SUMIFS('Raw IC'!$H$5:$H$546,'Raw IC'!$A$5:$A$546,$B152,'Raw IC'!$B$5:$B$546,10))</x:f>
        <x:v>0.12016645901841765</x:v>
      </x:c>
      <x:c r="J152" s="30" t="n">
        <x:f>IF(COUNTIFS('Raw IC'!$A$5:$A$546,$B152,'Raw IC'!$B$5:$B$546,20)=0,"",SUMIFS('Raw IC'!$F$5:$F$546,'Raw IC'!$A$5:$A$546,$B152,'Raw IC'!$B$5:$B$546,20))</x:f>
        <x:v>0.012895301921902426</x:v>
      </x:c>
      <x:c r="K152" s="30" t="n">
        <x:f>IF(COUNTIFS('Raw IC'!$A$5:$A$546,$B152,'Raw IC'!$B$5:$B$546,20)=0,"",SUMIFS('Raw IC'!$H$5:$H$546,'Raw IC'!$A$5:$A$546,$B152,'Raw IC'!$B$5:$B$546,20))</x:f>
        <x:v>0.2001070822081105</x:v>
      </x:c>
      <x:c r="L152" s="30" t="n">
        <x:f>IF(COUNT(I152,K152)&lt;2,"",AVERAGE(ABS(I152),ABS(K152)))</x:f>
        <x:v>0.16013677061326406</x:v>
      </x:c>
      <x:c r="M152" t="str">
        <x:f>IF(COUNT(H152,J152)&lt;2,"",IF(H152*J152&gt;=0,IF(H152&gt;=0,"positive","negative"),"mixed"))</x:f>
        <x:v>positive</x:v>
      </x:c>
      <x:c r="N152" s="74" t="n">
        <x:v>46211.375733472225</x:v>
      </x:c>
      <x:c r="O152" s="19" t="n">
        <x:v>8902245</x:v>
      </x:c>
      <x:c r="P152" t="str">
        <x:v>8f7e606554926462248cbcc654181861438ca768a0063f6b317223ede37d16fb</x:v>
      </x:c>
      <x:c r="Q152" t="str">
        <x:v>factor_report/gtja191_batch/gtja_115</x:v>
      </x:c>
    </x:row>
    <x:row r="153">
      <x:c r="A153" s="50" t="n">
        <x:f>IF($C153="ranked",1+COUNTIFS($C$5:$C$190,"ranked",$L$5:$L$190,"&gt;"&amp;$L153),"")</x:f>
        <x:v>149</x:v>
      </x:c>
      <x:c r="B153" t="str">
        <x:v>gtja_131</x:v>
      </x:c>
      <x:c r="C153" t="str">
        <x:v>ranked</x:v>
      </x:c>
      <x:c r="D153" s="30" t="str">
        <x:f>IF(COUNTIFS('Raw IC'!$A$5:$A$546,$B153,'Raw IC'!$B$5:$B$546,1)=0,"",SUMIFS('Raw IC'!$F$5:$F$546,'Raw IC'!$A$5:$A$546,$B153,'Raw IC'!$B$5:$B$546,1))</x:f>
      </x:c>
      <x:c r="E153" s="30" t="str">
        <x:f>IF(COUNTIFS('Raw IC'!$A$5:$A$546,$B153,'Raw IC'!$B$5:$B$546,1)=0,"",SUMIFS('Raw IC'!$H$5:$H$546,'Raw IC'!$A$5:$A$546,$B153,'Raw IC'!$B$5:$B$546,1))</x:f>
      </x:c>
      <x:c r="F153" s="30" t="str">
        <x:f>IF(COUNTIFS('Raw IC'!$A$5:$A$546,$B153,'Raw IC'!$B$5:$B$546,5)=0,"",SUMIFS('Raw IC'!$F$5:$F$546,'Raw IC'!$A$5:$A$546,$B153,'Raw IC'!$B$5:$B$546,5))</x:f>
      </x:c>
      <x:c r="G153" s="30" t="str">
        <x:f>IF(COUNTIFS('Raw IC'!$A$5:$A$546,$B153,'Raw IC'!$B$5:$B$546,5)=0,"",SUMIFS('Raw IC'!$H$5:$H$546,'Raw IC'!$A$5:$A$546,$B153,'Raw IC'!$B$5:$B$546,5))</x:f>
      </x:c>
      <x:c r="H153" s="30" t="n">
        <x:f>IF(COUNTIFS('Raw IC'!$A$5:$A$546,$B153,'Raw IC'!$B$5:$B$546,10)=0,"",SUMIFS('Raw IC'!$F$5:$F$546,'Raw IC'!$A$5:$A$546,$B153,'Raw IC'!$B$5:$B$546,10))</x:f>
        <x:v>-0.013333120838158815</x:v>
      </x:c>
      <x:c r="I153" s="30" t="n">
        <x:f>IF(COUNTIFS('Raw IC'!$A$5:$A$546,$B153,'Raw IC'!$B$5:$B$546,10)=0,"",SUMIFS('Raw IC'!$H$5:$H$546,'Raw IC'!$A$5:$A$546,$B153,'Raw IC'!$B$5:$B$546,10))</x:f>
        <x:v>-0.13840148263838772</x:v>
      </x:c>
      <x:c r="J153" s="30" t="n">
        <x:f>IF(COUNTIFS('Raw IC'!$A$5:$A$546,$B153,'Raw IC'!$B$5:$B$546,20)=0,"",SUMIFS('Raw IC'!$F$5:$F$546,'Raw IC'!$A$5:$A$546,$B153,'Raw IC'!$B$5:$B$546,20))</x:f>
        <x:v>-0.01601436357634598</x:v>
      </x:c>
      <x:c r="K153" s="30" t="n">
        <x:f>IF(COUNTIFS('Raw IC'!$A$5:$A$546,$B153,'Raw IC'!$B$5:$B$546,20)=0,"",SUMIFS('Raw IC'!$H$5:$H$546,'Raw IC'!$A$5:$A$546,$B153,'Raw IC'!$B$5:$B$546,20))</x:f>
        <x:v>-0.16567898393726233</x:v>
      </x:c>
      <x:c r="L153" s="30" t="n">
        <x:f>IF(COUNT(I153,K153)&lt;2,"",AVERAGE(ABS(I153),ABS(K153)))</x:f>
        <x:v>0.152040233287825</x:v>
      </x:c>
      <x:c r="M153" t="str">
        <x:f>IF(COUNT(H153,J153)&lt;2,"",IF(H153*J153&gt;=0,IF(H153&gt;=0,"positive","negative"),"mixed"))</x:f>
        <x:v>negative</x:v>
      </x:c>
      <x:c r="N153" s="74" t="n">
        <x:v>46211.42457349537</x:v>
      </x:c>
      <x:c r="O153" s="19" t="n">
        <x:v>8902245</x:v>
      </x:c>
      <x:c r="P153" t="str">
        <x:v>8f7e606554926462248cbcc654181861438ca768a0063f6b317223ede37d16fb</x:v>
      </x:c>
      <x:c r="Q153" t="str">
        <x:v>factor_report/gtja191_batch/gtja_131</x:v>
      </x:c>
    </x:row>
    <x:row r="154">
      <x:c r="A154" s="50" t="n">
        <x:f>IF($C154="ranked",1+COUNTIFS($C$5:$C$190,"ranked",$L$5:$L$190,"&gt;"&amp;$L154),"")</x:f>
        <x:v>150</x:v>
      </x:c>
      <x:c r="B154" t="str">
        <x:v>gtja_011</x:v>
      </x:c>
      <x:c r="C154" t="str">
        <x:v>ranked</x:v>
      </x:c>
      <x:c r="D154" s="30" t="str">
        <x:f>IF(COUNTIFS('Raw IC'!$A$5:$A$546,$B154,'Raw IC'!$B$5:$B$546,1)=0,"",SUMIFS('Raw IC'!$F$5:$F$546,'Raw IC'!$A$5:$A$546,$B154,'Raw IC'!$B$5:$B$546,1))</x:f>
      </x:c>
      <x:c r="E154" s="30" t="str">
        <x:f>IF(COUNTIFS('Raw IC'!$A$5:$A$546,$B154,'Raw IC'!$B$5:$B$546,1)=0,"",SUMIFS('Raw IC'!$H$5:$H$546,'Raw IC'!$A$5:$A$546,$B154,'Raw IC'!$B$5:$B$546,1))</x:f>
      </x:c>
      <x:c r="F154" s="30" t="str">
        <x:f>IF(COUNTIFS('Raw IC'!$A$5:$A$546,$B154,'Raw IC'!$B$5:$B$546,5)=0,"",SUMIFS('Raw IC'!$F$5:$F$546,'Raw IC'!$A$5:$A$546,$B154,'Raw IC'!$B$5:$B$546,5))</x:f>
      </x:c>
      <x:c r="G154" s="30" t="str">
        <x:f>IF(COUNTIFS('Raw IC'!$A$5:$A$546,$B154,'Raw IC'!$B$5:$B$546,5)=0,"",SUMIFS('Raw IC'!$H$5:$H$546,'Raw IC'!$A$5:$A$546,$B154,'Raw IC'!$B$5:$B$546,5))</x:f>
      </x:c>
      <x:c r="H154" s="30" t="n">
        <x:f>IF(COUNTIFS('Raw IC'!$A$5:$A$546,$B154,'Raw IC'!$B$5:$B$546,10)=0,"",SUMIFS('Raw IC'!$F$5:$F$546,'Raw IC'!$A$5:$A$546,$B154,'Raw IC'!$B$5:$B$546,10))</x:f>
        <x:v>-0.012854348658762733</x:v>
      </x:c>
      <x:c r="I154" s="30" t="n">
        <x:f>IF(COUNTIFS('Raw IC'!$A$5:$A$546,$B154,'Raw IC'!$B$5:$B$546,10)=0,"",SUMIFS('Raw IC'!$H$5:$H$546,'Raw IC'!$A$5:$A$546,$B154,'Raw IC'!$B$5:$B$546,10))</x:f>
        <x:v>-0.14144496913210625</x:v>
      </x:c>
      <x:c r="J154" s="30" t="n">
        <x:f>IF(COUNTIFS('Raw IC'!$A$5:$A$546,$B154,'Raw IC'!$B$5:$B$546,20)=0,"",SUMIFS('Raw IC'!$F$5:$F$546,'Raw IC'!$A$5:$A$546,$B154,'Raw IC'!$B$5:$B$546,20))</x:f>
        <x:v>-0.01376007623230903</x:v>
      </x:c>
      <x:c r="K154" s="30" t="n">
        <x:f>IF(COUNTIFS('Raw IC'!$A$5:$A$546,$B154,'Raw IC'!$B$5:$B$546,20)=0,"",SUMIFS('Raw IC'!$H$5:$H$546,'Raw IC'!$A$5:$A$546,$B154,'Raw IC'!$B$5:$B$546,20))</x:f>
        <x:v>-0.15169411749701533</x:v>
      </x:c>
      <x:c r="L154" s="30" t="n">
        <x:f>IF(COUNT(I154,K154)&lt;2,"",AVERAGE(ABS(I154),ABS(K154)))</x:f>
        <x:v>0.1465695433145608</x:v>
      </x:c>
      <x:c r="M154" t="str">
        <x:f>IF(COUNT(H154,J154)&lt;2,"",IF(H154*J154&gt;=0,IF(H154&gt;=0,"positive","negative"),"mixed"))</x:f>
        <x:v>negative</x:v>
      </x:c>
      <x:c r="N154" s="74" t="n">
        <x:v>46211.181871574074</x:v>
      </x:c>
      <x:c r="O154" s="19" t="n">
        <x:v>8902245</x:v>
      </x:c>
      <x:c r="P154" t="str">
        <x:v>8f7e606554926462248cbcc654181861438ca768a0063f6b317223ede37d16fb</x:v>
      </x:c>
      <x:c r="Q154" t="str">
        <x:v>factor_report/gtja191_batch/gtja_011</x:v>
      </x:c>
    </x:row>
    <x:row r="155">
      <x:c r="A155" s="50" t="n">
        <x:f>IF($C155="ranked",1+COUNTIFS($C$5:$C$190,"ranked",$L$5:$L$190,"&gt;"&amp;$L155),"")</x:f>
        <x:v>151</x:v>
      </x:c>
      <x:c r="B155" t="str">
        <x:v>gtja_104</x:v>
      </x:c>
      <x:c r="C155" t="str">
        <x:v>ranked</x:v>
      </x:c>
      <x:c r="D155" s="30" t="str">
        <x:f>IF(COUNTIFS('Raw IC'!$A$5:$A$546,$B155,'Raw IC'!$B$5:$B$546,1)=0,"",SUMIFS('Raw IC'!$F$5:$F$546,'Raw IC'!$A$5:$A$546,$B155,'Raw IC'!$B$5:$B$546,1))</x:f>
      </x:c>
      <x:c r="E155" s="30" t="str">
        <x:f>IF(COUNTIFS('Raw IC'!$A$5:$A$546,$B155,'Raw IC'!$B$5:$B$546,1)=0,"",SUMIFS('Raw IC'!$H$5:$H$546,'Raw IC'!$A$5:$A$546,$B155,'Raw IC'!$B$5:$B$546,1))</x:f>
      </x:c>
      <x:c r="F155" s="30" t="str">
        <x:f>IF(COUNTIFS('Raw IC'!$A$5:$A$546,$B155,'Raw IC'!$B$5:$B$546,5)=0,"",SUMIFS('Raw IC'!$F$5:$F$546,'Raw IC'!$A$5:$A$546,$B155,'Raw IC'!$B$5:$B$546,5))</x:f>
      </x:c>
      <x:c r="G155" s="30" t="str">
        <x:f>IF(COUNTIFS('Raw IC'!$A$5:$A$546,$B155,'Raw IC'!$B$5:$B$546,5)=0,"",SUMIFS('Raw IC'!$H$5:$H$546,'Raw IC'!$A$5:$A$546,$B155,'Raw IC'!$B$5:$B$546,5))</x:f>
      </x:c>
      <x:c r="H155" s="30" t="n">
        <x:f>IF(COUNTIFS('Raw IC'!$A$5:$A$546,$B155,'Raw IC'!$B$5:$B$546,10)=0,"",SUMIFS('Raw IC'!$F$5:$F$546,'Raw IC'!$A$5:$A$546,$B155,'Raw IC'!$B$5:$B$546,10))</x:f>
        <x:v>0.007983525906834345</x:v>
      </x:c>
      <x:c r="I155" s="30" t="n">
        <x:f>IF(COUNTIFS('Raw IC'!$A$5:$A$546,$B155,'Raw IC'!$B$5:$B$546,10)=0,"",SUMIFS('Raw IC'!$H$5:$H$546,'Raw IC'!$A$5:$A$546,$B155,'Raw IC'!$B$5:$B$546,10))</x:f>
        <x:v>0.13834588740776188</x:v>
      </x:c>
      <x:c r="J155" s="30" t="n">
        <x:f>IF(COUNTIFS('Raw IC'!$A$5:$A$546,$B155,'Raw IC'!$B$5:$B$546,20)=0,"",SUMIFS('Raw IC'!$F$5:$F$546,'Raw IC'!$A$5:$A$546,$B155,'Raw IC'!$B$5:$B$546,20))</x:f>
        <x:v>0.007791365466936186</x:v>
      </x:c>
      <x:c r="K155" s="30" t="n">
        <x:f>IF(COUNTIFS('Raw IC'!$A$5:$A$546,$B155,'Raw IC'!$B$5:$B$546,20)=0,"",SUMIFS('Raw IC'!$H$5:$H$546,'Raw IC'!$A$5:$A$546,$B155,'Raw IC'!$B$5:$B$546,20))</x:f>
        <x:v>0.14189644349229727</x:v>
      </x:c>
      <x:c r="L155" s="30" t="n">
        <x:f>IF(COUNT(I155,K155)&lt;2,"",AVERAGE(ABS(I155),ABS(K155)))</x:f>
        <x:v>0.14012116545002956</x:v>
      </x:c>
      <x:c r="M155" t="str">
        <x:f>IF(COUNT(H155,J155)&lt;2,"",IF(H155*J155&gt;=0,IF(H155&gt;=0,"positive","negative"),"mixed"))</x:f>
        <x:v>positive</x:v>
      </x:c>
      <x:c r="N155" s="74" t="n">
        <x:v>46211.35578873842</x:v>
      </x:c>
      <x:c r="O155" s="19" t="n">
        <x:v>8902245</x:v>
      </x:c>
      <x:c r="P155" t="str">
        <x:v>8f7e606554926462248cbcc654181861438ca768a0063f6b317223ede37d16fb</x:v>
      </x:c>
      <x:c r="Q155" t="str">
        <x:v>factor_report/gtja191_batch/gtja_104</x:v>
      </x:c>
    </x:row>
    <x:row r="156">
      <x:c r="A156" s="50" t="n">
        <x:f>IF($C156="ranked",1+COUNTIFS($C$5:$C$190,"ranked",$L$5:$L$190,"&gt;"&amp;$L156),"")</x:f>
        <x:v>152</x:v>
      </x:c>
      <x:c r="B156" t="str">
        <x:v>gtja_037</x:v>
      </x:c>
      <x:c r="C156" t="str">
        <x:v>ranked</x:v>
      </x:c>
      <x:c r="D156" s="30" t="str">
        <x:f>IF(COUNTIFS('Raw IC'!$A$5:$A$546,$B156,'Raw IC'!$B$5:$B$546,1)=0,"",SUMIFS('Raw IC'!$F$5:$F$546,'Raw IC'!$A$5:$A$546,$B156,'Raw IC'!$B$5:$B$546,1))</x:f>
      </x:c>
      <x:c r="E156" s="30" t="str">
        <x:f>IF(COUNTIFS('Raw IC'!$A$5:$A$546,$B156,'Raw IC'!$B$5:$B$546,1)=0,"",SUMIFS('Raw IC'!$H$5:$H$546,'Raw IC'!$A$5:$A$546,$B156,'Raw IC'!$B$5:$B$546,1))</x:f>
      </x:c>
      <x:c r="F156" s="30" t="str">
        <x:f>IF(COUNTIFS('Raw IC'!$A$5:$A$546,$B156,'Raw IC'!$B$5:$B$546,5)=0,"",SUMIFS('Raw IC'!$F$5:$F$546,'Raw IC'!$A$5:$A$546,$B156,'Raw IC'!$B$5:$B$546,5))</x:f>
      </x:c>
      <x:c r="G156" s="30" t="str">
        <x:f>IF(COUNTIFS('Raw IC'!$A$5:$A$546,$B156,'Raw IC'!$B$5:$B$546,5)=0,"",SUMIFS('Raw IC'!$H$5:$H$546,'Raw IC'!$A$5:$A$546,$B156,'Raw IC'!$B$5:$B$546,5))</x:f>
      </x:c>
      <x:c r="H156" s="30" t="n">
        <x:f>IF(COUNTIFS('Raw IC'!$A$5:$A$546,$B156,'Raw IC'!$B$5:$B$546,10)=0,"",SUMIFS('Raw IC'!$F$5:$F$546,'Raw IC'!$A$5:$A$546,$B156,'Raw IC'!$B$5:$B$546,10))</x:f>
        <x:v>0.014642357715960992</x:v>
      </x:c>
      <x:c r="I156" s="30" t="n">
        <x:f>IF(COUNTIFS('Raw IC'!$A$5:$A$546,$B156,'Raw IC'!$B$5:$B$546,10)=0,"",SUMIFS('Raw IC'!$H$5:$H$546,'Raw IC'!$A$5:$A$546,$B156,'Raw IC'!$B$5:$B$546,10))</x:f>
        <x:v>0.12806413232220784</x:v>
      </x:c>
      <x:c r="J156" s="30" t="n">
        <x:f>IF(COUNTIFS('Raw IC'!$A$5:$A$546,$B156,'Raw IC'!$B$5:$B$546,20)=0,"",SUMIFS('Raw IC'!$F$5:$F$546,'Raw IC'!$A$5:$A$546,$B156,'Raw IC'!$B$5:$B$546,20))</x:f>
        <x:v>0.0168715826501612</x:v>
      </x:c>
      <x:c r="K156" s="30" t="n">
        <x:f>IF(COUNTIFS('Raw IC'!$A$5:$A$546,$B156,'Raw IC'!$B$5:$B$546,20)=0,"",SUMIFS('Raw IC'!$H$5:$H$546,'Raw IC'!$A$5:$A$546,$B156,'Raw IC'!$B$5:$B$546,20))</x:f>
        <x:v>0.1496136518455308</x:v>
      </x:c>
      <x:c r="L156" s="30" t="n">
        <x:f>IF(COUNT(I156,K156)&lt;2,"",AVERAGE(ABS(I156),ABS(K156)))</x:f>
        <x:v>0.13883889208386932</x:v>
      </x:c>
      <x:c r="M156" t="str">
        <x:f>IF(COUNT(H156,J156)&lt;2,"",IF(H156*J156&gt;=0,IF(H156&gt;=0,"positive","negative"),"mixed"))</x:f>
        <x:v>positive</x:v>
      </x:c>
      <x:c r="N156" s="74" t="n">
        <x:v>46211.237209722225</x:v>
      </x:c>
      <x:c r="O156" s="19" t="n">
        <x:v>8902245</x:v>
      </x:c>
      <x:c r="P156" t="str">
        <x:v>8f7e606554926462248cbcc654181861438ca768a0063f6b317223ede37d16fb</x:v>
      </x:c>
      <x:c r="Q156" t="str">
        <x:v>factor_report/gtja191_batch/gtja_037</x:v>
      </x:c>
    </x:row>
    <x:row r="157">
      <x:c r="A157" s="50" t="n">
        <x:f>IF($C157="ranked",1+COUNTIFS($C$5:$C$190,"ranked",$L$5:$L$190,"&gt;"&amp;$L157),"")</x:f>
        <x:v>153</x:v>
      </x:c>
      <x:c r="B157" t="str">
        <x:v>gtja_039</x:v>
      </x:c>
      <x:c r="C157" t="str">
        <x:v>ranked</x:v>
      </x:c>
      <x:c r="D157" s="30" t="str">
        <x:f>IF(COUNTIFS('Raw IC'!$A$5:$A$546,$B157,'Raw IC'!$B$5:$B$546,1)=0,"",SUMIFS('Raw IC'!$F$5:$F$546,'Raw IC'!$A$5:$A$546,$B157,'Raw IC'!$B$5:$B$546,1))</x:f>
      </x:c>
      <x:c r="E157" s="30" t="str">
        <x:f>IF(COUNTIFS('Raw IC'!$A$5:$A$546,$B157,'Raw IC'!$B$5:$B$546,1)=0,"",SUMIFS('Raw IC'!$H$5:$H$546,'Raw IC'!$A$5:$A$546,$B157,'Raw IC'!$B$5:$B$546,1))</x:f>
      </x:c>
      <x:c r="F157" s="30" t="str">
        <x:f>IF(COUNTIFS('Raw IC'!$A$5:$A$546,$B157,'Raw IC'!$B$5:$B$546,5)=0,"",SUMIFS('Raw IC'!$F$5:$F$546,'Raw IC'!$A$5:$A$546,$B157,'Raw IC'!$B$5:$B$546,5))</x:f>
      </x:c>
      <x:c r="G157" s="30" t="str">
        <x:f>IF(COUNTIFS('Raw IC'!$A$5:$A$546,$B157,'Raw IC'!$B$5:$B$546,5)=0,"",SUMIFS('Raw IC'!$H$5:$H$546,'Raw IC'!$A$5:$A$546,$B157,'Raw IC'!$B$5:$B$546,5))</x:f>
      </x:c>
      <x:c r="H157" s="30" t="n">
        <x:f>IF(COUNTIFS('Raw IC'!$A$5:$A$546,$B157,'Raw IC'!$B$5:$B$546,10)=0,"",SUMIFS('Raw IC'!$F$5:$F$546,'Raw IC'!$A$5:$A$546,$B157,'Raw IC'!$B$5:$B$546,10))</x:f>
        <x:v>0.012210149620699561</x:v>
      </x:c>
      <x:c r="I157" s="30" t="n">
        <x:f>IF(COUNTIFS('Raw IC'!$A$5:$A$546,$B157,'Raw IC'!$B$5:$B$546,10)=0,"",SUMIFS('Raw IC'!$H$5:$H$546,'Raw IC'!$A$5:$A$546,$B157,'Raw IC'!$B$5:$B$546,10))</x:f>
        <x:v>0.125375524113292</x:v>
      </x:c>
      <x:c r="J157" s="30" t="n">
        <x:f>IF(COUNTIFS('Raw IC'!$A$5:$A$546,$B157,'Raw IC'!$B$5:$B$546,20)=0,"",SUMIFS('Raw IC'!$F$5:$F$546,'Raw IC'!$A$5:$A$546,$B157,'Raw IC'!$B$5:$B$546,20))</x:f>
        <x:v>0.013172002972081018</x:v>
      </x:c>
      <x:c r="K157" s="30" t="n">
        <x:f>IF(COUNTIFS('Raw IC'!$A$5:$A$546,$B157,'Raw IC'!$B$5:$B$546,20)=0,"",SUMIFS('Raw IC'!$H$5:$H$546,'Raw IC'!$A$5:$A$546,$B157,'Raw IC'!$B$5:$B$546,20))</x:f>
        <x:v>0.13894835534980562</x:v>
      </x:c>
      <x:c r="L157" s="30" t="n">
        <x:f>IF(COUNT(I157,K157)&lt;2,"",AVERAGE(ABS(I157),ABS(K157)))</x:f>
        <x:v>0.13216193973154883</x:v>
      </x:c>
      <x:c r="M157" t="str">
        <x:f>IF(COUNT(H157,J157)&lt;2,"",IF(H157*J157&gt;=0,IF(H157&gt;=0,"positive","negative"),"mixed"))</x:f>
        <x:v>positive</x:v>
      </x:c>
      <x:c r="N157" s="74" t="n">
        <x:v>46211.24500390046</x:v>
      </x:c>
      <x:c r="O157" s="19" t="n">
        <x:v>8902245</x:v>
      </x:c>
      <x:c r="P157" t="str">
        <x:v>8f7e606554926462248cbcc654181861438ca768a0063f6b317223ede37d16fb</x:v>
      </x:c>
      <x:c r="Q157" t="str">
        <x:v>factor_report/gtja191_batch/gtja_039</x:v>
      </x:c>
    </x:row>
    <x:row r="158">
      <x:c r="A158" s="50" t="n">
        <x:f>IF($C158="ranked",1+COUNTIFS($C$5:$C$190,"ranked",$L$5:$L$190,"&gt;"&amp;$L158),"")</x:f>
        <x:v>154</x:v>
      </x:c>
      <x:c r="B158" t="str">
        <x:v>gtja_180</x:v>
      </x:c>
      <x:c r="C158" t="str">
        <x:v>ranked</x:v>
      </x:c>
      <x:c r="D158" s="30" t="str">
        <x:f>IF(COUNTIFS('Raw IC'!$A$5:$A$546,$B158,'Raw IC'!$B$5:$B$546,1)=0,"",SUMIFS('Raw IC'!$F$5:$F$546,'Raw IC'!$A$5:$A$546,$B158,'Raw IC'!$B$5:$B$546,1))</x:f>
      </x:c>
      <x:c r="E158" s="30" t="str">
        <x:f>IF(COUNTIFS('Raw IC'!$A$5:$A$546,$B158,'Raw IC'!$B$5:$B$546,1)=0,"",SUMIFS('Raw IC'!$H$5:$H$546,'Raw IC'!$A$5:$A$546,$B158,'Raw IC'!$B$5:$B$546,1))</x:f>
      </x:c>
      <x:c r="F158" s="30" t="str">
        <x:f>IF(COUNTIFS('Raw IC'!$A$5:$A$546,$B158,'Raw IC'!$B$5:$B$546,5)=0,"",SUMIFS('Raw IC'!$F$5:$F$546,'Raw IC'!$A$5:$A$546,$B158,'Raw IC'!$B$5:$B$546,5))</x:f>
      </x:c>
      <x:c r="G158" s="30" t="str">
        <x:f>IF(COUNTIFS('Raw IC'!$A$5:$A$546,$B158,'Raw IC'!$B$5:$B$546,5)=0,"",SUMIFS('Raw IC'!$H$5:$H$546,'Raw IC'!$A$5:$A$546,$B158,'Raw IC'!$B$5:$B$546,5))</x:f>
      </x:c>
      <x:c r="H158" s="30" t="n">
        <x:f>IF(COUNTIFS('Raw IC'!$A$5:$A$546,$B158,'Raw IC'!$B$5:$B$546,10)=0,"",SUMIFS('Raw IC'!$F$5:$F$546,'Raw IC'!$A$5:$A$546,$B158,'Raw IC'!$B$5:$B$546,10))</x:f>
        <x:v>0.007859838396532771</x:v>
      </x:c>
      <x:c r="I158" s="30" t="n">
        <x:f>IF(COUNTIFS('Raw IC'!$A$5:$A$546,$B158,'Raw IC'!$B$5:$B$546,10)=0,"",SUMIFS('Raw IC'!$H$5:$H$546,'Raw IC'!$A$5:$A$546,$B158,'Raw IC'!$B$5:$B$546,10))</x:f>
        <x:v>0.10469366481864881</x:v>
      </x:c>
      <x:c r="J158" s="30" t="n">
        <x:f>IF(COUNTIFS('Raw IC'!$A$5:$A$546,$B158,'Raw IC'!$B$5:$B$546,20)=0,"",SUMIFS('Raw IC'!$F$5:$F$546,'Raw IC'!$A$5:$A$546,$B158,'Raw IC'!$B$5:$B$546,20))</x:f>
        <x:v>0.011468082114046265</x:v>
      </x:c>
      <x:c r="K158" s="30" t="n">
        <x:f>IF(COUNTIFS('Raw IC'!$A$5:$A$546,$B158,'Raw IC'!$B$5:$B$546,20)=0,"",SUMIFS('Raw IC'!$H$5:$H$546,'Raw IC'!$A$5:$A$546,$B158,'Raw IC'!$B$5:$B$546,20))</x:f>
        <x:v>0.1556335980740724</x:v>
      </x:c>
      <x:c r="L158" s="30" t="n">
        <x:f>IF(COUNT(I158,K158)&lt;2,"",AVERAGE(ABS(I158),ABS(K158)))</x:f>
        <x:v>0.13016363144636062</x:v>
      </x:c>
      <x:c r="M158" t="str">
        <x:f>IF(COUNT(H158,J158)&lt;2,"",IF(H158*J158&gt;=0,IF(H158&gt;=0,"positive","negative"),"mixed"))</x:f>
        <x:v>positive</x:v>
      </x:c>
      <x:c r="N158" s="74" t="n">
        <x:v>46211.53854369213</x:v>
      </x:c>
      <x:c r="O158" s="19" t="n">
        <x:v>8902245</x:v>
      </x:c>
      <x:c r="P158" t="str">
        <x:v>8f7e606554926462248cbcc654181861438ca768a0063f6b317223ede37d16fb</x:v>
      </x:c>
      <x:c r="Q158" t="str">
        <x:v>factor_report/gtja191_batch/gtja_180</x:v>
      </x:c>
    </x:row>
    <x:row r="159">
      <x:c r="A159" s="50" t="n">
        <x:f>IF($C159="ranked",1+COUNTIFS($C$5:$C$190,"ranked",$L$5:$L$190,"&gt;"&amp;$L159),"")</x:f>
        <x:v>155</x:v>
      </x:c>
      <x:c r="B159" t="str">
        <x:v>gtja_028</x:v>
      </x:c>
      <x:c r="C159" t="str">
        <x:v>ranked</x:v>
      </x:c>
      <x:c r="D159" s="30" t="str">
        <x:f>IF(COUNTIFS('Raw IC'!$A$5:$A$546,$B159,'Raw IC'!$B$5:$B$546,1)=0,"",SUMIFS('Raw IC'!$F$5:$F$546,'Raw IC'!$A$5:$A$546,$B159,'Raw IC'!$B$5:$B$546,1))</x:f>
      </x:c>
      <x:c r="E159" s="30" t="str">
        <x:f>IF(COUNTIFS('Raw IC'!$A$5:$A$546,$B159,'Raw IC'!$B$5:$B$546,1)=0,"",SUMIFS('Raw IC'!$H$5:$H$546,'Raw IC'!$A$5:$A$546,$B159,'Raw IC'!$B$5:$B$546,1))</x:f>
      </x:c>
      <x:c r="F159" s="30" t="str">
        <x:f>IF(COUNTIFS('Raw IC'!$A$5:$A$546,$B159,'Raw IC'!$B$5:$B$546,5)=0,"",SUMIFS('Raw IC'!$F$5:$F$546,'Raw IC'!$A$5:$A$546,$B159,'Raw IC'!$B$5:$B$546,5))</x:f>
      </x:c>
      <x:c r="G159" s="30" t="str">
        <x:f>IF(COUNTIFS('Raw IC'!$A$5:$A$546,$B159,'Raw IC'!$B$5:$B$546,5)=0,"",SUMIFS('Raw IC'!$H$5:$H$546,'Raw IC'!$A$5:$A$546,$B159,'Raw IC'!$B$5:$B$546,5))</x:f>
      </x:c>
      <x:c r="H159" s="30" t="n">
        <x:f>IF(COUNTIFS('Raw IC'!$A$5:$A$546,$B159,'Raw IC'!$B$5:$B$546,10)=0,"",SUMIFS('Raw IC'!$F$5:$F$546,'Raw IC'!$A$5:$A$546,$B159,'Raw IC'!$B$5:$B$546,10))</x:f>
        <x:v>-0.013591252705807414</x:v>
      </x:c>
      <x:c r="I159" s="30" t="n">
        <x:f>IF(COUNTIFS('Raw IC'!$A$5:$A$546,$B159,'Raw IC'!$B$5:$B$546,10)=0,"",SUMIFS('Raw IC'!$H$5:$H$546,'Raw IC'!$A$5:$A$546,$B159,'Raw IC'!$B$5:$B$546,10))</x:f>
        <x:v>-0.11268964856339474</x:v>
      </x:c>
      <x:c r="J159" s="30" t="n">
        <x:f>IF(COUNTIFS('Raw IC'!$A$5:$A$546,$B159,'Raw IC'!$B$5:$B$546,20)=0,"",SUMIFS('Raw IC'!$F$5:$F$546,'Raw IC'!$A$5:$A$546,$B159,'Raw IC'!$B$5:$B$546,20))</x:f>
        <x:v>-0.016461821597344287</x:v>
      </x:c>
      <x:c r="K159" s="30" t="n">
        <x:f>IF(COUNTIFS('Raw IC'!$A$5:$A$546,$B159,'Raw IC'!$B$5:$B$546,20)=0,"",SUMIFS('Raw IC'!$H$5:$H$546,'Raw IC'!$A$5:$A$546,$B159,'Raw IC'!$B$5:$B$546,20))</x:f>
        <x:v>-0.1392122508622191</x:v>
      </x:c>
      <x:c r="L159" s="30" t="n">
        <x:f>IF(COUNT(I159,K159)&lt;2,"",AVERAGE(ABS(I159),ABS(K159)))</x:f>
        <x:v>0.12595094971280693</x:v>
      </x:c>
      <x:c r="M159" t="str">
        <x:f>IF(COUNT(H159,J159)&lt;2,"",IF(H159*J159&gt;=0,IF(H159&gt;=0,"positive","negative"),"mixed"))</x:f>
        <x:v>negative</x:v>
      </x:c>
      <x:c r="N159" s="74" t="n">
        <x:v>46211.21958586806</x:v>
      </x:c>
      <x:c r="O159" s="19" t="n">
        <x:v>8902245</x:v>
      </x:c>
      <x:c r="P159" t="str">
        <x:v>8f7e606554926462248cbcc654181861438ca768a0063f6b317223ede37d16fb</x:v>
      </x:c>
      <x:c r="Q159" t="str">
        <x:v>factor_report/gtja191_batch/gtja_028</x:v>
      </x:c>
    </x:row>
    <x:row r="160">
      <x:c r="A160" s="50" t="n">
        <x:f>IF($C160="ranked",1+COUNTIFS($C$5:$C$190,"ranked",$L$5:$L$190,"&gt;"&amp;$L160),"")</x:f>
        <x:v>156</x:v>
      </x:c>
      <x:c r="B160" t="str">
        <x:v>gtja_191</x:v>
      </x:c>
      <x:c r="C160" t="str">
        <x:v>ranked</x:v>
      </x:c>
      <x:c r="D160" s="30" t="str">
        <x:f>IF(COUNTIFS('Raw IC'!$A$5:$A$546,$B160,'Raw IC'!$B$5:$B$546,1)=0,"",SUMIFS('Raw IC'!$F$5:$F$546,'Raw IC'!$A$5:$A$546,$B160,'Raw IC'!$B$5:$B$546,1))</x:f>
      </x:c>
      <x:c r="E160" s="30" t="str">
        <x:f>IF(COUNTIFS('Raw IC'!$A$5:$A$546,$B160,'Raw IC'!$B$5:$B$546,1)=0,"",SUMIFS('Raw IC'!$H$5:$H$546,'Raw IC'!$A$5:$A$546,$B160,'Raw IC'!$B$5:$B$546,1))</x:f>
      </x:c>
      <x:c r="F160" s="30" t="str">
        <x:f>IF(COUNTIFS('Raw IC'!$A$5:$A$546,$B160,'Raw IC'!$B$5:$B$546,5)=0,"",SUMIFS('Raw IC'!$F$5:$F$546,'Raw IC'!$A$5:$A$546,$B160,'Raw IC'!$B$5:$B$546,5))</x:f>
      </x:c>
      <x:c r="G160" s="30" t="str">
        <x:f>IF(COUNTIFS('Raw IC'!$A$5:$A$546,$B160,'Raw IC'!$B$5:$B$546,5)=0,"",SUMIFS('Raw IC'!$H$5:$H$546,'Raw IC'!$A$5:$A$546,$B160,'Raw IC'!$B$5:$B$546,5))</x:f>
      </x:c>
      <x:c r="H160" s="30" t="n">
        <x:f>IF(COUNTIFS('Raw IC'!$A$5:$A$546,$B160,'Raw IC'!$B$5:$B$546,10)=0,"",SUMIFS('Raw IC'!$F$5:$F$546,'Raw IC'!$A$5:$A$546,$B160,'Raw IC'!$B$5:$B$546,10))</x:f>
        <x:v>-0.010643251959893268</x:v>
      </x:c>
      <x:c r="I160" s="30" t="n">
        <x:f>IF(COUNTIFS('Raw IC'!$A$5:$A$546,$B160,'Raw IC'!$B$5:$B$546,10)=0,"",SUMIFS('Raw IC'!$H$5:$H$546,'Raw IC'!$A$5:$A$546,$B160,'Raw IC'!$B$5:$B$546,10))</x:f>
        <x:v>-0.13787658497915115</x:v>
      </x:c>
      <x:c r="J160" s="30" t="n">
        <x:f>IF(COUNTIFS('Raw IC'!$A$5:$A$546,$B160,'Raw IC'!$B$5:$B$546,20)=0,"",SUMIFS('Raw IC'!$F$5:$F$546,'Raw IC'!$A$5:$A$546,$B160,'Raw IC'!$B$5:$B$546,20))</x:f>
        <x:v>-0.008723780893884016</x:v>
      </x:c>
      <x:c r="K160" s="30" t="n">
        <x:f>IF(COUNTIFS('Raw IC'!$A$5:$A$546,$B160,'Raw IC'!$B$5:$B$546,20)=0,"",SUMIFS('Raw IC'!$H$5:$H$546,'Raw IC'!$A$5:$A$546,$B160,'Raw IC'!$B$5:$B$546,20))</x:f>
        <x:v>-0.11386894475342071</x:v>
      </x:c>
      <x:c r="L160" s="30" t="n">
        <x:f>IF(COUNT(I160,K160)&lt;2,"",AVERAGE(ABS(I160),ABS(K160)))</x:f>
        <x:v>0.12587276486628593</x:v>
      </x:c>
      <x:c r="M160" t="str">
        <x:f>IF(COUNT(H160,J160)&lt;2,"",IF(H160*J160&gt;=0,IF(H160&gt;=0,"positive","negative"),"mixed"))</x:f>
        <x:v>negative</x:v>
      </x:c>
      <x:c r="N160" s="74" t="n">
        <x:v>46211.55645755787</x:v>
      </x:c>
      <x:c r="O160" s="19" t="n">
        <x:v>8902245</x:v>
      </x:c>
      <x:c r="P160" t="str">
        <x:v>8f7e606554926462248cbcc654181861438ca768a0063f6b317223ede37d16fb</x:v>
      </x:c>
      <x:c r="Q160" t="str">
        <x:v>factor_report/gtja191_batch/gtja_191</x:v>
      </x:c>
    </x:row>
    <x:row r="161">
      <x:c r="A161" s="50" t="n">
        <x:f>IF($C161="ranked",1+COUNTIFS($C$5:$C$190,"ranked",$L$5:$L$190,"&gt;"&amp;$L161),"")</x:f>
        <x:v>157</x:v>
      </x:c>
      <x:c r="B161" t="str">
        <x:v>gtja_125</x:v>
      </x:c>
      <x:c r="C161" t="str">
        <x:v>ranked</x:v>
      </x:c>
      <x:c r="D161" s="30" t="str">
        <x:f>IF(COUNTIFS('Raw IC'!$A$5:$A$546,$B161,'Raw IC'!$B$5:$B$546,1)=0,"",SUMIFS('Raw IC'!$F$5:$F$546,'Raw IC'!$A$5:$A$546,$B161,'Raw IC'!$B$5:$B$546,1))</x:f>
      </x:c>
      <x:c r="E161" s="30" t="str">
        <x:f>IF(COUNTIFS('Raw IC'!$A$5:$A$546,$B161,'Raw IC'!$B$5:$B$546,1)=0,"",SUMIFS('Raw IC'!$H$5:$H$546,'Raw IC'!$A$5:$A$546,$B161,'Raw IC'!$B$5:$B$546,1))</x:f>
      </x:c>
      <x:c r="F161" s="30" t="str">
        <x:f>IF(COUNTIFS('Raw IC'!$A$5:$A$546,$B161,'Raw IC'!$B$5:$B$546,5)=0,"",SUMIFS('Raw IC'!$F$5:$F$546,'Raw IC'!$A$5:$A$546,$B161,'Raw IC'!$B$5:$B$546,5))</x:f>
      </x:c>
      <x:c r="G161" s="30" t="str">
        <x:f>IF(COUNTIFS('Raw IC'!$A$5:$A$546,$B161,'Raw IC'!$B$5:$B$546,5)=0,"",SUMIFS('Raw IC'!$H$5:$H$546,'Raw IC'!$A$5:$A$546,$B161,'Raw IC'!$B$5:$B$546,5))</x:f>
      </x:c>
      <x:c r="H161" s="30" t="n">
        <x:f>IF(COUNTIFS('Raw IC'!$A$5:$A$546,$B161,'Raw IC'!$B$5:$B$546,10)=0,"",SUMIFS('Raw IC'!$F$5:$F$546,'Raw IC'!$A$5:$A$546,$B161,'Raw IC'!$B$5:$B$546,10))</x:f>
        <x:v>0.010222219351592081</x:v>
      </x:c>
      <x:c r="I161" s="30" t="n">
        <x:f>IF(COUNTIFS('Raw IC'!$A$5:$A$546,$B161,'Raw IC'!$B$5:$B$546,10)=0,"",SUMIFS('Raw IC'!$H$5:$H$546,'Raw IC'!$A$5:$A$546,$B161,'Raw IC'!$B$5:$B$546,10))</x:f>
        <x:v>0.10507384806360026</x:v>
      </x:c>
      <x:c r="J161" s="30" t="n">
        <x:f>IF(COUNTIFS('Raw IC'!$A$5:$A$546,$B161,'Raw IC'!$B$5:$B$546,20)=0,"",SUMIFS('Raw IC'!$F$5:$F$546,'Raw IC'!$A$5:$A$546,$B161,'Raw IC'!$B$5:$B$546,20))</x:f>
        <x:v>0.013164239622034054</x:v>
      </x:c>
      <x:c r="K161" s="30" t="n">
        <x:f>IF(COUNTIFS('Raw IC'!$A$5:$A$546,$B161,'Raw IC'!$B$5:$B$546,20)=0,"",SUMIFS('Raw IC'!$H$5:$H$546,'Raw IC'!$A$5:$A$546,$B161,'Raw IC'!$B$5:$B$546,20))</x:f>
        <x:v>0.1409441673915612</x:v>
      </x:c>
      <x:c r="L161" s="30" t="n">
        <x:f>IF(COUNT(I161,K161)&lt;2,"",AVERAGE(ABS(I161),ABS(K161)))</x:f>
        <x:v>0.12300900772758074</x:v>
      </x:c>
      <x:c r="M161" t="str">
        <x:f>IF(COUNT(H161,J161)&lt;2,"",IF(H161*J161&gt;=0,IF(H161&gt;=0,"positive","negative"),"mixed"))</x:f>
        <x:v>positive</x:v>
      </x:c>
      <x:c r="N161" s="74" t="n">
        <x:v>46211.41519543981</x:v>
      </x:c>
      <x:c r="O161" s="19" t="n">
        <x:v>8902245</x:v>
      </x:c>
      <x:c r="P161" t="str">
        <x:v>8f7e606554926462248cbcc654181861438ca768a0063f6b317223ede37d16fb</x:v>
      </x:c>
      <x:c r="Q161" t="str">
        <x:v>factor_report/gtja191_batch/gtja_125</x:v>
      </x:c>
    </x:row>
    <x:row r="162">
      <x:c r="A162" s="50" t="n">
        <x:f>IF($C162="ranked",1+COUNTIFS($C$5:$C$190,"ranked",$L$5:$L$190,"&gt;"&amp;$L162),"")</x:f>
        <x:v>158</x:v>
      </x:c>
      <x:c r="B162" t="str">
        <x:v>gtja_022</x:v>
      </x:c>
      <x:c r="C162" t="str">
        <x:v>ranked</x:v>
      </x:c>
      <x:c r="D162" s="30" t="str">
        <x:f>IF(COUNTIFS('Raw IC'!$A$5:$A$546,$B162,'Raw IC'!$B$5:$B$546,1)=0,"",SUMIFS('Raw IC'!$F$5:$F$546,'Raw IC'!$A$5:$A$546,$B162,'Raw IC'!$B$5:$B$546,1))</x:f>
      </x:c>
      <x:c r="E162" s="30" t="str">
        <x:f>IF(COUNTIFS('Raw IC'!$A$5:$A$546,$B162,'Raw IC'!$B$5:$B$546,1)=0,"",SUMIFS('Raw IC'!$H$5:$H$546,'Raw IC'!$A$5:$A$546,$B162,'Raw IC'!$B$5:$B$546,1))</x:f>
      </x:c>
      <x:c r="F162" s="30" t="str">
        <x:f>IF(COUNTIFS('Raw IC'!$A$5:$A$546,$B162,'Raw IC'!$B$5:$B$546,5)=0,"",SUMIFS('Raw IC'!$F$5:$F$546,'Raw IC'!$A$5:$A$546,$B162,'Raw IC'!$B$5:$B$546,5))</x:f>
      </x:c>
      <x:c r="G162" s="30" t="str">
        <x:f>IF(COUNTIFS('Raw IC'!$A$5:$A$546,$B162,'Raw IC'!$B$5:$B$546,5)=0,"",SUMIFS('Raw IC'!$H$5:$H$546,'Raw IC'!$A$5:$A$546,$B162,'Raw IC'!$B$5:$B$546,5))</x:f>
      </x:c>
      <x:c r="H162" s="30" t="n">
        <x:f>IF(COUNTIFS('Raw IC'!$A$5:$A$546,$B162,'Raw IC'!$B$5:$B$546,10)=0,"",SUMIFS('Raw IC'!$F$5:$F$546,'Raw IC'!$A$5:$A$546,$B162,'Raw IC'!$B$5:$B$546,10))</x:f>
        <x:v>-0.014695116374684365</x:v>
      </x:c>
      <x:c r="I162" s="30" t="n">
        <x:f>IF(COUNTIFS('Raw IC'!$A$5:$A$546,$B162,'Raw IC'!$B$5:$B$546,10)=0,"",SUMIFS('Raw IC'!$H$5:$H$546,'Raw IC'!$A$5:$A$546,$B162,'Raw IC'!$B$5:$B$546,10))</x:f>
        <x:v>-0.1226803808921501</x:v>
      </x:c>
      <x:c r="J162" s="30" t="n">
        <x:f>IF(COUNTIFS('Raw IC'!$A$5:$A$546,$B162,'Raw IC'!$B$5:$B$546,20)=0,"",SUMIFS('Raw IC'!$F$5:$F$546,'Raw IC'!$A$5:$A$546,$B162,'Raw IC'!$B$5:$B$546,20))</x:f>
        <x:v>-0.014465918462138835</x:v>
      </x:c>
      <x:c r="K162" s="30" t="n">
        <x:f>IF(COUNTIFS('Raw IC'!$A$5:$A$546,$B162,'Raw IC'!$B$5:$B$546,20)=0,"",SUMIFS('Raw IC'!$H$5:$H$546,'Raw IC'!$A$5:$A$546,$B162,'Raw IC'!$B$5:$B$546,20))</x:f>
        <x:v>-0.11913311420608982</x:v>
      </x:c>
      <x:c r="L162" s="30" t="n">
        <x:f>IF(COUNT(I162,K162)&lt;2,"",AVERAGE(ABS(I162),ABS(K162)))</x:f>
        <x:v>0.12090674754911995</x:v>
      </x:c>
      <x:c r="M162" t="str">
        <x:f>IF(COUNT(H162,J162)&lt;2,"",IF(H162*J162&gt;=0,IF(H162&gt;=0,"positive","negative"),"mixed"))</x:f>
        <x:v>negative</x:v>
      </x:c>
      <x:c r="N162" s="74" t="n">
        <x:v>46211.206014745374</x:v>
      </x:c>
      <x:c r="O162" s="19" t="n">
        <x:v>8902245</x:v>
      </x:c>
      <x:c r="P162" t="str">
        <x:v>8f7e606554926462248cbcc654181861438ca768a0063f6b317223ede37d16fb</x:v>
      </x:c>
      <x:c r="Q162" t="str">
        <x:v>factor_report/gtja191_batch/gtja_022</x:v>
      </x:c>
    </x:row>
    <x:row r="163">
      <x:c r="A163" s="50" t="n">
        <x:f>IF($C163="ranked",1+COUNTIFS($C$5:$C$190,"ranked",$L$5:$L$190,"&gt;"&amp;$L163),"")</x:f>
        <x:v>159</x:v>
      </x:c>
      <x:c r="B163" t="str">
        <x:v>gtja_076</x:v>
      </x:c>
      <x:c r="C163" t="str">
        <x:v>ranked</x:v>
      </x:c>
      <x:c r="D163" s="30" t="str">
        <x:f>IF(COUNTIFS('Raw IC'!$A$5:$A$546,$B163,'Raw IC'!$B$5:$B$546,1)=0,"",SUMIFS('Raw IC'!$F$5:$F$546,'Raw IC'!$A$5:$A$546,$B163,'Raw IC'!$B$5:$B$546,1))</x:f>
      </x:c>
      <x:c r="E163" s="30" t="str">
        <x:f>IF(COUNTIFS('Raw IC'!$A$5:$A$546,$B163,'Raw IC'!$B$5:$B$546,1)=0,"",SUMIFS('Raw IC'!$H$5:$H$546,'Raw IC'!$A$5:$A$546,$B163,'Raw IC'!$B$5:$B$546,1))</x:f>
      </x:c>
      <x:c r="F163" s="30" t="str">
        <x:f>IF(COUNTIFS('Raw IC'!$A$5:$A$546,$B163,'Raw IC'!$B$5:$B$546,5)=0,"",SUMIFS('Raw IC'!$F$5:$F$546,'Raw IC'!$A$5:$A$546,$B163,'Raw IC'!$B$5:$B$546,5))</x:f>
      </x:c>
      <x:c r="G163" s="30" t="str">
        <x:f>IF(COUNTIFS('Raw IC'!$A$5:$A$546,$B163,'Raw IC'!$B$5:$B$546,5)=0,"",SUMIFS('Raw IC'!$H$5:$H$546,'Raw IC'!$A$5:$A$546,$B163,'Raw IC'!$B$5:$B$546,5))</x:f>
      </x:c>
      <x:c r="H163" s="30" t="n">
        <x:f>IF(COUNTIFS('Raw IC'!$A$5:$A$546,$B163,'Raw IC'!$B$5:$B$546,10)=0,"",SUMIFS('Raw IC'!$F$5:$F$546,'Raw IC'!$A$5:$A$546,$B163,'Raw IC'!$B$5:$B$546,10))</x:f>
        <x:v>-0.004315535410730925</x:v>
      </x:c>
      <x:c r="I163" s="30" t="n">
        <x:f>IF(COUNTIFS('Raw IC'!$A$5:$A$546,$B163,'Raw IC'!$B$5:$B$546,10)=0,"",SUMIFS('Raw IC'!$H$5:$H$546,'Raw IC'!$A$5:$A$546,$B163,'Raw IC'!$B$5:$B$546,10))</x:f>
        <x:v>-0.0687942111095573</x:v>
      </x:c>
      <x:c r="J163" s="30" t="n">
        <x:f>IF(COUNTIFS('Raw IC'!$A$5:$A$546,$B163,'Raw IC'!$B$5:$B$546,20)=0,"",SUMIFS('Raw IC'!$F$5:$F$546,'Raw IC'!$A$5:$A$546,$B163,'Raw IC'!$B$5:$B$546,20))</x:f>
        <x:v>-0.01015491091355887</x:v>
      </x:c>
      <x:c r="K163" s="30" t="n">
        <x:f>IF(COUNTIFS('Raw IC'!$A$5:$A$546,$B163,'Raw IC'!$B$5:$B$546,20)=0,"",SUMIFS('Raw IC'!$H$5:$H$546,'Raw IC'!$A$5:$A$546,$B163,'Raw IC'!$B$5:$B$546,20))</x:f>
        <x:v>-0.16835812652561574</x:v>
      </x:c>
      <x:c r="L163" s="30" t="n">
        <x:f>IF(COUNT(I163,K163)&lt;2,"",AVERAGE(ABS(I163),ABS(K163)))</x:f>
        <x:v>0.11857616881758652</x:v>
      </x:c>
      <x:c r="M163" t="str">
        <x:f>IF(COUNT(H163,J163)&lt;2,"",IF(H163*J163&gt;=0,IF(H163&gt;=0,"positive","negative"),"mixed"))</x:f>
        <x:v>negative</x:v>
      </x:c>
      <x:c r="N163" s="74" t="n">
        <x:v>46211.30655486111</x:v>
      </x:c>
      <x:c r="O163" s="19" t="n">
        <x:v>8902245</x:v>
      </x:c>
      <x:c r="P163" t="str">
        <x:v>8f7e606554926462248cbcc654181861438ca768a0063f6b317223ede37d16fb</x:v>
      </x:c>
      <x:c r="Q163" t="str">
        <x:v>factor_report/gtja191_batch/gtja_076</x:v>
      </x:c>
    </x:row>
    <x:row r="164">
      <x:c r="A164" s="50" t="n">
        <x:f>IF($C164="ranked",1+COUNTIFS($C$5:$C$190,"ranked",$L$5:$L$190,"&gt;"&amp;$L164),"")</x:f>
        <x:v>160</x:v>
      </x:c>
      <x:c r="B164" t="str">
        <x:v>gtja_117</x:v>
      </x:c>
      <x:c r="C164" t="str">
        <x:v>ranked</x:v>
      </x:c>
      <x:c r="D164" s="30" t="str">
        <x:f>IF(COUNTIFS('Raw IC'!$A$5:$A$546,$B164,'Raw IC'!$B$5:$B$546,1)=0,"",SUMIFS('Raw IC'!$F$5:$F$546,'Raw IC'!$A$5:$A$546,$B164,'Raw IC'!$B$5:$B$546,1))</x:f>
      </x:c>
      <x:c r="E164" s="30" t="str">
        <x:f>IF(COUNTIFS('Raw IC'!$A$5:$A$546,$B164,'Raw IC'!$B$5:$B$546,1)=0,"",SUMIFS('Raw IC'!$H$5:$H$546,'Raw IC'!$A$5:$A$546,$B164,'Raw IC'!$B$5:$B$546,1))</x:f>
      </x:c>
      <x:c r="F164" s="30" t="str">
        <x:f>IF(COUNTIFS('Raw IC'!$A$5:$A$546,$B164,'Raw IC'!$B$5:$B$546,5)=0,"",SUMIFS('Raw IC'!$F$5:$F$546,'Raw IC'!$A$5:$A$546,$B164,'Raw IC'!$B$5:$B$546,5))</x:f>
      </x:c>
      <x:c r="G164" s="30" t="str">
        <x:f>IF(COUNTIFS('Raw IC'!$A$5:$A$546,$B164,'Raw IC'!$B$5:$B$546,5)=0,"",SUMIFS('Raw IC'!$H$5:$H$546,'Raw IC'!$A$5:$A$546,$B164,'Raw IC'!$B$5:$B$546,5))</x:f>
      </x:c>
      <x:c r="H164" s="30" t="n">
        <x:f>IF(COUNTIFS('Raw IC'!$A$5:$A$546,$B164,'Raw IC'!$B$5:$B$546,10)=0,"",SUMIFS('Raw IC'!$F$5:$F$546,'Raw IC'!$A$5:$A$546,$B164,'Raw IC'!$B$5:$B$546,10))</x:f>
        <x:v>0.010421149081802894</x:v>
      </x:c>
      <x:c r="I164" s="30" t="n">
        <x:f>IF(COUNTIFS('Raw IC'!$A$5:$A$546,$B164,'Raw IC'!$B$5:$B$546,10)=0,"",SUMIFS('Raw IC'!$H$5:$H$546,'Raw IC'!$A$5:$A$546,$B164,'Raw IC'!$B$5:$B$546,10))</x:f>
        <x:v>0.11154143731678717</x:v>
      </x:c>
      <x:c r="J164" s="30" t="n">
        <x:f>IF(COUNTIFS('Raw IC'!$A$5:$A$546,$B164,'Raw IC'!$B$5:$B$546,20)=0,"",SUMIFS('Raw IC'!$F$5:$F$546,'Raw IC'!$A$5:$A$546,$B164,'Raw IC'!$B$5:$B$546,20))</x:f>
        <x:v>0.011127967456839522</x:v>
      </x:c>
      <x:c r="K164" s="30" t="n">
        <x:f>IF(COUNTIFS('Raw IC'!$A$5:$A$546,$B164,'Raw IC'!$B$5:$B$546,20)=0,"",SUMIFS('Raw IC'!$H$5:$H$546,'Raw IC'!$A$5:$A$546,$B164,'Raw IC'!$B$5:$B$546,20))</x:f>
        <x:v>0.12170276153610883</x:v>
      </x:c>
      <x:c r="L164" s="30" t="n">
        <x:f>IF(COUNT(I164,K164)&lt;2,"",AVERAGE(ABS(I164),ABS(K164)))</x:f>
        <x:v>0.116622099426448</x:v>
      </x:c>
      <x:c r="M164" t="str">
        <x:f>IF(COUNT(H164,J164)&lt;2,"",IF(H164*J164&gt;=0,IF(H164&gt;=0,"positive","negative"),"mixed"))</x:f>
        <x:v>positive</x:v>
      </x:c>
      <x:c r="N164" s="74" t="n">
        <x:v>46211.384815150464</x:v>
      </x:c>
      <x:c r="O164" s="19" t="n">
        <x:v>8902245</x:v>
      </x:c>
      <x:c r="P164" t="str">
        <x:v>8f7e606554926462248cbcc654181861438ca768a0063f6b317223ede37d16fb</x:v>
      </x:c>
      <x:c r="Q164" t="str">
        <x:v>factor_report/gtja191_batch/gtja_117</x:v>
      </x:c>
    </x:row>
    <x:row r="165">
      <x:c r="A165" s="50" t="n">
        <x:f>IF($C165="ranked",1+COUNTIFS($C$5:$C$190,"ranked",$L$5:$L$190,"&gt;"&amp;$L165),"")</x:f>
        <x:v>161</x:v>
      </x:c>
      <x:c r="B165" t="str">
        <x:v>gtja_178</x:v>
      </x:c>
      <x:c r="C165" t="str">
        <x:v>ranked</x:v>
      </x:c>
      <x:c r="D165" s="30" t="str">
        <x:f>IF(COUNTIFS('Raw IC'!$A$5:$A$546,$B165,'Raw IC'!$B$5:$B$546,1)=0,"",SUMIFS('Raw IC'!$F$5:$F$546,'Raw IC'!$A$5:$A$546,$B165,'Raw IC'!$B$5:$B$546,1))</x:f>
      </x:c>
      <x:c r="E165" s="30" t="str">
        <x:f>IF(COUNTIFS('Raw IC'!$A$5:$A$546,$B165,'Raw IC'!$B$5:$B$546,1)=0,"",SUMIFS('Raw IC'!$H$5:$H$546,'Raw IC'!$A$5:$A$546,$B165,'Raw IC'!$B$5:$B$546,1))</x:f>
      </x:c>
      <x:c r="F165" s="30" t="str">
        <x:f>IF(COUNTIFS('Raw IC'!$A$5:$A$546,$B165,'Raw IC'!$B$5:$B$546,5)=0,"",SUMIFS('Raw IC'!$F$5:$F$546,'Raw IC'!$A$5:$A$546,$B165,'Raw IC'!$B$5:$B$546,5))</x:f>
      </x:c>
      <x:c r="G165" s="30" t="str">
        <x:f>IF(COUNTIFS('Raw IC'!$A$5:$A$546,$B165,'Raw IC'!$B$5:$B$546,5)=0,"",SUMIFS('Raw IC'!$H$5:$H$546,'Raw IC'!$A$5:$A$546,$B165,'Raw IC'!$B$5:$B$546,5))</x:f>
      </x:c>
      <x:c r="H165" s="30" t="n">
        <x:f>IF(COUNTIFS('Raw IC'!$A$5:$A$546,$B165,'Raw IC'!$B$5:$B$546,10)=0,"",SUMIFS('Raw IC'!$F$5:$F$546,'Raw IC'!$A$5:$A$546,$B165,'Raw IC'!$B$5:$B$546,10))</x:f>
        <x:v>-0.011486471822643162</x:v>
      </x:c>
      <x:c r="I165" s="30" t="n">
        <x:f>IF(COUNTIFS('Raw IC'!$A$5:$A$546,$B165,'Raw IC'!$B$5:$B$546,10)=0,"",SUMIFS('Raw IC'!$H$5:$H$546,'Raw IC'!$A$5:$A$546,$B165,'Raw IC'!$B$5:$B$546,10))</x:f>
        <x:v>-0.11043825560100387</x:v>
      </x:c>
      <x:c r="J165" s="30" t="n">
        <x:f>IF(COUNTIFS('Raw IC'!$A$5:$A$546,$B165,'Raw IC'!$B$5:$B$546,20)=0,"",SUMIFS('Raw IC'!$F$5:$F$546,'Raw IC'!$A$5:$A$546,$B165,'Raw IC'!$B$5:$B$546,20))</x:f>
        <x:v>-0.011558780832637798</x:v>
      </x:c>
      <x:c r="K165" s="30" t="n">
        <x:f>IF(COUNTIFS('Raw IC'!$A$5:$A$546,$B165,'Raw IC'!$B$5:$B$546,20)=0,"",SUMIFS('Raw IC'!$H$5:$H$546,'Raw IC'!$A$5:$A$546,$B165,'Raw IC'!$B$5:$B$546,20))</x:f>
        <x:v>-0.11251809433942278</x:v>
      </x:c>
      <x:c r="L165" s="30" t="n">
        <x:f>IF(COUNT(I165,K165)&lt;2,"",AVERAGE(ABS(I165),ABS(K165)))</x:f>
        <x:v>0.11147817497021333</x:v>
      </x:c>
      <x:c r="M165" t="str">
        <x:f>IF(COUNT(H165,J165)&lt;2,"",IF(H165*J165&gt;=0,IF(H165&gt;=0,"positive","negative"),"mixed"))</x:f>
        <x:v>negative</x:v>
      </x:c>
      <x:c r="N165" s="74" t="n">
        <x:v>46211.5335721875</x:v>
      </x:c>
      <x:c r="O165" s="19" t="n">
        <x:v>8902245</x:v>
      </x:c>
      <x:c r="P165" t="str">
        <x:v>8f7e606554926462248cbcc654181861438ca768a0063f6b317223ede37d16fb</x:v>
      </x:c>
      <x:c r="Q165" t="str">
        <x:v>factor_report/gtja191_batch/gtja_178</x:v>
      </x:c>
    </x:row>
    <x:row r="166">
      <x:c r="A166" s="50" t="n">
        <x:f>IF($C166="ranked",1+COUNTIFS($C$5:$C$190,"ranked",$L$5:$L$190,"&gt;"&amp;$L166),"")</x:f>
        <x:v>162</x:v>
      </x:c>
      <x:c r="B166" t="str">
        <x:v>gtja_127</x:v>
      </x:c>
      <x:c r="C166" t="str">
        <x:v>ranked</x:v>
      </x:c>
      <x:c r="D166" s="30" t="str">
        <x:f>IF(COUNTIFS('Raw IC'!$A$5:$A$546,$B166,'Raw IC'!$B$5:$B$546,1)=0,"",SUMIFS('Raw IC'!$F$5:$F$546,'Raw IC'!$A$5:$A$546,$B166,'Raw IC'!$B$5:$B$546,1))</x:f>
      </x:c>
      <x:c r="E166" s="30" t="str">
        <x:f>IF(COUNTIFS('Raw IC'!$A$5:$A$546,$B166,'Raw IC'!$B$5:$B$546,1)=0,"",SUMIFS('Raw IC'!$H$5:$H$546,'Raw IC'!$A$5:$A$546,$B166,'Raw IC'!$B$5:$B$546,1))</x:f>
      </x:c>
      <x:c r="F166" s="30" t="str">
        <x:f>IF(COUNTIFS('Raw IC'!$A$5:$A$546,$B166,'Raw IC'!$B$5:$B$546,5)=0,"",SUMIFS('Raw IC'!$F$5:$F$546,'Raw IC'!$A$5:$A$546,$B166,'Raw IC'!$B$5:$B$546,5))</x:f>
      </x:c>
      <x:c r="G166" s="30" t="str">
        <x:f>IF(COUNTIFS('Raw IC'!$A$5:$A$546,$B166,'Raw IC'!$B$5:$B$546,5)=0,"",SUMIFS('Raw IC'!$H$5:$H$546,'Raw IC'!$A$5:$A$546,$B166,'Raw IC'!$B$5:$B$546,5))</x:f>
      </x:c>
      <x:c r="H166" s="30" t="n">
        <x:f>IF(COUNTIFS('Raw IC'!$A$5:$A$546,$B166,'Raw IC'!$B$5:$B$546,10)=0,"",SUMIFS('Raw IC'!$F$5:$F$546,'Raw IC'!$A$5:$A$546,$B166,'Raw IC'!$B$5:$B$546,10))</x:f>
        <x:v>-0.014248512771221106</x:v>
      </x:c>
      <x:c r="I166" s="30" t="n">
        <x:f>IF(COUNTIFS('Raw IC'!$A$5:$A$546,$B166,'Raw IC'!$B$5:$B$546,10)=0,"",SUMIFS('Raw IC'!$H$5:$H$546,'Raw IC'!$A$5:$A$546,$B166,'Raw IC'!$B$5:$B$546,10))</x:f>
        <x:v>-0.09462911059102666</x:v>
      </x:c>
      <x:c r="J166" s="30" t="n">
        <x:f>IF(COUNTIFS('Raw IC'!$A$5:$A$546,$B166,'Raw IC'!$B$5:$B$546,20)=0,"",SUMIFS('Raw IC'!$F$5:$F$546,'Raw IC'!$A$5:$A$546,$B166,'Raw IC'!$B$5:$B$546,20))</x:f>
        <x:v>-0.018912370048501756</x:v>
      </x:c>
      <x:c r="K166" s="30" t="n">
        <x:f>IF(COUNTIFS('Raw IC'!$A$5:$A$546,$B166,'Raw IC'!$B$5:$B$546,20)=0,"",SUMIFS('Raw IC'!$H$5:$H$546,'Raw IC'!$A$5:$A$546,$B166,'Raw IC'!$B$5:$B$546,20))</x:f>
        <x:v>-0.1278582809270028</x:v>
      </x:c>
      <x:c r="L166" s="30" t="n">
        <x:f>IF(COUNT(I166,K166)&lt;2,"",AVERAGE(ABS(I166),ABS(K166)))</x:f>
        <x:v>0.11124369575901473</x:v>
      </x:c>
      <x:c r="M166" t="str">
        <x:f>IF(COUNT(H166,J166)&lt;2,"",IF(H166*J166&gt;=0,IF(H166&gt;=0,"positive","negative"),"mixed"))</x:f>
        <x:v>negative</x:v>
      </x:c>
      <x:c r="N166" s="74" t="n">
        <x:v>46211.417619583335</x:v>
      </x:c>
      <x:c r="O166" s="19" t="n">
        <x:v>8902245</x:v>
      </x:c>
      <x:c r="P166" t="str">
        <x:v>8f7e606554926462248cbcc654181861438ca768a0063f6b317223ede37d16fb</x:v>
      </x:c>
      <x:c r="Q166" t="str">
        <x:v>factor_report/gtja191_batch/gtja_127</x:v>
      </x:c>
    </x:row>
    <x:row r="167">
      <x:c r="A167" s="50" t="n">
        <x:f>IF($C167="ranked",1+COUNTIFS($C$5:$C$190,"ranked",$L$5:$L$190,"&gt;"&amp;$L167),"")</x:f>
        <x:v>163</x:v>
      </x:c>
      <x:c r="B167" t="str">
        <x:v>gtja_085</x:v>
      </x:c>
      <x:c r="C167" t="str">
        <x:v>ranked</x:v>
      </x:c>
      <x:c r="D167" s="30" t="str">
        <x:f>IF(COUNTIFS('Raw IC'!$A$5:$A$546,$B167,'Raw IC'!$B$5:$B$546,1)=0,"",SUMIFS('Raw IC'!$F$5:$F$546,'Raw IC'!$A$5:$A$546,$B167,'Raw IC'!$B$5:$B$546,1))</x:f>
      </x:c>
      <x:c r="E167" s="30" t="str">
        <x:f>IF(COUNTIFS('Raw IC'!$A$5:$A$546,$B167,'Raw IC'!$B$5:$B$546,1)=0,"",SUMIFS('Raw IC'!$H$5:$H$546,'Raw IC'!$A$5:$A$546,$B167,'Raw IC'!$B$5:$B$546,1))</x:f>
      </x:c>
      <x:c r="F167" s="30" t="str">
        <x:f>IF(COUNTIFS('Raw IC'!$A$5:$A$546,$B167,'Raw IC'!$B$5:$B$546,5)=0,"",SUMIFS('Raw IC'!$F$5:$F$546,'Raw IC'!$A$5:$A$546,$B167,'Raw IC'!$B$5:$B$546,5))</x:f>
      </x:c>
      <x:c r="G167" s="30" t="str">
        <x:f>IF(COUNTIFS('Raw IC'!$A$5:$A$546,$B167,'Raw IC'!$B$5:$B$546,5)=0,"",SUMIFS('Raw IC'!$H$5:$H$546,'Raw IC'!$A$5:$A$546,$B167,'Raw IC'!$B$5:$B$546,5))</x:f>
      </x:c>
      <x:c r="H167" s="30" t="n">
        <x:f>IF(COUNTIFS('Raw IC'!$A$5:$A$546,$B167,'Raw IC'!$B$5:$B$546,10)=0,"",SUMIFS('Raw IC'!$F$5:$F$546,'Raw IC'!$A$5:$A$546,$B167,'Raw IC'!$B$5:$B$546,10))</x:f>
        <x:v>0.009101116867026332</x:v>
      </x:c>
      <x:c r="I167" s="30" t="n">
        <x:f>IF(COUNTIFS('Raw IC'!$A$5:$A$546,$B167,'Raw IC'!$B$5:$B$546,10)=0,"",SUMIFS('Raw IC'!$H$5:$H$546,'Raw IC'!$A$5:$A$546,$B167,'Raw IC'!$B$5:$B$546,10))</x:f>
        <x:v>0.11295783369671758</x:v>
      </x:c>
      <x:c r="J167" s="30" t="n">
        <x:f>IF(COUNTIFS('Raw IC'!$A$5:$A$546,$B167,'Raw IC'!$B$5:$B$546,20)=0,"",SUMIFS('Raw IC'!$F$5:$F$546,'Raw IC'!$A$5:$A$546,$B167,'Raw IC'!$B$5:$B$546,20))</x:f>
        <x:v>0.008351333931381075</x:v>
      </x:c>
      <x:c r="K167" s="30" t="n">
        <x:f>IF(COUNTIFS('Raw IC'!$A$5:$A$546,$B167,'Raw IC'!$B$5:$B$546,20)=0,"",SUMIFS('Raw IC'!$H$5:$H$546,'Raw IC'!$A$5:$A$546,$B167,'Raw IC'!$B$5:$B$546,20))</x:f>
        <x:v>0.10164261307622198</x:v>
      </x:c>
      <x:c r="L167" s="30" t="n">
        <x:f>IF(COUNT(I167,K167)&lt;2,"",AVERAGE(ABS(I167),ABS(K167)))</x:f>
        <x:v>0.10730022338646977</x:v>
      </x:c>
      <x:c r="M167" t="str">
        <x:f>IF(COUNT(H167,J167)&lt;2,"",IF(H167*J167&gt;=0,IF(H167&gt;=0,"positive","negative"),"mixed"))</x:f>
        <x:v>positive</x:v>
      </x:c>
      <x:c r="N167" s="74" t="n">
        <x:v>46211.32386585648</x:v>
      </x:c>
      <x:c r="O167" s="19" t="n">
        <x:v>8902245</x:v>
      </x:c>
      <x:c r="P167" t="str">
        <x:v>8f7e606554926462248cbcc654181861438ca768a0063f6b317223ede37d16fb</x:v>
      </x:c>
      <x:c r="Q167" t="str">
        <x:v>factor_report/gtja191_batch/gtja_085</x:v>
      </x:c>
    </x:row>
    <x:row r="168">
      <x:c r="A168" s="50" t="n">
        <x:f>IF($C168="ranked",1+COUNTIFS($C$5:$C$190,"ranked",$L$5:$L$190,"&gt;"&amp;$L168),"")</x:f>
        <x:v>164</x:v>
      </x:c>
      <x:c r="B168" t="str">
        <x:v>gtja_013</x:v>
      </x:c>
      <x:c r="C168" t="str">
        <x:v>ranked</x:v>
      </x:c>
      <x:c r="D168" s="30" t="str">
        <x:f>IF(COUNTIFS('Raw IC'!$A$5:$A$546,$B168,'Raw IC'!$B$5:$B$546,1)=0,"",SUMIFS('Raw IC'!$F$5:$F$546,'Raw IC'!$A$5:$A$546,$B168,'Raw IC'!$B$5:$B$546,1))</x:f>
      </x:c>
      <x:c r="E168" s="30" t="str">
        <x:f>IF(COUNTIFS('Raw IC'!$A$5:$A$546,$B168,'Raw IC'!$B$5:$B$546,1)=0,"",SUMIFS('Raw IC'!$H$5:$H$546,'Raw IC'!$A$5:$A$546,$B168,'Raw IC'!$B$5:$B$546,1))</x:f>
      </x:c>
      <x:c r="F168" s="30" t="str">
        <x:f>IF(COUNTIFS('Raw IC'!$A$5:$A$546,$B168,'Raw IC'!$B$5:$B$546,5)=0,"",SUMIFS('Raw IC'!$F$5:$F$546,'Raw IC'!$A$5:$A$546,$B168,'Raw IC'!$B$5:$B$546,5))</x:f>
      </x:c>
      <x:c r="G168" s="30" t="str">
        <x:f>IF(COUNTIFS('Raw IC'!$A$5:$A$546,$B168,'Raw IC'!$B$5:$B$546,5)=0,"",SUMIFS('Raw IC'!$H$5:$H$546,'Raw IC'!$A$5:$A$546,$B168,'Raw IC'!$B$5:$B$546,5))</x:f>
      </x:c>
      <x:c r="H168" s="30" t="n">
        <x:f>IF(COUNTIFS('Raw IC'!$A$5:$A$546,$B168,'Raw IC'!$B$5:$B$546,10)=0,"",SUMIFS('Raw IC'!$F$5:$F$546,'Raw IC'!$A$5:$A$546,$B168,'Raw IC'!$B$5:$B$546,10))</x:f>
        <x:v>0.011452862954066247</x:v>
      </x:c>
      <x:c r="I168" s="30" t="n">
        <x:f>IF(COUNTIFS('Raw IC'!$A$5:$A$546,$B168,'Raw IC'!$B$5:$B$546,10)=0,"",SUMIFS('Raw IC'!$H$5:$H$546,'Raw IC'!$A$5:$A$546,$B168,'Raw IC'!$B$5:$B$546,10))</x:f>
        <x:v>0.0933394881707657</x:v>
      </x:c>
      <x:c r="J168" s="30" t="n">
        <x:f>IF(COUNTIFS('Raw IC'!$A$5:$A$546,$B168,'Raw IC'!$B$5:$B$546,20)=0,"",SUMIFS('Raw IC'!$F$5:$F$546,'Raw IC'!$A$5:$A$546,$B168,'Raw IC'!$B$5:$B$546,20))</x:f>
        <x:v>0.014255707603008797</x:v>
      </x:c>
      <x:c r="K168" s="30" t="n">
        <x:f>IF(COUNTIFS('Raw IC'!$A$5:$A$546,$B168,'Raw IC'!$B$5:$B$546,20)=0,"",SUMIFS('Raw IC'!$H$5:$H$546,'Raw IC'!$A$5:$A$546,$B168,'Raw IC'!$B$5:$B$546,20))</x:f>
        <x:v>0.11817860238589621</x:v>
      </x:c>
      <x:c r="L168" s="30" t="n">
        <x:f>IF(COUNT(I168,K168)&lt;2,"",AVERAGE(ABS(I168),ABS(K168)))</x:f>
        <x:v>0.10575904527833097</x:v>
      </x:c>
      <x:c r="M168" t="str">
        <x:f>IF(COUNT(H168,J168)&lt;2,"",IF(H168*J168&gt;=0,IF(H168&gt;=0,"positive","negative"),"mixed"))</x:f>
        <x:v>positive</x:v>
      </x:c>
      <x:c r="N168" s="74" t="n">
        <x:v>46211.18888071759</x:v>
      </x:c>
      <x:c r="O168" s="19" t="n">
        <x:v>8902245</x:v>
      </x:c>
      <x:c r="P168" t="str">
        <x:v>8f7e606554926462248cbcc654181861438ca768a0063f6b317223ede37d16fb</x:v>
      </x:c>
      <x:c r="Q168" t="str">
        <x:v>factor_report/gtja191_batch/gtja_013</x:v>
      </x:c>
    </x:row>
    <x:row r="169">
      <x:c r="A169" s="50" t="n">
        <x:f>IF($C169="ranked",1+COUNTIFS($C$5:$C$190,"ranked",$L$5:$L$190,"&gt;"&amp;$L169),"")</x:f>
        <x:v>165</x:v>
      </x:c>
      <x:c r="B169" t="str">
        <x:v>gtja_073</x:v>
      </x:c>
      <x:c r="C169" t="str">
        <x:v>ranked</x:v>
      </x:c>
      <x:c r="D169" s="30" t="str">
        <x:f>IF(COUNTIFS('Raw IC'!$A$5:$A$546,$B169,'Raw IC'!$B$5:$B$546,1)=0,"",SUMIFS('Raw IC'!$F$5:$F$546,'Raw IC'!$A$5:$A$546,$B169,'Raw IC'!$B$5:$B$546,1))</x:f>
      </x:c>
      <x:c r="E169" s="30" t="str">
        <x:f>IF(COUNTIFS('Raw IC'!$A$5:$A$546,$B169,'Raw IC'!$B$5:$B$546,1)=0,"",SUMIFS('Raw IC'!$H$5:$H$546,'Raw IC'!$A$5:$A$546,$B169,'Raw IC'!$B$5:$B$546,1))</x:f>
      </x:c>
      <x:c r="F169" s="30" t="str">
        <x:f>IF(COUNTIFS('Raw IC'!$A$5:$A$546,$B169,'Raw IC'!$B$5:$B$546,5)=0,"",SUMIFS('Raw IC'!$F$5:$F$546,'Raw IC'!$A$5:$A$546,$B169,'Raw IC'!$B$5:$B$546,5))</x:f>
      </x:c>
      <x:c r="G169" s="30" t="str">
        <x:f>IF(COUNTIFS('Raw IC'!$A$5:$A$546,$B169,'Raw IC'!$B$5:$B$546,5)=0,"",SUMIFS('Raw IC'!$H$5:$H$546,'Raw IC'!$A$5:$A$546,$B169,'Raw IC'!$B$5:$B$546,5))</x:f>
      </x:c>
      <x:c r="H169" s="30" t="n">
        <x:f>IF(COUNTIFS('Raw IC'!$A$5:$A$546,$B169,'Raw IC'!$B$5:$B$546,10)=0,"",SUMIFS('Raw IC'!$F$5:$F$546,'Raw IC'!$A$5:$A$546,$B169,'Raw IC'!$B$5:$B$546,10))</x:f>
        <x:v>0.0030758054530690684</x:v>
      </x:c>
      <x:c r="I169" s="30" t="n">
        <x:f>IF(COUNTIFS('Raw IC'!$A$5:$A$546,$B169,'Raw IC'!$B$5:$B$546,10)=0,"",SUMIFS('Raw IC'!$H$5:$H$546,'Raw IC'!$A$5:$A$546,$B169,'Raw IC'!$B$5:$B$546,10))</x:f>
        <x:v>0.05415349599416016</x:v>
      </x:c>
      <x:c r="J169" s="30" t="n">
        <x:f>IF(COUNTIFS('Raw IC'!$A$5:$A$546,$B169,'Raw IC'!$B$5:$B$546,20)=0,"",SUMIFS('Raw IC'!$F$5:$F$546,'Raw IC'!$A$5:$A$546,$B169,'Raw IC'!$B$5:$B$546,20))</x:f>
        <x:v>0.007004128077654323</x:v>
      </x:c>
      <x:c r="K169" s="30" t="n">
        <x:f>IF(COUNTIFS('Raw IC'!$A$5:$A$546,$B169,'Raw IC'!$B$5:$B$546,20)=0,"",SUMIFS('Raw IC'!$H$5:$H$546,'Raw IC'!$A$5:$A$546,$B169,'Raw IC'!$B$5:$B$546,20))</x:f>
        <x:v>0.12715920511841308</x:v>
      </x:c>
      <x:c r="L169" s="30" t="n">
        <x:f>IF(COUNT(I169,K169)&lt;2,"",AVERAGE(ABS(I169),ABS(K169)))</x:f>
        <x:v>0.09065635055628662</x:v>
      </x:c>
      <x:c r="M169" t="str">
        <x:f>IF(COUNT(H169,J169)&lt;2,"",IF(H169*J169&gt;=0,IF(H169&gt;=0,"positive","negative"),"mixed"))</x:f>
        <x:v>positive</x:v>
      </x:c>
      <x:c r="N169" s="74" t="n">
        <x:v>46211.30391246528</x:v>
      </x:c>
      <x:c r="O169" s="19" t="n">
        <x:v>8902245</x:v>
      </x:c>
      <x:c r="P169" t="str">
        <x:v>8f7e606554926462248cbcc654181861438ca768a0063f6b317223ede37d16fb</x:v>
      </x:c>
      <x:c r="Q169" t="str">
        <x:v>factor_report/gtja191_batch/gtja_073</x:v>
      </x:c>
    </x:row>
    <x:row r="170">
      <x:c r="A170" s="50" t="n">
        <x:f>IF($C170="ranked",1+COUNTIFS($C$5:$C$190,"ranked",$L$5:$L$190,"&gt;"&amp;$L170),"")</x:f>
        <x:v>166</x:v>
      </x:c>
      <x:c r="B170" t="str">
        <x:v>gtja_114</x:v>
      </x:c>
      <x:c r="C170" t="str">
        <x:v>ranked</x:v>
      </x:c>
      <x:c r="D170" s="30" t="str">
        <x:f>IF(COUNTIFS('Raw IC'!$A$5:$A$546,$B170,'Raw IC'!$B$5:$B$546,1)=0,"",SUMIFS('Raw IC'!$F$5:$F$546,'Raw IC'!$A$5:$A$546,$B170,'Raw IC'!$B$5:$B$546,1))</x:f>
      </x:c>
      <x:c r="E170" s="30" t="str">
        <x:f>IF(COUNTIFS('Raw IC'!$A$5:$A$546,$B170,'Raw IC'!$B$5:$B$546,1)=0,"",SUMIFS('Raw IC'!$H$5:$H$546,'Raw IC'!$A$5:$A$546,$B170,'Raw IC'!$B$5:$B$546,1))</x:f>
      </x:c>
      <x:c r="F170" s="30" t="str">
        <x:f>IF(COUNTIFS('Raw IC'!$A$5:$A$546,$B170,'Raw IC'!$B$5:$B$546,5)=0,"",SUMIFS('Raw IC'!$F$5:$F$546,'Raw IC'!$A$5:$A$546,$B170,'Raw IC'!$B$5:$B$546,5))</x:f>
      </x:c>
      <x:c r="G170" s="30" t="str">
        <x:f>IF(COUNTIFS('Raw IC'!$A$5:$A$546,$B170,'Raw IC'!$B$5:$B$546,5)=0,"",SUMIFS('Raw IC'!$H$5:$H$546,'Raw IC'!$A$5:$A$546,$B170,'Raw IC'!$B$5:$B$546,5))</x:f>
      </x:c>
      <x:c r="H170" s="30" t="n">
        <x:f>IF(COUNTIFS('Raw IC'!$A$5:$A$546,$B170,'Raw IC'!$B$5:$B$546,10)=0,"",SUMIFS('Raw IC'!$F$5:$F$546,'Raw IC'!$A$5:$A$546,$B170,'Raw IC'!$B$5:$B$546,10))</x:f>
        <x:v>0.00891392515696735</x:v>
      </x:c>
      <x:c r="I170" s="30" t="n">
        <x:f>IF(COUNTIFS('Raw IC'!$A$5:$A$546,$B170,'Raw IC'!$B$5:$B$546,10)=0,"",SUMIFS('Raw IC'!$H$5:$H$546,'Raw IC'!$A$5:$A$546,$B170,'Raw IC'!$B$5:$B$546,10))</x:f>
        <x:v>0.07572585951081395</x:v>
      </x:c>
      <x:c r="J170" s="30" t="n">
        <x:f>IF(COUNTIFS('Raw IC'!$A$5:$A$546,$B170,'Raw IC'!$B$5:$B$546,20)=0,"",SUMIFS('Raw IC'!$F$5:$F$546,'Raw IC'!$A$5:$A$546,$B170,'Raw IC'!$B$5:$B$546,20))</x:f>
        <x:v>0.010344839356969794</x:v>
      </x:c>
      <x:c r="K170" s="30" t="n">
        <x:f>IF(COUNTIFS('Raw IC'!$A$5:$A$546,$B170,'Raw IC'!$B$5:$B$546,20)=0,"",SUMIFS('Raw IC'!$H$5:$H$546,'Raw IC'!$A$5:$A$546,$B170,'Raw IC'!$B$5:$B$546,20))</x:f>
        <x:v>0.0884362304470141</x:v>
      </x:c>
      <x:c r="L170" s="30" t="n">
        <x:f>IF(COUNT(I170,K170)&lt;2,"",AVERAGE(ABS(I170),ABS(K170)))</x:f>
        <x:v>0.08208104497891403</x:v>
      </x:c>
      <x:c r="M170" t="str">
        <x:f>IF(COUNT(H170,J170)&lt;2,"",IF(H170*J170&gt;=0,IF(H170&gt;=0,"positive","negative"),"mixed"))</x:f>
        <x:v>positive</x:v>
      </x:c>
      <x:c r="N170" s="74" t="n">
        <x:v>46211.36905150463</x:v>
      </x:c>
      <x:c r="O170" s="19" t="n">
        <x:v>8902245</x:v>
      </x:c>
      <x:c r="P170" t="str">
        <x:v>8f7e606554926462248cbcc654181861438ca768a0063f6b317223ede37d16fb</x:v>
      </x:c>
      <x:c r="Q170" t="str">
        <x:v>factor_report/gtja191_batch/gtja_114</x:v>
      </x:c>
    </x:row>
    <x:row r="171">
      <x:c r="A171" s="50" t="n">
        <x:f>IF($C171="ranked",1+COUNTIFS($C$5:$C$190,"ranked",$L$5:$L$190,"&gt;"&amp;$L171),"")</x:f>
        <x:v>167</x:v>
      </x:c>
      <x:c r="B171" t="str">
        <x:v>gtja_170</x:v>
      </x:c>
      <x:c r="C171" t="str">
        <x:v>ranked</x:v>
      </x:c>
      <x:c r="D171" s="30" t="str">
        <x:f>IF(COUNTIFS('Raw IC'!$A$5:$A$546,$B171,'Raw IC'!$B$5:$B$546,1)=0,"",SUMIFS('Raw IC'!$F$5:$F$546,'Raw IC'!$A$5:$A$546,$B171,'Raw IC'!$B$5:$B$546,1))</x:f>
      </x:c>
      <x:c r="E171" s="30" t="str">
        <x:f>IF(COUNTIFS('Raw IC'!$A$5:$A$546,$B171,'Raw IC'!$B$5:$B$546,1)=0,"",SUMIFS('Raw IC'!$H$5:$H$546,'Raw IC'!$A$5:$A$546,$B171,'Raw IC'!$B$5:$B$546,1))</x:f>
      </x:c>
      <x:c r="F171" s="30" t="str">
        <x:f>IF(COUNTIFS('Raw IC'!$A$5:$A$546,$B171,'Raw IC'!$B$5:$B$546,5)=0,"",SUMIFS('Raw IC'!$F$5:$F$546,'Raw IC'!$A$5:$A$546,$B171,'Raw IC'!$B$5:$B$546,5))</x:f>
      </x:c>
      <x:c r="G171" s="30" t="str">
        <x:f>IF(COUNTIFS('Raw IC'!$A$5:$A$546,$B171,'Raw IC'!$B$5:$B$546,5)=0,"",SUMIFS('Raw IC'!$H$5:$H$546,'Raw IC'!$A$5:$A$546,$B171,'Raw IC'!$B$5:$B$546,5))</x:f>
      </x:c>
      <x:c r="H171" s="30" t="n">
        <x:f>IF(COUNTIFS('Raw IC'!$A$5:$A$546,$B171,'Raw IC'!$B$5:$B$546,10)=0,"",SUMIFS('Raw IC'!$F$5:$F$546,'Raw IC'!$A$5:$A$546,$B171,'Raw IC'!$B$5:$B$546,10))</x:f>
        <x:v>0.006814785039770921</x:v>
      </x:c>
      <x:c r="I171" s="30" t="n">
        <x:f>IF(COUNTIFS('Raw IC'!$A$5:$A$546,$B171,'Raw IC'!$B$5:$B$546,10)=0,"",SUMIFS('Raw IC'!$H$5:$H$546,'Raw IC'!$A$5:$A$546,$B171,'Raw IC'!$B$5:$B$546,10))</x:f>
        <x:v>0.056694539183809844</x:v>
      </x:c>
      <x:c r="J171" s="30" t="n">
        <x:f>IF(COUNTIFS('Raw IC'!$A$5:$A$546,$B171,'Raw IC'!$B$5:$B$546,20)=0,"",SUMIFS('Raw IC'!$F$5:$F$546,'Raw IC'!$A$5:$A$546,$B171,'Raw IC'!$B$5:$B$546,20))</x:f>
        <x:v>0.010736159541389215</x:v>
      </x:c>
      <x:c r="K171" s="30" t="n">
        <x:f>IF(COUNTIFS('Raw IC'!$A$5:$A$546,$B171,'Raw IC'!$B$5:$B$546,20)=0,"",SUMIFS('Raw IC'!$H$5:$H$546,'Raw IC'!$A$5:$A$546,$B171,'Raw IC'!$B$5:$B$546,20))</x:f>
        <x:v>0.09260535218157398</x:v>
      </x:c>
      <x:c r="L171" s="30" t="n">
        <x:f>IF(COUNT(I171,K171)&lt;2,"",AVERAGE(ABS(I171),ABS(K171)))</x:f>
        <x:v>0.07464994568269191</x:v>
      </x:c>
      <x:c r="M171" t="str">
        <x:f>IF(COUNT(H171,J171)&lt;2,"",IF(H171*J171&gt;=0,IF(H171&gt;=0,"positive","negative"),"mixed"))</x:f>
        <x:v>positive</x:v>
      </x:c>
      <x:c r="N171" s="74" t="n">
        <x:v>46211.52554471065</x:v>
      </x:c>
      <x:c r="O171" s="19" t="n">
        <x:v>8902245</x:v>
      </x:c>
      <x:c r="P171" t="str">
        <x:v>8f7e606554926462248cbcc654181861438ca768a0063f6b317223ede37d16fb</x:v>
      </x:c>
      <x:c r="Q171" t="str">
        <x:v>factor_report/gtja191_batch/gtja_170</x:v>
      </x:c>
    </x:row>
    <x:row r="172">
      <x:c r="A172" s="50" t="n">
        <x:f>IF($C172="ranked",1+COUNTIFS($C$5:$C$190,"ranked",$L$5:$L$190,"&gt;"&amp;$L172),"")</x:f>
        <x:v>168</x:v>
      </x:c>
      <x:c r="B172" t="str">
        <x:v>gtja_091</x:v>
      </x:c>
      <x:c r="C172" t="str">
        <x:v>ranked</x:v>
      </x:c>
      <x:c r="D172" s="30" t="str">
        <x:f>IF(COUNTIFS('Raw IC'!$A$5:$A$546,$B172,'Raw IC'!$B$5:$B$546,1)=0,"",SUMIFS('Raw IC'!$F$5:$F$546,'Raw IC'!$A$5:$A$546,$B172,'Raw IC'!$B$5:$B$546,1))</x:f>
      </x:c>
      <x:c r="E172" s="30" t="str">
        <x:f>IF(COUNTIFS('Raw IC'!$A$5:$A$546,$B172,'Raw IC'!$B$5:$B$546,1)=0,"",SUMIFS('Raw IC'!$H$5:$H$546,'Raw IC'!$A$5:$A$546,$B172,'Raw IC'!$B$5:$B$546,1))</x:f>
      </x:c>
      <x:c r="F172" s="30" t="str">
        <x:f>IF(COUNTIFS('Raw IC'!$A$5:$A$546,$B172,'Raw IC'!$B$5:$B$546,5)=0,"",SUMIFS('Raw IC'!$F$5:$F$546,'Raw IC'!$A$5:$A$546,$B172,'Raw IC'!$B$5:$B$546,5))</x:f>
      </x:c>
      <x:c r="G172" s="30" t="str">
        <x:f>IF(COUNTIFS('Raw IC'!$A$5:$A$546,$B172,'Raw IC'!$B$5:$B$546,5)=0,"",SUMIFS('Raw IC'!$H$5:$H$546,'Raw IC'!$A$5:$A$546,$B172,'Raw IC'!$B$5:$B$546,5))</x:f>
      </x:c>
      <x:c r="H172" s="30" t="n">
        <x:f>IF(COUNTIFS('Raw IC'!$A$5:$A$546,$B172,'Raw IC'!$B$5:$B$546,10)=0,"",SUMIFS('Raw IC'!$F$5:$F$546,'Raw IC'!$A$5:$A$546,$B172,'Raw IC'!$B$5:$B$546,10))</x:f>
        <x:v>-0.005977281466886537</x:v>
      </x:c>
      <x:c r="I172" s="30" t="n">
        <x:f>IF(COUNTIFS('Raw IC'!$A$5:$A$546,$B172,'Raw IC'!$B$5:$B$546,10)=0,"",SUMIFS('Raw IC'!$H$5:$H$546,'Raw IC'!$A$5:$A$546,$B172,'Raw IC'!$B$5:$B$546,10))</x:f>
        <x:v>-0.057989473488840856</x:v>
      </x:c>
      <x:c r="J172" s="30" t="n">
        <x:f>IF(COUNTIFS('Raw IC'!$A$5:$A$546,$B172,'Raw IC'!$B$5:$B$546,20)=0,"",SUMIFS('Raw IC'!$F$5:$F$546,'Raw IC'!$A$5:$A$546,$B172,'Raw IC'!$B$5:$B$546,20))</x:f>
        <x:v>-0.00910210324691601</x:v>
      </x:c>
      <x:c r="K172" s="30" t="n">
        <x:f>IF(COUNTIFS('Raw IC'!$A$5:$A$546,$B172,'Raw IC'!$B$5:$B$546,20)=0,"",SUMIFS('Raw IC'!$H$5:$H$546,'Raw IC'!$A$5:$A$546,$B172,'Raw IC'!$B$5:$B$546,20))</x:f>
        <x:v>-0.0909207725335537</x:v>
      </x:c>
      <x:c r="L172" s="30" t="n">
        <x:f>IF(COUNT(I172,K172)&lt;2,"",AVERAGE(ABS(I172),ABS(K172)))</x:f>
        <x:v>0.07445512301119728</x:v>
      </x:c>
      <x:c r="M172" t="str">
        <x:f>IF(COUNT(H172,J172)&lt;2,"",IF(H172*J172&gt;=0,IF(H172&gt;=0,"positive","negative"),"mixed"))</x:f>
        <x:v>negative</x:v>
      </x:c>
      <x:c r="N172" s="74" t="n">
        <x:v>46211.33546769676</x:v>
      </x:c>
      <x:c r="O172" s="19" t="n">
        <x:v>8902245</x:v>
      </x:c>
      <x:c r="P172" t="str">
        <x:v>8f7e606554926462248cbcc654181861438ca768a0063f6b317223ede37d16fb</x:v>
      </x:c>
      <x:c r="Q172" t="str">
        <x:v>factor_report/gtja191_batch/gtja_091</x:v>
      </x:c>
    </x:row>
    <x:row r="173">
      <x:c r="A173" s="50" t="n">
        <x:f>IF($C173="ranked",1+COUNTIFS($C$5:$C$190,"ranked",$L$5:$L$190,"&gt;"&amp;$L173),"")</x:f>
        <x:v>169</x:v>
      </x:c>
      <x:c r="B173" t="str">
        <x:v>gtja_162</x:v>
      </x:c>
      <x:c r="C173" t="str">
        <x:v>ranked</x:v>
      </x:c>
      <x:c r="D173" s="30" t="str">
        <x:f>IF(COUNTIFS('Raw IC'!$A$5:$A$546,$B173,'Raw IC'!$B$5:$B$546,1)=0,"",SUMIFS('Raw IC'!$F$5:$F$546,'Raw IC'!$A$5:$A$546,$B173,'Raw IC'!$B$5:$B$546,1))</x:f>
      </x:c>
      <x:c r="E173" s="30" t="str">
        <x:f>IF(COUNTIFS('Raw IC'!$A$5:$A$546,$B173,'Raw IC'!$B$5:$B$546,1)=0,"",SUMIFS('Raw IC'!$H$5:$H$546,'Raw IC'!$A$5:$A$546,$B173,'Raw IC'!$B$5:$B$546,1))</x:f>
      </x:c>
      <x:c r="F173" s="30" t="str">
        <x:f>IF(COUNTIFS('Raw IC'!$A$5:$A$546,$B173,'Raw IC'!$B$5:$B$546,5)=0,"",SUMIFS('Raw IC'!$F$5:$F$546,'Raw IC'!$A$5:$A$546,$B173,'Raw IC'!$B$5:$B$546,5))</x:f>
      </x:c>
      <x:c r="G173" s="30" t="str">
        <x:f>IF(COUNTIFS('Raw IC'!$A$5:$A$546,$B173,'Raw IC'!$B$5:$B$546,5)=0,"",SUMIFS('Raw IC'!$H$5:$H$546,'Raw IC'!$A$5:$A$546,$B173,'Raw IC'!$B$5:$B$546,5))</x:f>
      </x:c>
      <x:c r="H173" s="30" t="n">
        <x:f>IF(COUNTIFS('Raw IC'!$A$5:$A$546,$B173,'Raw IC'!$B$5:$B$546,10)=0,"",SUMIFS('Raw IC'!$F$5:$F$546,'Raw IC'!$A$5:$A$546,$B173,'Raw IC'!$B$5:$B$546,10))</x:f>
        <x:v>-0.007836269014980184</x:v>
      </x:c>
      <x:c r="I173" s="30" t="n">
        <x:f>IF(COUNTIFS('Raw IC'!$A$5:$A$546,$B173,'Raw IC'!$B$5:$B$546,10)=0,"",SUMIFS('Raw IC'!$H$5:$H$546,'Raw IC'!$A$5:$A$546,$B173,'Raw IC'!$B$5:$B$546,10))</x:f>
        <x:v>-0.06733279963892513</x:v>
      </x:c>
      <x:c r="J173" s="30" t="n">
        <x:f>IF(COUNTIFS('Raw IC'!$A$5:$A$546,$B173,'Raw IC'!$B$5:$B$546,20)=0,"",SUMIFS('Raw IC'!$F$5:$F$546,'Raw IC'!$A$5:$A$546,$B173,'Raw IC'!$B$5:$B$546,20))</x:f>
        <x:v>-0.008626401057658625</x:v>
      </x:c>
      <x:c r="K173" s="30" t="n">
        <x:f>IF(COUNTIFS('Raw IC'!$A$5:$A$546,$B173,'Raw IC'!$B$5:$B$546,20)=0,"",SUMIFS('Raw IC'!$H$5:$H$546,'Raw IC'!$A$5:$A$546,$B173,'Raw IC'!$B$5:$B$546,20))</x:f>
        <x:v>-0.07548236941708095</x:v>
      </x:c>
      <x:c r="L173" s="30" t="n">
        <x:f>IF(COUNT(I173,K173)&lt;2,"",AVERAGE(ABS(I173),ABS(K173)))</x:f>
        <x:v>0.07140758452800304</x:v>
      </x:c>
      <x:c r="M173" t="str">
        <x:f>IF(COUNT(H173,J173)&lt;2,"",IF(H173*J173&gt;=0,IF(H173&gt;=0,"positive","negative"),"mixed"))</x:f>
        <x:v>negative</x:v>
      </x:c>
      <x:c r="N173" s="74" t="n">
        <x:v>46211.50984748843</x:v>
      </x:c>
      <x:c r="O173" s="19" t="n">
        <x:v>8902245</x:v>
      </x:c>
      <x:c r="P173" t="str">
        <x:v>8f7e606554926462248cbcc654181861438ca768a0063f6b317223ede37d16fb</x:v>
      </x:c>
      <x:c r="Q173" t="str">
        <x:v>factor_report/gtja191_batch/gtja_162</x:v>
      </x:c>
    </x:row>
    <x:row r="174">
      <x:c r="A174" s="50" t="n">
        <x:f>IF($C174="ranked",1+COUNTIFS($C$5:$C$190,"ranked",$L$5:$L$190,"&gt;"&amp;$L174),"")</x:f>
        <x:v>170</x:v>
      </x:c>
      <x:c r="B174" t="str">
        <x:v>gtja_124</x:v>
      </x:c>
      <x:c r="C174" t="str">
        <x:v>ranked</x:v>
      </x:c>
      <x:c r="D174" s="30" t="str">
        <x:f>IF(COUNTIFS('Raw IC'!$A$5:$A$546,$B174,'Raw IC'!$B$5:$B$546,1)=0,"",SUMIFS('Raw IC'!$F$5:$F$546,'Raw IC'!$A$5:$A$546,$B174,'Raw IC'!$B$5:$B$546,1))</x:f>
      </x:c>
      <x:c r="E174" s="30" t="str">
        <x:f>IF(COUNTIFS('Raw IC'!$A$5:$A$546,$B174,'Raw IC'!$B$5:$B$546,1)=0,"",SUMIFS('Raw IC'!$H$5:$H$546,'Raw IC'!$A$5:$A$546,$B174,'Raw IC'!$B$5:$B$546,1))</x:f>
      </x:c>
      <x:c r="F174" s="30" t="str">
        <x:f>IF(COUNTIFS('Raw IC'!$A$5:$A$546,$B174,'Raw IC'!$B$5:$B$546,5)=0,"",SUMIFS('Raw IC'!$F$5:$F$546,'Raw IC'!$A$5:$A$546,$B174,'Raw IC'!$B$5:$B$546,5))</x:f>
      </x:c>
      <x:c r="G174" s="30" t="str">
        <x:f>IF(COUNTIFS('Raw IC'!$A$5:$A$546,$B174,'Raw IC'!$B$5:$B$546,5)=0,"",SUMIFS('Raw IC'!$H$5:$H$546,'Raw IC'!$A$5:$A$546,$B174,'Raw IC'!$B$5:$B$546,5))</x:f>
      </x:c>
      <x:c r="H174" s="30" t="n">
        <x:f>IF(COUNTIFS('Raw IC'!$A$5:$A$546,$B174,'Raw IC'!$B$5:$B$546,10)=0,"",SUMIFS('Raw IC'!$F$5:$F$546,'Raw IC'!$A$5:$A$546,$B174,'Raw IC'!$B$5:$B$546,10))</x:f>
        <x:v>-0.0069098824764696155</x:v>
      </x:c>
      <x:c r="I174" s="30" t="n">
        <x:f>IF(COUNTIFS('Raw IC'!$A$5:$A$546,$B174,'Raw IC'!$B$5:$B$546,10)=0,"",SUMIFS('Raw IC'!$H$5:$H$546,'Raw IC'!$A$5:$A$546,$B174,'Raw IC'!$B$5:$B$546,10))</x:f>
        <x:v>-0.0656349991332435</x:v>
      </x:c>
      <x:c r="J174" s="30" t="n">
        <x:f>IF(COUNTIFS('Raw IC'!$A$5:$A$546,$B174,'Raw IC'!$B$5:$B$546,20)=0,"",SUMIFS('Raw IC'!$F$5:$F$546,'Raw IC'!$A$5:$A$546,$B174,'Raw IC'!$B$5:$B$546,20))</x:f>
        <x:v>-0.0074801309184992035</x:v>
      </x:c>
      <x:c r="K174" s="30" t="n">
        <x:f>IF(COUNTIFS('Raw IC'!$A$5:$A$546,$B174,'Raw IC'!$B$5:$B$546,20)=0,"",SUMIFS('Raw IC'!$H$5:$H$546,'Raw IC'!$A$5:$A$546,$B174,'Raw IC'!$B$5:$B$546,20))</x:f>
        <x:v>-0.07341317497477791</x:v>
      </x:c>
      <x:c r="L174" s="30" t="n">
        <x:f>IF(COUNT(I174,K174)&lt;2,"",AVERAGE(ABS(I174),ABS(K174)))</x:f>
        <x:v>0.0695240870540107</x:v>
      </x:c>
      <x:c r="M174" t="str">
        <x:f>IF(COUNT(H174,J174)&lt;2,"",IF(H174*J174&gt;=0,IF(H174&gt;=0,"positive","negative"),"mixed"))</x:f>
        <x:v>negative</x:v>
      </x:c>
      <x:c r="N174" s="74" t="n">
        <x:v>46211.41230089121</x:v>
      </x:c>
      <x:c r="O174" s="19" t="n">
        <x:v>8902245</x:v>
      </x:c>
      <x:c r="P174" t="str">
        <x:v>8f7e606554926462248cbcc654181861438ca768a0063f6b317223ede37d16fb</x:v>
      </x:c>
      <x:c r="Q174" t="str">
        <x:v>factor_report/gtja191_batch/gtja_124</x:v>
      </x:c>
    </x:row>
    <x:row r="175">
      <x:c r="A175" s="50" t="n">
        <x:f>IF($C175="ranked",1+COUNTIFS($C$5:$C$190,"ranked",$L$5:$L$190,"&gt;"&amp;$L175),"")</x:f>
        <x:v>171</x:v>
      </x:c>
      <x:c r="B175" t="str">
        <x:v>gtja_165</x:v>
      </x:c>
      <x:c r="C175" t="str">
        <x:v>ranked</x:v>
      </x:c>
      <x:c r="D175" s="30" t="str">
        <x:f>IF(COUNTIFS('Raw IC'!$A$5:$A$546,$B175,'Raw IC'!$B$5:$B$546,1)=0,"",SUMIFS('Raw IC'!$F$5:$F$546,'Raw IC'!$A$5:$A$546,$B175,'Raw IC'!$B$5:$B$546,1))</x:f>
      </x:c>
      <x:c r="E175" s="30" t="str">
        <x:f>IF(COUNTIFS('Raw IC'!$A$5:$A$546,$B175,'Raw IC'!$B$5:$B$546,1)=0,"",SUMIFS('Raw IC'!$H$5:$H$546,'Raw IC'!$A$5:$A$546,$B175,'Raw IC'!$B$5:$B$546,1))</x:f>
      </x:c>
      <x:c r="F175" s="30" t="str">
        <x:f>IF(COUNTIFS('Raw IC'!$A$5:$A$546,$B175,'Raw IC'!$B$5:$B$546,5)=0,"",SUMIFS('Raw IC'!$F$5:$F$546,'Raw IC'!$A$5:$A$546,$B175,'Raw IC'!$B$5:$B$546,5))</x:f>
      </x:c>
      <x:c r="G175" s="30" t="str">
        <x:f>IF(COUNTIFS('Raw IC'!$A$5:$A$546,$B175,'Raw IC'!$B$5:$B$546,5)=0,"",SUMIFS('Raw IC'!$H$5:$H$546,'Raw IC'!$A$5:$A$546,$B175,'Raw IC'!$B$5:$B$546,5))</x:f>
      </x:c>
      <x:c r="H175" s="30" t="n">
        <x:f>IF(COUNTIFS('Raw IC'!$A$5:$A$546,$B175,'Raw IC'!$B$5:$B$546,10)=0,"",SUMIFS('Raw IC'!$F$5:$F$546,'Raw IC'!$A$5:$A$546,$B175,'Raw IC'!$B$5:$B$546,10))</x:f>
        <x:v>0.004761957217324623</x:v>
      </x:c>
      <x:c r="I175" s="30" t="n">
        <x:f>IF(COUNTIFS('Raw IC'!$A$5:$A$546,$B175,'Raw IC'!$B$5:$B$546,10)=0,"",SUMIFS('Raw IC'!$H$5:$H$546,'Raw IC'!$A$5:$A$546,$B175,'Raw IC'!$B$5:$B$546,10))</x:f>
        <x:v>0.05595493609631784</x:v>
      </x:c>
      <x:c r="J175" s="30" t="n">
        <x:f>IF(COUNTIFS('Raw IC'!$A$5:$A$546,$B175,'Raw IC'!$B$5:$B$546,20)=0,"",SUMIFS('Raw IC'!$F$5:$F$546,'Raw IC'!$A$5:$A$546,$B175,'Raw IC'!$B$5:$B$546,20))</x:f>
        <x:v>0.005974237224172743</x:v>
      </x:c>
      <x:c r="K175" s="30" t="n">
        <x:f>IF(COUNTIFS('Raw IC'!$A$5:$A$546,$B175,'Raw IC'!$B$5:$B$546,20)=0,"",SUMIFS('Raw IC'!$H$5:$H$546,'Raw IC'!$A$5:$A$546,$B175,'Raw IC'!$B$5:$B$546,20))</x:f>
        <x:v>0.07082679932226507</x:v>
      </x:c>
      <x:c r="L175" s="30" t="n">
        <x:f>IF(COUNT(I175,K175)&lt;2,"",AVERAGE(ABS(I175),ABS(K175)))</x:f>
        <x:v>0.06339086770929145</x:v>
      </x:c>
      <x:c r="M175" t="str">
        <x:f>IF(COUNT(H175,J175)&lt;2,"",IF(H175*J175&gt;=0,IF(H175&gt;=0,"positive","negative"),"mixed"))</x:f>
        <x:v>positive</x:v>
      </x:c>
      <x:c r="N175" s="74" t="n">
        <x:v>46211.5176621412</x:v>
      </x:c>
      <x:c r="O175" s="19" t="n">
        <x:v>8902245</x:v>
      </x:c>
      <x:c r="P175" t="str">
        <x:v>8f7e606554926462248cbcc654181861438ca768a0063f6b317223ede37d16fb</x:v>
      </x:c>
      <x:c r="Q175" t="str">
        <x:v>factor_report/gtja191_batch/gtja_165</x:v>
      </x:c>
    </x:row>
    <x:row r="176">
      <x:c r="A176" s="50" t="n">
        <x:f>IF($C176="ranked",1+COUNTIFS($C$5:$C$190,"ranked",$L$5:$L$190,"&gt;"&amp;$L176),"")</x:f>
        <x:v>172</x:v>
      </x:c>
      <x:c r="B176" t="str">
        <x:v>gtja_146</x:v>
      </x:c>
      <x:c r="C176" t="str">
        <x:v>ranked</x:v>
      </x:c>
      <x:c r="D176" s="30" t="str">
        <x:f>IF(COUNTIFS('Raw IC'!$A$5:$A$546,$B176,'Raw IC'!$B$5:$B$546,1)=0,"",SUMIFS('Raw IC'!$F$5:$F$546,'Raw IC'!$A$5:$A$546,$B176,'Raw IC'!$B$5:$B$546,1))</x:f>
      </x:c>
      <x:c r="E176" s="30" t="str">
        <x:f>IF(COUNTIFS('Raw IC'!$A$5:$A$546,$B176,'Raw IC'!$B$5:$B$546,1)=0,"",SUMIFS('Raw IC'!$H$5:$H$546,'Raw IC'!$A$5:$A$546,$B176,'Raw IC'!$B$5:$B$546,1))</x:f>
      </x:c>
      <x:c r="F176" s="30" t="str">
        <x:f>IF(COUNTIFS('Raw IC'!$A$5:$A$546,$B176,'Raw IC'!$B$5:$B$546,5)=0,"",SUMIFS('Raw IC'!$F$5:$F$546,'Raw IC'!$A$5:$A$546,$B176,'Raw IC'!$B$5:$B$546,5))</x:f>
      </x:c>
      <x:c r="G176" s="30" t="str">
        <x:f>IF(COUNTIFS('Raw IC'!$A$5:$A$546,$B176,'Raw IC'!$B$5:$B$546,5)=0,"",SUMIFS('Raw IC'!$H$5:$H$546,'Raw IC'!$A$5:$A$546,$B176,'Raw IC'!$B$5:$B$546,5))</x:f>
      </x:c>
      <x:c r="H176" s="30" t="n">
        <x:f>IF(COUNTIFS('Raw IC'!$A$5:$A$546,$B176,'Raw IC'!$B$5:$B$546,10)=0,"",SUMIFS('Raw IC'!$F$5:$F$546,'Raw IC'!$A$5:$A$546,$B176,'Raw IC'!$B$5:$B$546,10))</x:f>
        <x:v>-0.004380920010943611</x:v>
      </x:c>
      <x:c r="I176" s="30" t="n">
        <x:f>IF(COUNTIFS('Raw IC'!$A$5:$A$546,$B176,'Raw IC'!$B$5:$B$546,10)=0,"",SUMIFS('Raw IC'!$H$5:$H$546,'Raw IC'!$A$5:$A$546,$B176,'Raw IC'!$B$5:$B$546,10))</x:f>
        <x:v>-0.05296346584165112</x:v>
      </x:c>
      <x:c r="J176" s="30" t="n">
        <x:f>IF(COUNTIFS('Raw IC'!$A$5:$A$546,$B176,'Raw IC'!$B$5:$B$546,20)=0,"",SUMIFS('Raw IC'!$F$5:$F$546,'Raw IC'!$A$5:$A$546,$B176,'Raw IC'!$B$5:$B$546,20))</x:f>
        <x:v>-0.0057458720911978105</x:v>
      </x:c>
      <x:c r="K176" s="30" t="n">
        <x:f>IF(COUNTIFS('Raw IC'!$A$5:$A$546,$B176,'Raw IC'!$B$5:$B$546,20)=0,"",SUMIFS('Raw IC'!$H$5:$H$546,'Raw IC'!$A$5:$A$546,$B176,'Raw IC'!$B$5:$B$546,20))</x:f>
        <x:v>-0.06915317078630533</x:v>
      </x:c>
      <x:c r="L176" s="30" t="n">
        <x:f>IF(COUNT(I176,K176)&lt;2,"",AVERAGE(ABS(I176),ABS(K176)))</x:f>
        <x:v>0.06105831831397822</x:v>
      </x:c>
      <x:c r="M176" t="str">
        <x:f>IF(COUNT(H176,J176)&lt;2,"",IF(H176*J176&gt;=0,IF(H176&gt;=0,"positive","negative"),"mixed"))</x:f>
        <x:v>negative</x:v>
      </x:c>
      <x:c r="N176" s="74" t="n">
        <x:v>46211.45605219907</x:v>
      </x:c>
      <x:c r="O176" s="19" t="n">
        <x:v>8902245</x:v>
      </x:c>
      <x:c r="P176" t="str">
        <x:v>8f7e606554926462248cbcc654181861438ca768a0063f6b317223ede37d16fb</x:v>
      </x:c>
      <x:c r="Q176" t="str">
        <x:v>factor_report/gtja191_batch/gtja_146</x:v>
      </x:c>
    </x:row>
    <x:row r="177">
      <x:c r="A177" s="50" t="n">
        <x:f>IF($C177="ranked",1+COUNTIFS($C$5:$C$190,"ranked",$L$5:$L$190,"&gt;"&amp;$L177),"")</x:f>
        <x:v>173</x:v>
      </x:c>
      <x:c r="B177" t="str">
        <x:v>gtja_119</x:v>
      </x:c>
      <x:c r="C177" t="str">
        <x:v>ranked</x:v>
      </x:c>
      <x:c r="D177" s="30" t="str">
        <x:f>IF(COUNTIFS('Raw IC'!$A$5:$A$546,$B177,'Raw IC'!$B$5:$B$546,1)=0,"",SUMIFS('Raw IC'!$F$5:$F$546,'Raw IC'!$A$5:$A$546,$B177,'Raw IC'!$B$5:$B$546,1))</x:f>
      </x:c>
      <x:c r="E177" s="30" t="str">
        <x:f>IF(COUNTIFS('Raw IC'!$A$5:$A$546,$B177,'Raw IC'!$B$5:$B$546,1)=0,"",SUMIFS('Raw IC'!$H$5:$H$546,'Raw IC'!$A$5:$A$546,$B177,'Raw IC'!$B$5:$B$546,1))</x:f>
      </x:c>
      <x:c r="F177" s="30" t="str">
        <x:f>IF(COUNTIFS('Raw IC'!$A$5:$A$546,$B177,'Raw IC'!$B$5:$B$546,5)=0,"",SUMIFS('Raw IC'!$F$5:$F$546,'Raw IC'!$A$5:$A$546,$B177,'Raw IC'!$B$5:$B$546,5))</x:f>
      </x:c>
      <x:c r="G177" s="30" t="str">
        <x:f>IF(COUNTIFS('Raw IC'!$A$5:$A$546,$B177,'Raw IC'!$B$5:$B$546,5)=0,"",SUMIFS('Raw IC'!$H$5:$H$546,'Raw IC'!$A$5:$A$546,$B177,'Raw IC'!$B$5:$B$546,5))</x:f>
      </x:c>
      <x:c r="H177" s="30" t="n">
        <x:f>IF(COUNTIFS('Raw IC'!$A$5:$A$546,$B177,'Raw IC'!$B$5:$B$546,10)=0,"",SUMIFS('Raw IC'!$F$5:$F$546,'Raw IC'!$A$5:$A$546,$B177,'Raw IC'!$B$5:$B$546,10))</x:f>
        <x:v>0.0011128183046609727</x:v>
      </x:c>
      <x:c r="I177" s="30" t="n">
        <x:f>IF(COUNTIFS('Raw IC'!$A$5:$A$546,$B177,'Raw IC'!$B$5:$B$546,10)=0,"",SUMIFS('Raw IC'!$H$5:$H$546,'Raw IC'!$A$5:$A$546,$B177,'Raw IC'!$B$5:$B$546,10))</x:f>
        <x:v>0.021336054310253306</x:v>
      </x:c>
      <x:c r="J177" s="30" t="n">
        <x:f>IF(COUNTIFS('Raw IC'!$A$5:$A$546,$B177,'Raw IC'!$B$5:$B$546,20)=0,"",SUMIFS('Raw IC'!$F$5:$F$546,'Raw IC'!$A$5:$A$546,$B177,'Raw IC'!$B$5:$B$546,20))</x:f>
        <x:v>0.004066268877884704</x:v>
      </x:c>
      <x:c r="K177" s="30" t="n">
        <x:f>IF(COUNTIFS('Raw IC'!$A$5:$A$546,$B177,'Raw IC'!$B$5:$B$546,20)=0,"",SUMIFS('Raw IC'!$H$5:$H$546,'Raw IC'!$A$5:$A$546,$B177,'Raw IC'!$B$5:$B$546,20))</x:f>
        <x:v>0.08042132737653916</x:v>
      </x:c>
      <x:c r="L177" s="30" t="n">
        <x:f>IF(COUNT(I177,K177)&lt;2,"",AVERAGE(ABS(I177),ABS(K177)))</x:f>
        <x:v>0.05087869084339623</x:v>
      </x:c>
      <x:c r="M177" t="str">
        <x:f>IF(COUNT(H177,J177)&lt;2,"",IF(H177*J177&gt;=0,IF(H177&gt;=0,"positive","negative"),"mixed"))</x:f>
        <x:v>positive</x:v>
      </x:c>
      <x:c r="N177" s="74" t="n">
        <x:v>46211.39142025463</x:v>
      </x:c>
      <x:c r="O177" s="19" t="n">
        <x:v>8902245</x:v>
      </x:c>
      <x:c r="P177" t="str">
        <x:v>8f7e606554926462248cbcc654181861438ca768a0063f6b317223ede37d16fb</x:v>
      </x:c>
      <x:c r="Q177" t="str">
        <x:v>factor_report/gtja191_batch/gtja_119</x:v>
      </x:c>
    </x:row>
    <x:row r="178">
      <x:c r="A178" s="50" t="n">
        <x:f>IF($C178="ranked",1+COUNTIFS($C$5:$C$190,"ranked",$L$5:$L$190,"&gt;"&amp;$L178),"")</x:f>
        <x:v>174</x:v>
      </x:c>
      <x:c r="B178" t="str">
        <x:v>gtja_163</x:v>
      </x:c>
      <x:c r="C178" t="str">
        <x:v>ranked</x:v>
      </x:c>
      <x:c r="D178" s="30" t="str">
        <x:f>IF(COUNTIFS('Raw IC'!$A$5:$A$546,$B178,'Raw IC'!$B$5:$B$546,1)=0,"",SUMIFS('Raw IC'!$F$5:$F$546,'Raw IC'!$A$5:$A$546,$B178,'Raw IC'!$B$5:$B$546,1))</x:f>
      </x:c>
      <x:c r="E178" s="30" t="str">
        <x:f>IF(COUNTIFS('Raw IC'!$A$5:$A$546,$B178,'Raw IC'!$B$5:$B$546,1)=0,"",SUMIFS('Raw IC'!$H$5:$H$546,'Raw IC'!$A$5:$A$546,$B178,'Raw IC'!$B$5:$B$546,1))</x:f>
      </x:c>
      <x:c r="F178" s="30" t="str">
        <x:f>IF(COUNTIFS('Raw IC'!$A$5:$A$546,$B178,'Raw IC'!$B$5:$B$546,5)=0,"",SUMIFS('Raw IC'!$F$5:$F$546,'Raw IC'!$A$5:$A$546,$B178,'Raw IC'!$B$5:$B$546,5))</x:f>
      </x:c>
      <x:c r="G178" s="30" t="str">
        <x:f>IF(COUNTIFS('Raw IC'!$A$5:$A$546,$B178,'Raw IC'!$B$5:$B$546,5)=0,"",SUMIFS('Raw IC'!$H$5:$H$546,'Raw IC'!$A$5:$A$546,$B178,'Raw IC'!$B$5:$B$546,5))</x:f>
      </x:c>
      <x:c r="H178" s="30" t="n">
        <x:f>IF(COUNTIFS('Raw IC'!$A$5:$A$546,$B178,'Raw IC'!$B$5:$B$546,10)=0,"",SUMIFS('Raw IC'!$F$5:$F$546,'Raw IC'!$A$5:$A$546,$B178,'Raw IC'!$B$5:$B$546,10))</x:f>
        <x:v>0.004280049698009344</x:v>
      </x:c>
      <x:c r="I178" s="30" t="n">
        <x:f>IF(COUNTIFS('Raw IC'!$A$5:$A$546,$B178,'Raw IC'!$B$5:$B$546,10)=0,"",SUMIFS('Raw IC'!$H$5:$H$546,'Raw IC'!$A$5:$A$546,$B178,'Raw IC'!$B$5:$B$546,10))</x:f>
        <x:v>0.037201323160788315</x:v>
      </x:c>
      <x:c r="J178" s="30" t="n">
        <x:f>IF(COUNTIFS('Raw IC'!$A$5:$A$546,$B178,'Raw IC'!$B$5:$B$546,20)=0,"",SUMIFS('Raw IC'!$F$5:$F$546,'Raw IC'!$A$5:$A$546,$B178,'Raw IC'!$B$5:$B$546,20))</x:f>
        <x:v>0.004966602728574565</x:v>
      </x:c>
      <x:c r="K178" s="30" t="n">
        <x:f>IF(COUNTIFS('Raw IC'!$A$5:$A$546,$B178,'Raw IC'!$B$5:$B$546,20)=0,"",SUMIFS('Raw IC'!$H$5:$H$546,'Raw IC'!$A$5:$A$546,$B178,'Raw IC'!$B$5:$B$546,20))</x:f>
        <x:v>0.043732738151400705</x:v>
      </x:c>
      <x:c r="L178" s="30" t="n">
        <x:f>IF(COUNT(I178,K178)&lt;2,"",AVERAGE(ABS(I178),ABS(K178)))</x:f>
        <x:v>0.04046703065609451</x:v>
      </x:c>
      <x:c r="M178" t="str">
        <x:f>IF(COUNT(H178,J178)&lt;2,"",IF(H178*J178&gt;=0,IF(H178&gt;=0,"positive","negative"),"mixed"))</x:f>
        <x:v>positive</x:v>
      </x:c>
      <x:c r="N178" s="74" t="n">
        <x:v>46211.5122449537</x:v>
      </x:c>
      <x:c r="O178" s="19" t="n">
        <x:v>8902245</x:v>
      </x:c>
      <x:c r="P178" t="str">
        <x:v>8f7e606554926462248cbcc654181861438ca768a0063f6b317223ede37d16fb</x:v>
      </x:c>
      <x:c r="Q178" t="str">
        <x:v>factor_report/gtja191_batch/gtja_163</x:v>
      </x:c>
    </x:row>
    <x:row r="179">
      <x:c r="A179" s="50" t="n">
        <x:f>IF($C179="ranked",1+COUNTIFS($C$5:$C$190,"ranked",$L$5:$L$190,"&gt;"&amp;$L179),"")</x:f>
        <x:v>175</x:v>
      </x:c>
      <x:c r="B179" t="str">
        <x:v>gtja_111</x:v>
      </x:c>
      <x:c r="C179" t="str">
        <x:v>ranked</x:v>
      </x:c>
      <x:c r="D179" s="30" t="str">
        <x:f>IF(COUNTIFS('Raw IC'!$A$5:$A$546,$B179,'Raw IC'!$B$5:$B$546,1)=0,"",SUMIFS('Raw IC'!$F$5:$F$546,'Raw IC'!$A$5:$A$546,$B179,'Raw IC'!$B$5:$B$546,1))</x:f>
      </x:c>
      <x:c r="E179" s="30" t="str">
        <x:f>IF(COUNTIFS('Raw IC'!$A$5:$A$546,$B179,'Raw IC'!$B$5:$B$546,1)=0,"",SUMIFS('Raw IC'!$H$5:$H$546,'Raw IC'!$A$5:$A$546,$B179,'Raw IC'!$B$5:$B$546,1))</x:f>
      </x:c>
      <x:c r="F179" s="30" t="str">
        <x:f>IF(COUNTIFS('Raw IC'!$A$5:$A$546,$B179,'Raw IC'!$B$5:$B$546,5)=0,"",SUMIFS('Raw IC'!$F$5:$F$546,'Raw IC'!$A$5:$A$546,$B179,'Raw IC'!$B$5:$B$546,5))</x:f>
      </x:c>
      <x:c r="G179" s="30" t="str">
        <x:f>IF(COUNTIFS('Raw IC'!$A$5:$A$546,$B179,'Raw IC'!$B$5:$B$546,5)=0,"",SUMIFS('Raw IC'!$H$5:$H$546,'Raw IC'!$A$5:$A$546,$B179,'Raw IC'!$B$5:$B$546,5))</x:f>
      </x:c>
      <x:c r="H179" s="30" t="n">
        <x:f>IF(COUNTIFS('Raw IC'!$A$5:$A$546,$B179,'Raw IC'!$B$5:$B$546,10)=0,"",SUMIFS('Raw IC'!$F$5:$F$546,'Raw IC'!$A$5:$A$546,$B179,'Raw IC'!$B$5:$B$546,10))</x:f>
        <x:v>0.0043128644724922645</x:v>
      </x:c>
      <x:c r="I179" s="30" t="n">
        <x:f>IF(COUNTIFS('Raw IC'!$A$5:$A$546,$B179,'Raw IC'!$B$5:$B$546,10)=0,"",SUMIFS('Raw IC'!$H$5:$H$546,'Raw IC'!$A$5:$A$546,$B179,'Raw IC'!$B$5:$B$546,10))</x:f>
        <x:v>0.04647995921658757</x:v>
      </x:c>
      <x:c r="J179" s="30" t="n">
        <x:f>IF(COUNTIFS('Raw IC'!$A$5:$A$546,$B179,'Raw IC'!$B$5:$B$546,20)=0,"",SUMIFS('Raw IC'!$F$5:$F$546,'Raw IC'!$A$5:$A$546,$B179,'Raw IC'!$B$5:$B$546,20))</x:f>
        <x:v>0.0019995421900137846</x:v>
      </x:c>
      <x:c r="K179" s="30" t="n">
        <x:f>IF(COUNTIFS('Raw IC'!$A$5:$A$546,$B179,'Raw IC'!$B$5:$B$546,20)=0,"",SUMIFS('Raw IC'!$H$5:$H$546,'Raw IC'!$A$5:$A$546,$B179,'Raw IC'!$B$5:$B$546,20))</x:f>
        <x:v>0.021629823158388288</x:v>
      </x:c>
      <x:c r="L179" s="30" t="n">
        <x:f>IF(COUNT(I179,K179)&lt;2,"",AVERAGE(ABS(I179),ABS(K179)))</x:f>
        <x:v>0.03405489118748793</x:v>
      </x:c>
      <x:c r="M179" t="str">
        <x:f>IF(COUNT(H179,J179)&lt;2,"",IF(H179*J179&gt;=0,IF(H179&gt;=0,"positive","negative"),"mixed"))</x:f>
        <x:v>positive</x:v>
      </x:c>
      <x:c r="N179" s="74" t="n">
        <x:v>46211.36424368055</x:v>
      </x:c>
      <x:c r="O179" s="19" t="n">
        <x:v>8902245</x:v>
      </x:c>
      <x:c r="P179" t="str">
        <x:v>8f7e606554926462248cbcc654181861438ca768a0063f6b317223ede37d16fb</x:v>
      </x:c>
      <x:c r="Q179" t="str">
        <x:v>factor_report/gtja191_batch/gtja_111</x:v>
      </x:c>
    </x:row>
    <x:row r="180">
      <x:c r="A180" s="50" t="n">
        <x:f>IF($C180="ranked",1+COUNTIFS($C$5:$C$190,"ranked",$L$5:$L$190,"&gt;"&amp;$L180),"")</x:f>
        <x:v>176</x:v>
      </x:c>
      <x:c r="B180" t="str">
        <x:v>gtja_002</x:v>
      </x:c>
      <x:c r="C180" t="str">
        <x:v>ranked</x:v>
      </x:c>
      <x:c r="D180" s="30" t="str">
        <x:f>IF(COUNTIFS('Raw IC'!$A$5:$A$546,$B180,'Raw IC'!$B$5:$B$546,1)=0,"",SUMIFS('Raw IC'!$F$5:$F$546,'Raw IC'!$A$5:$A$546,$B180,'Raw IC'!$B$5:$B$546,1))</x:f>
      </x:c>
      <x:c r="E180" s="30" t="str">
        <x:f>IF(COUNTIFS('Raw IC'!$A$5:$A$546,$B180,'Raw IC'!$B$5:$B$546,1)=0,"",SUMIFS('Raw IC'!$H$5:$H$546,'Raw IC'!$A$5:$A$546,$B180,'Raw IC'!$B$5:$B$546,1))</x:f>
      </x:c>
      <x:c r="F180" s="30" t="str">
        <x:f>IF(COUNTIFS('Raw IC'!$A$5:$A$546,$B180,'Raw IC'!$B$5:$B$546,5)=0,"",SUMIFS('Raw IC'!$F$5:$F$546,'Raw IC'!$A$5:$A$546,$B180,'Raw IC'!$B$5:$B$546,5))</x:f>
      </x:c>
      <x:c r="G180" s="30" t="str">
        <x:f>IF(COUNTIFS('Raw IC'!$A$5:$A$546,$B180,'Raw IC'!$B$5:$B$546,5)=0,"",SUMIFS('Raw IC'!$H$5:$H$546,'Raw IC'!$A$5:$A$546,$B180,'Raw IC'!$B$5:$B$546,5))</x:f>
      </x:c>
      <x:c r="H180" s="30" t="n">
        <x:f>IF(COUNTIFS('Raw IC'!$A$5:$A$546,$B180,'Raw IC'!$B$5:$B$546,10)=0,"",SUMIFS('Raw IC'!$F$5:$F$546,'Raw IC'!$A$5:$A$546,$B180,'Raw IC'!$B$5:$B$546,10))</x:f>
        <x:v>0.003331327897083199</x:v>
      </x:c>
      <x:c r="I180" s="30" t="n">
        <x:f>IF(COUNTIFS('Raw IC'!$A$5:$A$546,$B180,'Raw IC'!$B$5:$B$546,10)=0,"",SUMIFS('Raw IC'!$H$5:$H$546,'Raw IC'!$A$5:$A$546,$B180,'Raw IC'!$B$5:$B$546,10))</x:f>
        <x:v>0.03431337661752796</x:v>
      </x:c>
      <x:c r="J180" s="30" t="n">
        <x:f>IF(COUNTIFS('Raw IC'!$A$5:$A$546,$B180,'Raw IC'!$B$5:$B$546,20)=0,"",SUMIFS('Raw IC'!$F$5:$F$546,'Raw IC'!$A$5:$A$546,$B180,'Raw IC'!$B$5:$B$546,20))</x:f>
        <x:v>0.00259474904267911</x:v>
      </x:c>
      <x:c r="K180" s="30" t="n">
        <x:f>IF(COUNTIFS('Raw IC'!$A$5:$A$546,$B180,'Raw IC'!$B$5:$B$546,20)=0,"",SUMIFS('Raw IC'!$H$5:$H$546,'Raw IC'!$A$5:$A$546,$B180,'Raw IC'!$B$5:$B$546,20))</x:f>
        <x:v>0.02773882295909015</x:v>
      </x:c>
      <x:c r="L180" s="30" t="n">
        <x:f>IF(COUNT(I180,K180)&lt;2,"",AVERAGE(ABS(I180),ABS(K180)))</x:f>
        <x:v>0.031026099788309055</x:v>
      </x:c>
      <x:c r="M180" t="str">
        <x:f>IF(COUNT(H180,J180)&lt;2,"",IF(H180*J180&gt;=0,IF(H180&gt;=0,"positive","negative"),"mixed"))</x:f>
        <x:v>positive</x:v>
      </x:c>
      <x:c r="N180" s="74" t="n">
        <x:v>46211.155761828704</x:v>
      </x:c>
      <x:c r="O180" s="19" t="n">
        <x:v>8902245</x:v>
      </x:c>
      <x:c r="P180" t="str">
        <x:v>8f7e606554926462248cbcc654181861438ca768a0063f6b317223ede37d16fb</x:v>
      </x:c>
      <x:c r="Q180" t="str">
        <x:v>factor_report/gtja191_batch/gtja_002</x:v>
      </x:c>
    </x:row>
    <x:row r="181">
      <x:c r="A181" s="50" t="n">
        <x:f>IF($C181="ranked",1+COUNTIFS($C$5:$C$190,"ranked",$L$5:$L$190,"&gt;"&amp;$L181),"")</x:f>
        <x:v>177</x:v>
      </x:c>
      <x:c r="B181" t="str">
        <x:v>gtja_138</x:v>
      </x:c>
      <x:c r="C181" t="str">
        <x:v>ranked</x:v>
      </x:c>
      <x:c r="D181" s="30" t="str">
        <x:f>IF(COUNTIFS('Raw IC'!$A$5:$A$546,$B181,'Raw IC'!$B$5:$B$546,1)=0,"",SUMIFS('Raw IC'!$F$5:$F$546,'Raw IC'!$A$5:$A$546,$B181,'Raw IC'!$B$5:$B$546,1))</x:f>
      </x:c>
      <x:c r="E181" s="30" t="str">
        <x:f>IF(COUNTIFS('Raw IC'!$A$5:$A$546,$B181,'Raw IC'!$B$5:$B$546,1)=0,"",SUMIFS('Raw IC'!$H$5:$H$546,'Raw IC'!$A$5:$A$546,$B181,'Raw IC'!$B$5:$B$546,1))</x:f>
      </x:c>
      <x:c r="F181" s="30" t="str">
        <x:f>IF(COUNTIFS('Raw IC'!$A$5:$A$546,$B181,'Raw IC'!$B$5:$B$546,5)=0,"",SUMIFS('Raw IC'!$F$5:$F$546,'Raw IC'!$A$5:$A$546,$B181,'Raw IC'!$B$5:$B$546,5))</x:f>
      </x:c>
      <x:c r="G181" s="30" t="str">
        <x:f>IF(COUNTIFS('Raw IC'!$A$5:$A$546,$B181,'Raw IC'!$B$5:$B$546,5)=0,"",SUMIFS('Raw IC'!$H$5:$H$546,'Raw IC'!$A$5:$A$546,$B181,'Raw IC'!$B$5:$B$546,5))</x:f>
      </x:c>
      <x:c r="H181" s="30" t="n">
        <x:f>IF(COUNTIFS('Raw IC'!$A$5:$A$546,$B181,'Raw IC'!$B$5:$B$546,10)=0,"",SUMIFS('Raw IC'!$F$5:$F$546,'Raw IC'!$A$5:$A$546,$B181,'Raw IC'!$B$5:$B$546,10))</x:f>
        <x:v>0.0028396447418830703</x:v>
      </x:c>
      <x:c r="I181" s="30" t="n">
        <x:f>IF(COUNTIFS('Raw IC'!$A$5:$A$546,$B181,'Raw IC'!$B$5:$B$546,10)=0,"",SUMIFS('Raw IC'!$H$5:$H$546,'Raw IC'!$A$5:$A$546,$B181,'Raw IC'!$B$5:$B$546,10))</x:f>
        <x:v>0.012398642085359695</x:v>
      </x:c>
      <x:c r="J181" s="30" t="n">
        <x:f>IF(COUNTIFS('Raw IC'!$A$5:$A$546,$B181,'Raw IC'!$B$5:$B$546,20)=0,"",SUMIFS('Raw IC'!$F$5:$F$546,'Raw IC'!$A$5:$A$546,$B181,'Raw IC'!$B$5:$B$546,20))</x:f>
        <x:v>0.007090759251939209</x:v>
      </x:c>
      <x:c r="K181" s="30" t="n">
        <x:f>IF(COUNTIFS('Raw IC'!$A$5:$A$546,$B181,'Raw IC'!$B$5:$B$546,20)=0,"",SUMIFS('Raw IC'!$H$5:$H$546,'Raw IC'!$A$5:$A$546,$B181,'Raw IC'!$B$5:$B$546,20))</x:f>
        <x:v>0.031080190469938648</x:v>
      </x:c>
      <x:c r="L181" s="30" t="n">
        <x:f>IF(COUNT(I181,K181)&lt;2,"",AVERAGE(ABS(I181),ABS(K181)))</x:f>
        <x:v>0.021739416277649172</x:v>
      </x:c>
      <x:c r="M181" t="str">
        <x:f>IF(COUNT(H181,J181)&lt;2,"",IF(H181*J181&gt;=0,IF(H181&gt;=0,"positive","negative"),"mixed"))</x:f>
        <x:v>positive</x:v>
      </x:c>
      <x:c r="N181" s="74" t="n">
        <x:v>46211.431942800926</x:v>
      </x:c>
      <x:c r="O181" s="19" t="n">
        <x:v>8902245</x:v>
      </x:c>
      <x:c r="P181" t="str">
        <x:v>8f7e606554926462248cbcc654181861438ca768a0063f6b317223ede37d16fb</x:v>
      </x:c>
      <x:c r="Q181" t="str">
        <x:v>factor_report/gtja191_batch/gtja_138</x:v>
      </x:c>
    </x:row>
    <x:row r="182">
      <x:c r="A182" s="50" t="n">
        <x:f>IF($C182="ranked",1+COUNTIFS($C$5:$C$190,"ranked",$L$5:$L$190,"&gt;"&amp;$L182),"")</x:f>
        <x:v>178</x:v>
      </x:c>
      <x:c r="B182" t="str">
        <x:v>gtja_172</x:v>
      </x:c>
      <x:c r="C182" t="str">
        <x:v>ranked</x:v>
      </x:c>
      <x:c r="D182" s="30" t="str">
        <x:f>IF(COUNTIFS('Raw IC'!$A$5:$A$546,$B182,'Raw IC'!$B$5:$B$546,1)=0,"",SUMIFS('Raw IC'!$F$5:$F$546,'Raw IC'!$A$5:$A$546,$B182,'Raw IC'!$B$5:$B$546,1))</x:f>
      </x:c>
      <x:c r="E182" s="30" t="str">
        <x:f>IF(COUNTIFS('Raw IC'!$A$5:$A$546,$B182,'Raw IC'!$B$5:$B$546,1)=0,"",SUMIFS('Raw IC'!$H$5:$H$546,'Raw IC'!$A$5:$A$546,$B182,'Raw IC'!$B$5:$B$546,1))</x:f>
      </x:c>
      <x:c r="F182" s="30" t="str">
        <x:f>IF(COUNTIFS('Raw IC'!$A$5:$A$546,$B182,'Raw IC'!$B$5:$B$546,5)=0,"",SUMIFS('Raw IC'!$F$5:$F$546,'Raw IC'!$A$5:$A$546,$B182,'Raw IC'!$B$5:$B$546,5))</x:f>
      </x:c>
      <x:c r="G182" s="30" t="str">
        <x:f>IF(COUNTIFS('Raw IC'!$A$5:$A$546,$B182,'Raw IC'!$B$5:$B$546,5)=0,"",SUMIFS('Raw IC'!$H$5:$H$546,'Raw IC'!$A$5:$A$546,$B182,'Raw IC'!$B$5:$B$546,5))</x:f>
      </x:c>
      <x:c r="H182" s="30" t="n">
        <x:f>IF(COUNTIFS('Raw IC'!$A$5:$A$546,$B182,'Raw IC'!$B$5:$B$546,10)=0,"",SUMIFS('Raw IC'!$F$5:$F$546,'Raw IC'!$A$5:$A$546,$B182,'Raw IC'!$B$5:$B$546,10))</x:f>
        <x:v>-0.0028721415964441267</x:v>
      </x:c>
      <x:c r="I182" s="30" t="n">
        <x:f>IF(COUNTIFS('Raw IC'!$A$5:$A$546,$B182,'Raw IC'!$B$5:$B$546,10)=0,"",SUMIFS('Raw IC'!$H$5:$H$546,'Raw IC'!$A$5:$A$546,$B182,'Raw IC'!$B$5:$B$546,10))</x:f>
        <x:v>-0.03560333818156516</x:v>
      </x:c>
      <x:c r="J182" s="30" t="n">
        <x:f>IF(COUNTIFS('Raw IC'!$A$5:$A$546,$B182,'Raw IC'!$B$5:$B$546,20)=0,"",SUMIFS('Raw IC'!$F$5:$F$546,'Raw IC'!$A$5:$A$546,$B182,'Raw IC'!$B$5:$B$546,20))</x:f>
        <x:v>-0.00048523091950950875</x:v>
      </x:c>
      <x:c r="K182" s="30" t="n">
        <x:f>IF(COUNTIFS('Raw IC'!$A$5:$A$546,$B182,'Raw IC'!$B$5:$B$546,20)=0,"",SUMIFS('Raw IC'!$H$5:$H$546,'Raw IC'!$A$5:$A$546,$B182,'Raw IC'!$B$5:$B$546,20))</x:f>
        <x:v>-0.005797573897166785</x:v>
      </x:c>
      <x:c r="L182" s="30" t="n">
        <x:f>IF(COUNT(I182,K182)&lt;2,"",AVERAGE(ABS(I182),ABS(K182)))</x:f>
        <x:v>0.02070045603936597</x:v>
      </x:c>
      <x:c r="M182" t="str">
        <x:f>IF(COUNT(H182,J182)&lt;2,"",IF(H182*J182&gt;=0,IF(H182&gt;=0,"positive","negative"),"mixed"))</x:f>
        <x:v>negative</x:v>
      </x:c>
      <x:c r="N182" s="74" t="n">
        <x:v>46211.5309509838</x:v>
      </x:c>
      <x:c r="O182" s="19" t="n">
        <x:v>8902245</x:v>
      </x:c>
      <x:c r="P182" t="str">
        <x:v>8f7e606554926462248cbcc654181861438ca768a0063f6b317223ede37d16fb</x:v>
      </x:c>
      <x:c r="Q182" t="str">
        <x:v>factor_report/gtja191_batch/gtja_172</x:v>
      </x:c>
    </x:row>
    <x:row r="183">
      <x:c r="A183" s="50" t="n">
        <x:f>IF($C183="ranked",1+COUNTIFS($C$5:$C$190,"ranked",$L$5:$L$190,"&gt;"&amp;$L183),"")</x:f>
        <x:v>179</x:v>
      </x:c>
      <x:c r="B183" t="str">
        <x:v>gtja_186</x:v>
      </x:c>
      <x:c r="C183" t="str">
        <x:v>ranked</x:v>
      </x:c>
      <x:c r="D183" s="30" t="str">
        <x:f>IF(COUNTIFS('Raw IC'!$A$5:$A$546,$B183,'Raw IC'!$B$5:$B$546,1)=0,"",SUMIFS('Raw IC'!$F$5:$F$546,'Raw IC'!$A$5:$A$546,$B183,'Raw IC'!$B$5:$B$546,1))</x:f>
      </x:c>
      <x:c r="E183" s="30" t="str">
        <x:f>IF(COUNTIFS('Raw IC'!$A$5:$A$546,$B183,'Raw IC'!$B$5:$B$546,1)=0,"",SUMIFS('Raw IC'!$H$5:$H$546,'Raw IC'!$A$5:$A$546,$B183,'Raw IC'!$B$5:$B$546,1))</x:f>
      </x:c>
      <x:c r="F183" s="30" t="str">
        <x:f>IF(COUNTIFS('Raw IC'!$A$5:$A$546,$B183,'Raw IC'!$B$5:$B$546,5)=0,"",SUMIFS('Raw IC'!$F$5:$F$546,'Raw IC'!$A$5:$A$546,$B183,'Raw IC'!$B$5:$B$546,5))</x:f>
      </x:c>
      <x:c r="G183" s="30" t="str">
        <x:f>IF(COUNTIFS('Raw IC'!$A$5:$A$546,$B183,'Raw IC'!$B$5:$B$546,5)=0,"",SUMIFS('Raw IC'!$H$5:$H$546,'Raw IC'!$A$5:$A$546,$B183,'Raw IC'!$B$5:$B$546,5))</x:f>
      </x:c>
      <x:c r="H183" s="30" t="n">
        <x:f>IF(COUNTIFS('Raw IC'!$A$5:$A$546,$B183,'Raw IC'!$B$5:$B$546,10)=0,"",SUMIFS('Raw IC'!$F$5:$F$546,'Raw IC'!$A$5:$A$546,$B183,'Raw IC'!$B$5:$B$546,10))</x:f>
        <x:v>-0.0023580811704866154</x:v>
      </x:c>
      <x:c r="I183" s="30" t="n">
        <x:f>IF(COUNTIFS('Raw IC'!$A$5:$A$546,$B183,'Raw IC'!$B$5:$B$546,10)=0,"",SUMIFS('Raw IC'!$H$5:$H$546,'Raw IC'!$A$5:$A$546,$B183,'Raw IC'!$B$5:$B$546,10))</x:f>
        <x:v>-0.02909902630517249</x:v>
      </x:c>
      <x:c r="J183" s="30" t="n">
        <x:f>IF(COUNTIFS('Raw IC'!$A$5:$A$546,$B183,'Raw IC'!$B$5:$B$546,20)=0,"",SUMIFS('Raw IC'!$F$5:$F$546,'Raw IC'!$A$5:$A$546,$B183,'Raw IC'!$B$5:$B$546,20))</x:f>
        <x:v>-0.0002276851864431226</x:v>
      </x:c>
      <x:c r="K183" s="30" t="n">
        <x:f>IF(COUNTIFS('Raw IC'!$A$5:$A$546,$B183,'Raw IC'!$B$5:$B$546,20)=0,"",SUMIFS('Raw IC'!$H$5:$H$546,'Raw IC'!$A$5:$A$546,$B183,'Raw IC'!$B$5:$B$546,20))</x:f>
        <x:v>-0.0027539061545303464</x:v>
      </x:c>
      <x:c r="L183" s="30" t="n">
        <x:f>IF(COUNT(I183,K183)&lt;2,"",AVERAGE(ABS(I183),ABS(K183)))</x:f>
        <x:v>0.01592646622985142</x:v>
      </x:c>
      <x:c r="M183" t="str">
        <x:f>IF(COUNT(H183,J183)&lt;2,"",IF(H183*J183&gt;=0,IF(H183&gt;=0,"positive","negative"),"mixed"))</x:f>
        <x:v>negative</x:v>
      </x:c>
      <x:c r="N183" s="74" t="n">
        <x:v>46211.5485016088</x:v>
      </x:c>
      <x:c r="O183" s="19" t="n">
        <x:v>8902245</x:v>
      </x:c>
      <x:c r="P183" t="str">
        <x:v>8f7e606554926462248cbcc654181861438ca768a0063f6b317223ede37d16fb</x:v>
      </x:c>
      <x:c r="Q183" t="str">
        <x:v>factor_report/gtja191_batch/gtja_186</x:v>
      </x:c>
    </x:row>
    <x:row r="184">
      <x:c r="A184" s="50" t="n">
        <x:f>IF($C184="ranked",1+COUNTIFS($C$5:$C$190,"ranked",$L$5:$L$190,"&gt;"&amp;$L184),"")</x:f>
        <x:v>180</x:v>
      </x:c>
      <x:c r="B184" t="str">
        <x:v>gtja_171</x:v>
      </x:c>
      <x:c r="C184" t="str">
        <x:v>ranked</x:v>
      </x:c>
      <x:c r="D184" s="30" t="str">
        <x:f>IF(COUNTIFS('Raw IC'!$A$5:$A$546,$B184,'Raw IC'!$B$5:$B$546,1)=0,"",SUMIFS('Raw IC'!$F$5:$F$546,'Raw IC'!$A$5:$A$546,$B184,'Raw IC'!$B$5:$B$546,1))</x:f>
      </x:c>
      <x:c r="E184" s="30" t="str">
        <x:f>IF(COUNTIFS('Raw IC'!$A$5:$A$546,$B184,'Raw IC'!$B$5:$B$546,1)=0,"",SUMIFS('Raw IC'!$H$5:$H$546,'Raw IC'!$A$5:$A$546,$B184,'Raw IC'!$B$5:$B$546,1))</x:f>
      </x:c>
      <x:c r="F184" s="30" t="str">
        <x:f>IF(COUNTIFS('Raw IC'!$A$5:$A$546,$B184,'Raw IC'!$B$5:$B$546,5)=0,"",SUMIFS('Raw IC'!$F$5:$F$546,'Raw IC'!$A$5:$A$546,$B184,'Raw IC'!$B$5:$B$546,5))</x:f>
      </x:c>
      <x:c r="G184" s="30" t="str">
        <x:f>IF(COUNTIFS('Raw IC'!$A$5:$A$546,$B184,'Raw IC'!$B$5:$B$546,5)=0,"",SUMIFS('Raw IC'!$H$5:$H$546,'Raw IC'!$A$5:$A$546,$B184,'Raw IC'!$B$5:$B$546,5))</x:f>
      </x:c>
      <x:c r="H184" s="30" t="n">
        <x:f>IF(COUNTIFS('Raw IC'!$A$5:$A$546,$B184,'Raw IC'!$B$5:$B$546,10)=0,"",SUMIFS('Raw IC'!$F$5:$F$546,'Raw IC'!$A$5:$A$546,$B184,'Raw IC'!$B$5:$B$546,10))</x:f>
        <x:v>-0.0015023745819483184</x:v>
      </x:c>
      <x:c r="I184" s="30" t="n">
        <x:f>IF(COUNTIFS('Raw IC'!$A$5:$A$546,$B184,'Raw IC'!$B$5:$B$546,10)=0,"",SUMIFS('Raw IC'!$H$5:$H$546,'Raw IC'!$A$5:$A$546,$B184,'Raw IC'!$B$5:$B$546,10))</x:f>
        <x:v>-0.01533883585396955</x:v>
      </x:c>
      <x:c r="J184" s="30" t="n">
        <x:f>IF(COUNTIFS('Raw IC'!$A$5:$A$546,$B184,'Raw IC'!$B$5:$B$546,20)=0,"",SUMIFS('Raw IC'!$F$5:$F$546,'Raw IC'!$A$5:$A$546,$B184,'Raw IC'!$B$5:$B$546,20))</x:f>
        <x:v>-0.0014913989789205086</x:v>
      </x:c>
      <x:c r="K184" s="30" t="n">
        <x:f>IF(COUNTIFS('Raw IC'!$A$5:$A$546,$B184,'Raw IC'!$B$5:$B$546,20)=0,"",SUMIFS('Raw IC'!$H$5:$H$546,'Raw IC'!$A$5:$A$546,$B184,'Raw IC'!$B$5:$B$546,20))</x:f>
        <x:v>-0.015911701697580855</x:v>
      </x:c>
      <x:c r="L184" s="30" t="n">
        <x:f>IF(COUNT(I184,K184)&lt;2,"",AVERAGE(ABS(I184),ABS(K184)))</x:f>
        <x:v>0.015625268775775202</x:v>
      </x:c>
      <x:c r="M184" t="str">
        <x:f>IF(COUNT(H184,J184)&lt;2,"",IF(H184*J184&gt;=0,IF(H184&gt;=0,"positive","negative"),"mixed"))</x:f>
        <x:v>negative</x:v>
      </x:c>
      <x:c r="N184" s="74" t="n">
        <x:v>46211.52808474537</x:v>
      </x:c>
      <x:c r="O184" s="19" t="n">
        <x:v>8902245</x:v>
      </x:c>
      <x:c r="P184" t="str">
        <x:v>8f7e606554926462248cbcc654181861438ca768a0063f6b317223ede37d16fb</x:v>
      </x:c>
      <x:c r="Q184" t="str">
        <x:v>factor_report/gtja191_batch/gtja_171</x:v>
      </x:c>
    </x:row>
    <x:row r="185">
      <x:c r="A185" s="50" t="n">
        <x:f>IF($C185="ranked",1+COUNTIFS($C$5:$C$190,"ranked",$L$5:$L$190,"&gt;"&amp;$L185),"")</x:f>
        <x:v>181</x:v>
      </x:c>
      <x:c r="B185" t="str">
        <x:v>gtja_142</x:v>
      </x:c>
      <x:c r="C185" t="str">
        <x:v>ranked</x:v>
      </x:c>
      <x:c r="D185" s="30" t="str">
        <x:f>IF(COUNTIFS('Raw IC'!$A$5:$A$546,$B185,'Raw IC'!$B$5:$B$546,1)=0,"",SUMIFS('Raw IC'!$F$5:$F$546,'Raw IC'!$A$5:$A$546,$B185,'Raw IC'!$B$5:$B$546,1))</x:f>
      </x:c>
      <x:c r="E185" s="30" t="str">
        <x:f>IF(COUNTIFS('Raw IC'!$A$5:$A$546,$B185,'Raw IC'!$B$5:$B$546,1)=0,"",SUMIFS('Raw IC'!$H$5:$H$546,'Raw IC'!$A$5:$A$546,$B185,'Raw IC'!$B$5:$B$546,1))</x:f>
      </x:c>
      <x:c r="F185" s="30" t="str">
        <x:f>IF(COUNTIFS('Raw IC'!$A$5:$A$546,$B185,'Raw IC'!$B$5:$B$546,5)=0,"",SUMIFS('Raw IC'!$F$5:$F$546,'Raw IC'!$A$5:$A$546,$B185,'Raw IC'!$B$5:$B$546,5))</x:f>
      </x:c>
      <x:c r="G185" s="30" t="str">
        <x:f>IF(COUNTIFS('Raw IC'!$A$5:$A$546,$B185,'Raw IC'!$B$5:$B$546,5)=0,"",SUMIFS('Raw IC'!$H$5:$H$546,'Raw IC'!$A$5:$A$546,$B185,'Raw IC'!$B$5:$B$546,5))</x:f>
      </x:c>
      <x:c r="H185" s="30" t="n">
        <x:f>IF(COUNTIFS('Raw IC'!$A$5:$A$546,$B185,'Raw IC'!$B$5:$B$546,10)=0,"",SUMIFS('Raw IC'!$F$5:$F$546,'Raw IC'!$A$5:$A$546,$B185,'Raw IC'!$B$5:$B$546,10))</x:f>
        <x:v>-0.0007659892413414567</x:v>
      </x:c>
      <x:c r="I185" s="30" t="n">
        <x:f>IF(COUNTIFS('Raw IC'!$A$5:$A$546,$B185,'Raw IC'!$B$5:$B$546,10)=0,"",SUMIFS('Raw IC'!$H$5:$H$546,'Raw IC'!$A$5:$A$546,$B185,'Raw IC'!$B$5:$B$546,10))</x:f>
        <x:v>-0.007496053306206566</x:v>
      </x:c>
      <x:c r="J185" s="30" t="n">
        <x:f>IF(COUNTIFS('Raw IC'!$A$5:$A$546,$B185,'Raw IC'!$B$5:$B$546,20)=0,"",SUMIFS('Raw IC'!$F$5:$F$546,'Raw IC'!$A$5:$A$546,$B185,'Raw IC'!$B$5:$B$546,20))</x:f>
        <x:v>-0.002240955096747608</x:v>
      </x:c>
      <x:c r="K185" s="30" t="n">
        <x:f>IF(COUNTIFS('Raw IC'!$A$5:$A$546,$B185,'Raw IC'!$B$5:$B$546,20)=0,"",SUMIFS('Raw IC'!$H$5:$H$546,'Raw IC'!$A$5:$A$546,$B185,'Raw IC'!$B$5:$B$546,20))</x:f>
        <x:v>-0.022897707420182704</x:v>
      </x:c>
      <x:c r="L185" s="30" t="n">
        <x:f>IF(COUNT(I185,K185)&lt;2,"",AVERAGE(ABS(I185),ABS(K185)))</x:f>
        <x:v>0.015196880363194635</x:v>
      </x:c>
      <x:c r="M185" t="str">
        <x:f>IF(COUNT(H185,J185)&lt;2,"",IF(H185*J185&gt;=0,IF(H185&gt;=0,"positive","negative"),"mixed"))</x:f>
        <x:v>negative</x:v>
      </x:c>
      <x:c r="N185" s="74" t="n">
        <x:v>46211.45015293981</x:v>
      </x:c>
      <x:c r="O185" s="19" t="n">
        <x:v>8902245</x:v>
      </x:c>
      <x:c r="P185" t="str">
        <x:v>8f7e606554926462248cbcc654181861438ca768a0063f6b317223ede37d16fb</x:v>
      </x:c>
      <x:c r="Q185" t="str">
        <x:v>factor_report/gtja191_batch/gtja_142</x:v>
      </x:c>
    </x:row>
    <x:row r="186">
      <x:c r="A186" s="50" t="n">
        <x:f>IF($C186="ranked",1+COUNTIFS($C$5:$C$190,"ranked",$L$5:$L$190,"&gt;"&amp;$L186),"")</x:f>
        <x:v>182</x:v>
      </x:c>
      <x:c r="B186" t="str">
        <x:v>gtja_004</x:v>
      </x:c>
      <x:c r="C186" t="str">
        <x:v>ranked</x:v>
      </x:c>
      <x:c r="D186" s="30" t="str">
        <x:f>IF(COUNTIFS('Raw IC'!$A$5:$A$546,$B186,'Raw IC'!$B$5:$B$546,1)=0,"",SUMIFS('Raw IC'!$F$5:$F$546,'Raw IC'!$A$5:$A$546,$B186,'Raw IC'!$B$5:$B$546,1))</x:f>
      </x:c>
      <x:c r="E186" s="30" t="str">
        <x:f>IF(COUNTIFS('Raw IC'!$A$5:$A$546,$B186,'Raw IC'!$B$5:$B$546,1)=0,"",SUMIFS('Raw IC'!$H$5:$H$546,'Raw IC'!$A$5:$A$546,$B186,'Raw IC'!$B$5:$B$546,1))</x:f>
      </x:c>
      <x:c r="F186" s="30" t="str">
        <x:f>IF(COUNTIFS('Raw IC'!$A$5:$A$546,$B186,'Raw IC'!$B$5:$B$546,5)=0,"",SUMIFS('Raw IC'!$F$5:$F$546,'Raw IC'!$A$5:$A$546,$B186,'Raw IC'!$B$5:$B$546,5))</x:f>
      </x:c>
      <x:c r="G186" s="30" t="str">
        <x:f>IF(COUNTIFS('Raw IC'!$A$5:$A$546,$B186,'Raw IC'!$B$5:$B$546,5)=0,"",SUMIFS('Raw IC'!$H$5:$H$546,'Raw IC'!$A$5:$A$546,$B186,'Raw IC'!$B$5:$B$546,5))</x:f>
      </x:c>
      <x:c r="H186" s="30" t="n">
        <x:f>IF(COUNTIFS('Raw IC'!$A$5:$A$546,$B186,'Raw IC'!$B$5:$B$546,10)=0,"",SUMIFS('Raw IC'!$F$5:$F$546,'Raw IC'!$A$5:$A$546,$B186,'Raw IC'!$B$5:$B$546,10))</x:f>
        <x:v>0.00039597296901405636</x:v>
      </x:c>
      <x:c r="I186" s="30" t="n">
        <x:f>IF(COUNTIFS('Raw IC'!$A$5:$A$546,$B186,'Raw IC'!$B$5:$B$546,10)=0,"",SUMIFS('Raw IC'!$H$5:$H$546,'Raw IC'!$A$5:$A$546,$B186,'Raw IC'!$B$5:$B$546,10))</x:f>
        <x:v>0.005885211911838413</x:v>
      </x:c>
      <x:c r="J186" s="30" t="n">
        <x:f>IF(COUNTIFS('Raw IC'!$A$5:$A$546,$B186,'Raw IC'!$B$5:$B$546,20)=0,"",SUMIFS('Raw IC'!$F$5:$F$546,'Raw IC'!$A$5:$A$546,$B186,'Raw IC'!$B$5:$B$546,20))</x:f>
        <x:v>0.0006447894973695364</x:v>
      </x:c>
      <x:c r="K186" s="30" t="n">
        <x:f>IF(COUNTIFS('Raw IC'!$A$5:$A$546,$B186,'Raw IC'!$B$5:$B$546,20)=0,"",SUMIFS('Raw IC'!$H$5:$H$546,'Raw IC'!$A$5:$A$546,$B186,'Raw IC'!$B$5:$B$546,20))</x:f>
        <x:v>0.009717522324647652</x:v>
      </x:c>
      <x:c r="L186" s="30" t="n">
        <x:f>IF(COUNT(I186,K186)&lt;2,"",AVERAGE(ABS(I186),ABS(K186)))</x:f>
        <x:v>0.007801367118243033</x:v>
      </x:c>
      <x:c r="M186" t="str">
        <x:f>IF(COUNT(H186,J186)&lt;2,"",IF(H186*J186&gt;=0,IF(H186&gt;=0,"positive","negative"),"mixed"))</x:f>
        <x:v>positive</x:v>
      </x:c>
      <x:c r="N186" s="74" t="n">
        <x:v>46211.15884189815</x:v>
      </x:c>
      <x:c r="O186" s="19" t="n">
        <x:v>8902245</x:v>
      </x:c>
      <x:c r="P186" t="str">
        <x:v>8f7e606554926462248cbcc654181861438ca768a0063f6b317223ede37d16fb</x:v>
      </x:c>
      <x:c r="Q186" t="str">
        <x:v>factor_report/gtja191_batch/gtja_004</x:v>
      </x:c>
    </x:row>
    <x:row r="187">
      <x:c r="A187" s="53" t="str">
        <x:f>IF($C187="ranked",1+COUNTIFS($C$5:$C$190,"ranked",$L$5:$L$190,"&gt;"&amp;$L187),"")</x:f>
      </x:c>
      <x:c r="B187" s="54" t="str">
        <x:v>gtja_005</x:v>
      </x:c>
      <x:c r="C187" s="54" t="str">
        <x:v>not comparable</x:v>
      </x:c>
      <x:c r="D187" s="55" t="n">
        <x:f>IF(COUNTIFS('Raw IC'!$A$5:$A$546,$B187,'Raw IC'!$B$5:$B$546,1)=0,"",SUMIFS('Raw IC'!$F$5:$F$546,'Raw IC'!$A$5:$A$546,$B187,'Raw IC'!$B$5:$B$546,1))</x:f>
        <x:v>0.025079713667741598</x:v>
      </x:c>
      <x:c r="E187" s="55" t="n">
        <x:f>IF(COUNTIFS('Raw IC'!$A$5:$A$546,$B187,'Raw IC'!$B$5:$B$546,1)=0,"",SUMIFS('Raw IC'!$H$5:$H$546,'Raw IC'!$A$5:$A$546,$B187,'Raw IC'!$B$5:$B$546,1))</x:f>
        <x:v>0.34927076329987455</x:v>
      </x:c>
      <x:c r="F187" s="55" t="n">
        <x:f>IF(COUNTIFS('Raw IC'!$A$5:$A$546,$B187,'Raw IC'!$B$5:$B$546,5)=0,"",SUMIFS('Raw IC'!$F$5:$F$546,'Raw IC'!$A$5:$A$546,$B187,'Raw IC'!$B$5:$B$546,5))</x:f>
        <x:v>0.034656028635606344</x:v>
      </x:c>
      <x:c r="G187" s="55" t="n">
        <x:f>IF(COUNTIFS('Raw IC'!$A$5:$A$546,$B187,'Raw IC'!$B$5:$B$546,5)=0,"",SUMIFS('Raw IC'!$H$5:$H$546,'Raw IC'!$A$5:$A$546,$B187,'Raw IC'!$B$5:$B$546,5))</x:f>
        <x:v>0.49783346568670783</x:v>
      </x:c>
      <x:c r="H187" s="55" t="n">
        <x:f>IF(COUNTIFS('Raw IC'!$A$5:$A$546,$B187,'Raw IC'!$B$5:$B$546,10)=0,"",SUMIFS('Raw IC'!$F$5:$F$546,'Raw IC'!$A$5:$A$546,$B187,'Raw IC'!$B$5:$B$546,10))</x:f>
        <x:v>0.03902523523078319</x:v>
      </x:c>
      <x:c r="I187" s="55" t="n">
        <x:f>IF(COUNTIFS('Raw IC'!$A$5:$A$546,$B187,'Raw IC'!$B$5:$B$546,10)=0,"",SUMIFS('Raw IC'!$H$5:$H$546,'Raw IC'!$A$5:$A$546,$B187,'Raw IC'!$B$5:$B$546,10))</x:f>
        <x:v>0.5649229002786421</x:v>
      </x:c>
      <x:c r="J187" s="55" t="n">
        <x:f>IF(COUNTIFS('Raw IC'!$A$5:$A$546,$B187,'Raw IC'!$B$5:$B$546,20)=0,"",SUMIFS('Raw IC'!$F$5:$F$546,'Raw IC'!$A$5:$A$546,$B187,'Raw IC'!$B$5:$B$546,20))</x:f>
        <x:v>0.044977246040452376</x:v>
      </x:c>
      <x:c r="K187" s="55" t="n">
        <x:f>IF(COUNTIFS('Raw IC'!$A$5:$A$546,$B187,'Raw IC'!$B$5:$B$546,20)=0,"",SUMIFS('Raw IC'!$H$5:$H$546,'Raw IC'!$A$5:$A$546,$B187,'Raw IC'!$B$5:$B$546,20))</x:f>
        <x:v>0.648229232294517</x:v>
      </x:c>
      <x:c r="L187" s="55" t="n">
        <x:f>IF(COUNT(I187,K187)&lt;2,"",AVERAGE(ABS(I187),ABS(K187)))</x:f>
        <x:v>0.6065760662865796</x:v>
      </x:c>
      <x:c r="M187" s="54" t="str">
        <x:f>IF(COUNT(H187,J187)&lt;2,"",IF(H187*J187&gt;=0,IF(H187&gt;=0,"positive","negative"),"mixed"))</x:f>
        <x:v>positive</x:v>
      </x:c>
      <x:c r="N187" s="75" t="n">
        <x:v>46230.276212083336</x:v>
      </x:c>
      <x:c r="O187" s="56" t="n">
        <x:v>13231952</x:v>
      </x:c>
      <x:c r="P187" s="54" t="str">
        <x:v>c89ec58a501c3ee9d35b4d16a82c2c097120d5210dcc66310d77aa437a3c789b</x:v>
      </x:c>
      <x:c r="Q187" s="54" t="str">
        <x:v>factor_report/gtja191_batch/gtja_005</x:v>
      </x:c>
    </x:row>
    <x:row r="188">
      <x:c r="A188" s="53" t="str">
        <x:f>IF($C188="ranked",1+COUNTIFS($C$5:$C$190,"ranked",$L$5:$L$190,"&gt;"&amp;$L188),"")</x:f>
      </x:c>
      <x:c r="B188" s="54" t="str">
        <x:v>gtja_007</x:v>
      </x:c>
      <x:c r="C188" s="54" t="str">
        <x:v>not comparable</x:v>
      </x:c>
      <x:c r="D188" s="55" t="n">
        <x:f>IF(COUNTIFS('Raw IC'!$A$5:$A$546,$B188,'Raw IC'!$B$5:$B$546,1)=0,"",SUMIFS('Raw IC'!$F$5:$F$546,'Raw IC'!$A$5:$A$546,$B188,'Raw IC'!$B$5:$B$546,1))</x:f>
        <x:v>0.015733085135450964</x:v>
      </x:c>
      <x:c r="E188" s="55" t="n">
        <x:f>IF(COUNTIFS('Raw IC'!$A$5:$A$546,$B188,'Raw IC'!$B$5:$B$546,1)=0,"",SUMIFS('Raw IC'!$H$5:$H$546,'Raw IC'!$A$5:$A$546,$B188,'Raw IC'!$B$5:$B$546,1))</x:f>
        <x:v>0.2061023473072656</x:v>
      </x:c>
      <x:c r="F188" s="55" t="n">
        <x:f>IF(COUNTIFS('Raw IC'!$A$5:$A$546,$B188,'Raw IC'!$B$5:$B$546,5)=0,"",SUMIFS('Raw IC'!$F$5:$F$546,'Raw IC'!$A$5:$A$546,$B188,'Raw IC'!$B$5:$B$546,5))</x:f>
        <x:v>0.018668235177516715</x:v>
      </x:c>
      <x:c r="G188" s="55" t="n">
        <x:f>IF(COUNTIFS('Raw IC'!$A$5:$A$546,$B188,'Raw IC'!$B$5:$B$546,5)=0,"",SUMIFS('Raw IC'!$H$5:$H$546,'Raw IC'!$A$5:$A$546,$B188,'Raw IC'!$B$5:$B$546,5))</x:f>
        <x:v>0.23721499865946888</x:v>
      </x:c>
      <x:c r="H188" s="55" t="n">
        <x:f>IF(COUNTIFS('Raw IC'!$A$5:$A$546,$B188,'Raw IC'!$B$5:$B$546,10)=0,"",SUMIFS('Raw IC'!$F$5:$F$546,'Raw IC'!$A$5:$A$546,$B188,'Raw IC'!$B$5:$B$546,10))</x:f>
        <x:v>0.02179431632463765</x:v>
      </x:c>
      <x:c r="I188" s="55" t="n">
        <x:f>IF(COUNTIFS('Raw IC'!$A$5:$A$546,$B188,'Raw IC'!$B$5:$B$546,10)=0,"",SUMIFS('Raw IC'!$H$5:$H$546,'Raw IC'!$A$5:$A$546,$B188,'Raw IC'!$B$5:$B$546,10))</x:f>
        <x:v>0.2708041847493772</x:v>
      </x:c>
      <x:c r="J188" s="55" t="n">
        <x:f>IF(COUNTIFS('Raw IC'!$A$5:$A$546,$B188,'Raw IC'!$B$5:$B$546,20)=0,"",SUMIFS('Raw IC'!$F$5:$F$546,'Raw IC'!$A$5:$A$546,$B188,'Raw IC'!$B$5:$B$546,20))</x:f>
        <x:v>0.02673646735981392</x:v>
      </x:c>
      <x:c r="K188" s="55" t="n">
        <x:f>IF(COUNTIFS('Raw IC'!$A$5:$A$546,$B188,'Raw IC'!$B$5:$B$546,20)=0,"",SUMIFS('Raw IC'!$H$5:$H$546,'Raw IC'!$A$5:$A$546,$B188,'Raw IC'!$B$5:$B$546,20))</x:f>
        <x:v>0.325111108690224</x:v>
      </x:c>
      <x:c r="L188" s="55" t="n">
        <x:f>IF(COUNT(I188,K188)&lt;2,"",AVERAGE(ABS(I188),ABS(K188)))</x:f>
        <x:v>0.29795764671980063</x:v>
      </x:c>
      <x:c r="M188" s="54" t="str">
        <x:f>IF(COUNT(H188,J188)&lt;2,"",IF(H188*J188&gt;=0,IF(H188&gt;=0,"positive","negative"),"mixed"))</x:f>
        <x:v>positive</x:v>
      </x:c>
      <x:c r="N188" s="75" t="n">
        <x:v>46230.29278930555</x:v>
      </x:c>
      <x:c r="O188" s="56" t="n">
        <x:v>13231952</x:v>
      </x:c>
      <x:c r="P188" s="54" t="str">
        <x:v>c89ec58a501c3ee9d35b4d16a82c2c097120d5210dcc66310d77aa437a3c789b</x:v>
      </x:c>
      <x:c r="Q188" s="54" t="str">
        <x:v>factor_report/gtja191_batch/gtja_007</x:v>
      </x:c>
    </x:row>
    <x:row r="189">
      <x:c r="A189" s="53" t="str">
        <x:f>IF($C189="ranked",1+COUNTIFS($C$5:$C$190,"ranked",$L$5:$L$190,"&gt;"&amp;$L189),"")</x:f>
      </x:c>
      <x:c r="B189" s="54" t="str">
        <x:v>gtja_012</x:v>
      </x:c>
      <x:c r="C189" s="54" t="str">
        <x:v>not comparable</x:v>
      </x:c>
      <x:c r="D189" s="55" t="n">
        <x:f>IF(COUNTIFS('Raw IC'!$A$5:$A$546,$B189,'Raw IC'!$B$5:$B$546,1)=0,"",SUMIFS('Raw IC'!$F$5:$F$546,'Raw IC'!$A$5:$A$546,$B189,'Raw IC'!$B$5:$B$546,1))</x:f>
        <x:v>0.028202410278958145</x:v>
      </x:c>
      <x:c r="E189" s="55" t="n">
        <x:f>IF(COUNTIFS('Raw IC'!$A$5:$A$546,$B189,'Raw IC'!$B$5:$B$546,1)=0,"",SUMIFS('Raw IC'!$H$5:$H$546,'Raw IC'!$A$5:$A$546,$B189,'Raw IC'!$B$5:$B$546,1))</x:f>
        <x:v>0.25015088158353144</x:v>
      </x:c>
      <x:c r="F189" s="55" t="n">
        <x:f>IF(COUNTIFS('Raw IC'!$A$5:$A$546,$B189,'Raw IC'!$B$5:$B$546,5)=0,"",SUMIFS('Raw IC'!$F$5:$F$546,'Raw IC'!$A$5:$A$546,$B189,'Raw IC'!$B$5:$B$546,5))</x:f>
        <x:v>0.030794620141745433</x:v>
      </x:c>
      <x:c r="G189" s="55" t="n">
        <x:f>IF(COUNTIFS('Raw IC'!$A$5:$A$546,$B189,'Raw IC'!$B$5:$B$546,5)=0,"",SUMIFS('Raw IC'!$H$5:$H$546,'Raw IC'!$A$5:$A$546,$B189,'Raw IC'!$B$5:$B$546,5))</x:f>
        <x:v>0.28894799746965516</x:v>
      </x:c>
      <x:c r="H189" s="55" t="n">
        <x:f>IF(COUNTIFS('Raw IC'!$A$5:$A$546,$B189,'Raw IC'!$B$5:$B$546,10)=0,"",SUMIFS('Raw IC'!$F$5:$F$546,'Raw IC'!$A$5:$A$546,$B189,'Raw IC'!$B$5:$B$546,10))</x:f>
        <x:v>0.031925398033713505</x:v>
      </x:c>
      <x:c r="I189" s="55" t="n">
        <x:f>IF(COUNTIFS('Raw IC'!$A$5:$A$546,$B189,'Raw IC'!$B$5:$B$546,10)=0,"",SUMIFS('Raw IC'!$H$5:$H$546,'Raw IC'!$A$5:$A$546,$B189,'Raw IC'!$B$5:$B$546,10))</x:f>
        <x:v>0.3029128688074499</x:v>
      </x:c>
      <x:c r="J189" s="55" t="n">
        <x:f>IF(COUNTIFS('Raw IC'!$A$5:$A$546,$B189,'Raw IC'!$B$5:$B$546,20)=0,"",SUMIFS('Raw IC'!$F$5:$F$546,'Raw IC'!$A$5:$A$546,$B189,'Raw IC'!$B$5:$B$546,20))</x:f>
        <x:v>0.03989492696853495</x:v>
      </x:c>
      <x:c r="K189" s="55" t="n">
        <x:f>IF(COUNTIFS('Raw IC'!$A$5:$A$546,$B189,'Raw IC'!$B$5:$B$546,20)=0,"",SUMIFS('Raw IC'!$H$5:$H$546,'Raw IC'!$A$5:$A$546,$B189,'Raw IC'!$B$5:$B$546,20))</x:f>
        <x:v>0.37312196649550633</x:v>
      </x:c>
      <x:c r="L189" s="55" t="n">
        <x:f>IF(COUNT(I189,K189)&lt;2,"",AVERAGE(ABS(I189),ABS(K189)))</x:f>
        <x:v>0.3380174176514781</x:v>
      </x:c>
      <x:c r="M189" s="54" t="str">
        <x:f>IF(COUNT(H189,J189)&lt;2,"",IF(H189*J189&gt;=0,IF(H189&gt;=0,"positive","negative"),"mixed"))</x:f>
        <x:v>positive</x:v>
      </x:c>
      <x:c r="N189" s="75" t="n">
        <x:v>46230.30990840278</x:v>
      </x:c>
      <x:c r="O189" s="56" t="n">
        <x:v>13231952</x:v>
      </x:c>
      <x:c r="P189" s="54" t="str">
        <x:v>c89ec58a501c3ee9d35b4d16a82c2c097120d5210dcc66310d77aa437a3c789b</x:v>
      </x:c>
      <x:c r="Q189" s="54" t="str">
        <x:v>factor_report/gtja191_batch/gtja_012</x:v>
      </x:c>
    </x:row>
    <x:row r="190">
      <x:c r="A190" s="53" t="str">
        <x:f>IF($C190="ranked",1+COUNTIFS($C$5:$C$190,"ranked",$L$5:$L$190,"&gt;"&amp;$L190),"")</x:f>
      </x:c>
      <x:c r="B190" s="54" t="str">
        <x:v>gtja_015</x:v>
      </x:c>
      <x:c r="C190" s="54" t="str">
        <x:v>not comparable</x:v>
      </x:c>
      <x:c r="D190" s="55" t="n">
        <x:f>IF(COUNTIFS('Raw IC'!$A$5:$A$546,$B190,'Raw IC'!$B$5:$B$546,1)=0,"",SUMIFS('Raw IC'!$F$5:$F$546,'Raw IC'!$A$5:$A$546,$B190,'Raw IC'!$B$5:$B$546,1))</x:f>
        <x:v>0.010154917297053636</x:v>
      </x:c>
      <x:c r="E190" s="55" t="n">
        <x:f>IF(COUNTIFS('Raw IC'!$A$5:$A$546,$B190,'Raw IC'!$B$5:$B$546,1)=0,"",SUMIFS('Raw IC'!$H$5:$H$546,'Raw IC'!$A$5:$A$546,$B190,'Raw IC'!$B$5:$B$546,1))</x:f>
        <x:v>0.1416264405540064</x:v>
      </x:c>
      <x:c r="F190" s="55" t="n">
        <x:f>IF(COUNTIFS('Raw IC'!$A$5:$A$546,$B190,'Raw IC'!$B$5:$B$546,5)=0,"",SUMIFS('Raw IC'!$F$5:$F$546,'Raw IC'!$A$5:$A$546,$B190,'Raw IC'!$B$5:$B$546,5))</x:f>
        <x:v>0.013217935937819593</x:v>
      </x:c>
      <x:c r="G190" s="55" t="n">
        <x:f>IF(COUNTIFS('Raw IC'!$A$5:$A$546,$B190,'Raw IC'!$B$5:$B$546,5)=0,"",SUMIFS('Raw IC'!$H$5:$H$546,'Raw IC'!$A$5:$A$546,$B190,'Raw IC'!$B$5:$B$546,5))</x:f>
        <x:v>0.19375543732429293</x:v>
      </x:c>
      <x:c r="H190" s="55" t="n">
        <x:f>IF(COUNTIFS('Raw IC'!$A$5:$A$546,$B190,'Raw IC'!$B$5:$B$546,10)=0,"",SUMIFS('Raw IC'!$F$5:$F$546,'Raw IC'!$A$5:$A$546,$B190,'Raw IC'!$B$5:$B$546,10))</x:f>
        <x:v>0.016707428436345515</x:v>
      </x:c>
      <x:c r="I190" s="55" t="n">
        <x:f>IF(COUNTIFS('Raw IC'!$A$5:$A$546,$B190,'Raw IC'!$B$5:$B$546,10)=0,"",SUMIFS('Raw IC'!$H$5:$H$546,'Raw IC'!$A$5:$A$546,$B190,'Raw IC'!$B$5:$B$546,10))</x:f>
        <x:v>0.25397978472215765</x:v>
      </x:c>
      <x:c r="J190" s="55" t="n">
        <x:f>IF(COUNTIFS('Raw IC'!$A$5:$A$546,$B190,'Raw IC'!$B$5:$B$546,20)=0,"",SUMIFS('Raw IC'!$F$5:$F$546,'Raw IC'!$A$5:$A$546,$B190,'Raw IC'!$B$5:$B$546,20))</x:f>
        <x:v>0.019216577227991607</x:v>
      </x:c>
      <x:c r="K190" s="55" t="n">
        <x:f>IF(COUNTIFS('Raw IC'!$A$5:$A$546,$B190,'Raw IC'!$B$5:$B$546,20)=0,"",SUMIFS('Raw IC'!$H$5:$H$546,'Raw IC'!$A$5:$A$546,$B190,'Raw IC'!$B$5:$B$546,20))</x:f>
        <x:v>0.29266741868088114</x:v>
      </x:c>
      <x:c r="L190" s="55" t="n">
        <x:f>IF(COUNT(I190,K190)&lt;2,"",AVERAGE(ABS(I190),ABS(K190)))</x:f>
        <x:v>0.27332360170151937</x:v>
      </x:c>
      <x:c r="M190" s="54" t="str">
        <x:f>IF(COUNT(H190,J190)&lt;2,"",IF(H190*J190&gt;=0,IF(H190&gt;=0,"positive","negative"),"mixed"))</x:f>
        <x:v>positive</x:v>
      </x:c>
      <x:c r="N190" s="75" t="n">
        <x:v>46230.32700612269</x:v>
      </x:c>
      <x:c r="O190" s="56" t="n">
        <x:v>13231952</x:v>
      </x:c>
      <x:c r="P190" s="54" t="str">
        <x:v>c89ec58a501c3ee9d35b4d16a82c2c097120d5210dcc66310d77aa437a3c789b</x:v>
      </x:c>
      <x:c r="Q190" s="54" t="str">
        <x:v>factor_report/gtja191_batch/gtja_015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7ad7f420a85e4bf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14" hidden="0" customWidth="1"/>
    <x:col min="6" max="6" width="17" hidden="0" customWidth="1"/>
    <x:col min="7" max="7" width="13" hidden="0" customWidth="1"/>
    <x:col min="8" max="8" width="13" hidden="0" customWidth="1"/>
    <x:col min="9" max="9" width="15" hidden="0" customWidth="1"/>
    <x:col min="10" max="10" width="17" hidden="0" customWidth="1"/>
    <x:col min="11" max="11" width="15" hidden="0" customWidth="1"/>
    <x:col min="12" max="12" width="14" hidden="0" customWidth="1"/>
    <x:col min="13" max="13" width="12" hidden="0" customWidth="1"/>
    <x:col min="14" max="14" width="17" hidden="0" customWidth="1"/>
    <x:col min="15" max="15" width="13" hidden="0" customWidth="1"/>
    <x:col min="16" max="16" width="31" hidden="0" customWidth="1"/>
    <x:col min="17" max="17" width="20" hidden="0" customWidth="1"/>
    <x:col min="18" max="18" width="18" hidden="0" customWidth="1"/>
    <x:col min="19" max="19" width="24" hidden="0" customWidth="1"/>
    <x:col min="20" max="20" width="46" hidden="0" customWidth="1"/>
  </x:cols>
  <x:sheetData>
    <x:row r="1" ht="30" customHeight="1">
      <x:c r="A1" s="3" t="str">
        <x:v>Window-level IC Leaderboard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7" t="str">
        <x:v>Every available factor-window result. Rank is calculated within each horizon for the comparable legacy cohort only.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</x:row>
    <x:row r="4" ht="32" customHeight="1">
      <x:c r="A4" s="16" t="str">
        <x:v>Window Rank</x:v>
      </x:c>
      <x:c r="B4" s="29" t="str">
        <x:v>Factor</x:v>
      </x:c>
      <x:c r="C4" s="29" t="str">
        <x:v>Window Days</x:v>
      </x:c>
      <x:c r="D4" s="29" t="str">
        <x:v>Direction</x:v>
      </x:c>
      <x:c r="E4" s="29" t="str">
        <x:v>Rank IC Mean</x:v>
      </x:c>
      <x:c r="F4" s="29" t="str">
        <x:v>Abs Rank IC Mean</x:v>
      </x:c>
      <x:c r="G4" s="29" t="str">
        <x:v>Rank IC Std</x:v>
      </x:c>
      <x:c r="H4" s="29" t="str">
        <x:v>Rank ICIR</x:v>
      </x:c>
      <x:c r="I4" s="29" t="str">
        <x:v>Abs Rank ICIR</x:v>
      </x:c>
      <x:c r="J4" s="29" t="str">
        <x:v>Rank IC Win Rate</x:v>
      </x:c>
      <x:c r="K4" s="29" t="str">
        <x:v>Pearson IC Mean</x:v>
      </x:c>
      <x:c r="L4" s="29" t="str">
        <x:v>Pearson ICIR</x:v>
      </x:c>
      <x:c r="M4" s="29" t="str">
        <x:v>IC Win Rate</x:v>
      </x:c>
      <x:c r="N4" s="29" t="str">
        <x:v>Observation Count</x:v>
      </x:c>
      <x:c r="O4" s="29" t="str">
        <x:v>Rank Eligible</x:v>
      </x:c>
      <x:c r="P4" s="29" t="str">
        <x:v>Comparison Cohort</x:v>
      </x:c>
      <x:c r="Q4" s="29" t="str">
        <x:v>Completed At</x:v>
      </x:c>
      <x:c r="R4" s="29" t="str">
        <x:v>Source Row Count</x:v>
      </x:c>
      <x:c r="S4" s="29" t="str">
        <x:v>Fingerprint</x:v>
      </x:c>
      <x:c r="T4" s="17" t="str">
        <x:v>Source File</x:v>
      </x:c>
    </x:row>
    <x:row r="5">
      <x:c r="A5" s="50" t="n">
        <x:f>IF($P5="legacy_common_sample_8902245",1+COUNTIFS($C$5:$C$546,$C5,$P$5:$P$546,"legacy_common_sample_8902245",$I$5:$I$546,"&gt;"&amp;$I5),"")</x:f>
        <x:v>1</x:v>
      </x:c>
      <x:c r="B5" t="str">
        <x:v>gtja_176</x:v>
      </x:c>
      <x:c r="C5" s="50" t="n">
        <x:v>1</x:v>
      </x:c>
      <x:c r="D5" t="str">
        <x:f>IF(E5&gt;=0,"positive","negative")</x:f>
        <x:v>negative</x:v>
      </x:c>
      <x:c r="E5" s="30" t="n">
        <x:v>-0.024133419582179818</x:v>
      </x:c>
      <x:c r="F5" s="30" t="n">
        <x:f>ABS(E5)</x:f>
        <x:v>0.024133419582179818</x:v>
      </x:c>
      <x:c r="G5" s="30" t="n">
        <x:v>0.05368903981017534</x:v>
      </x:c>
      <x:c r="H5" s="30" t="n">
        <x:v>-0.4495036541444343</x:v>
      </x:c>
      <x:c r="I5" s="30" t="n">
        <x:f>ABS(H5)</x:f>
        <x:v>0.4495036541444343</x:v>
      </x:c>
      <x:c r="J5" s="30" t="n">
        <x:v>0.32</x:v>
      </x:c>
      <x:c r="K5" s="30" t="n">
        <x:v>-0.005729394983489028</x:v>
      </x:c>
      <x:c r="L5" s="30" t="n">
        <x:v>-0.12543924069010007</x:v>
      </x:c>
      <x:c r="M5" s="30" t="n">
        <x:v>0.451</x:v>
      </x:c>
      <x:c r="N5" s="19" t="n">
        <x:v>2000</x:v>
      </x:c>
      <x:c r="O5" t="b">
        <x:f>P5="legacy_common_sample_8902245"</x:f>
        <x:v>1</x:v>
      </x:c>
      <x:c r="P5" t="str">
        <x:v>legacy_common_sample_8902245</x:v>
      </x:c>
      <x:c r="Q5" s="74" t="n">
        <x:v>46210.92925570602</x:v>
      </x:c>
      <x:c r="R5" s="19" t="n">
        <x:v>8902245</x:v>
      </x:c>
      <x:c r="S5" t="str">
        <x:v>40355b29bce094aef0e99358bdfd4011b92e72a54440a67760de4afae4883c33</x:v>
      </x:c>
      <x:c r="T5" t="str">
        <x:v>factor_report/gtja191_batch/gtja_176/ic_summary.csv</x:v>
      </x:c>
    </x:row>
    <x:row r="6">
      <x:c r="A6" s="50" t="n">
        <x:f>IF($P6="legacy_common_sample_8902245",1+COUNTIFS($C$5:$C$546,$C6,$P$5:$P$546,"legacy_common_sample_8902245",$I$5:$I$546,"&gt;"&amp;$I6),"")</x:f>
        <x:v>2</x:v>
      </x:c>
      <x:c r="B6" t="str">
        <x:v>gtja_036</x:v>
      </x:c>
      <x:c r="C6" s="50" t="n">
        <x:v>1</x:v>
      </x:c>
      <x:c r="D6" t="str">
        <x:f>IF(E6&gt;=0,"positive","negative")</x:f>
        <x:v>negative</x:v>
      </x:c>
      <x:c r="E6" s="30" t="n">
        <x:v>-0.028994801088092843</x:v>
      </x:c>
      <x:c r="F6" s="30" t="n">
        <x:f>ABS(E6)</x:f>
        <x:v>0.028994801088092843</x:v>
      </x:c>
      <x:c r="G6" s="30" t="n">
        <x:v>0.07107259223332096</x:v>
      </x:c>
      <x:c r="H6" s="30" t="n">
        <x:v>-0.40796037089666204</x:v>
      </x:c>
      <x:c r="I6" s="30" t="n">
        <x:f>ABS(H6)</x:f>
        <x:v>0.40796037089666204</x:v>
      </x:c>
      <x:c r="J6" s="30" t="n">
        <x:v>0.34</x:v>
      </x:c>
      <x:c r="K6" s="30" t="n">
        <x:v>-0.008689297473139998</x:v>
      </x:c>
      <x:c r="L6" s="30" t="n">
        <x:v>-0.14056983241218765</x:v>
      </x:c>
      <x:c r="M6" s="30" t="n">
        <x:v>0.4435</x:v>
      </x:c>
      <x:c r="N6" s="19" t="n">
        <x:v>2000</x:v>
      </x:c>
      <x:c r="O6" t="b">
        <x:f>P6="legacy_common_sample_8902245"</x:f>
        <x:v>1</x:v>
      </x:c>
      <x:c r="P6" t="str">
        <x:v>legacy_common_sample_8902245</x:v>
      </x:c>
      <x:c r="Q6" s="74" t="n">
        <x:v>46210.26318543981</x:v>
      </x:c>
      <x:c r="R6" s="19" t="n">
        <x:v>8902245</x:v>
      </x:c>
      <x:c r="S6" t="str">
        <x:v>40355b29bce094aef0e99358bdfd4011b92e72a54440a67760de4afae4883c33</x:v>
      </x:c>
      <x:c r="T6" t="str">
        <x:v>factor_report/gtja191_batch/gtja_036/ic_summary.csv</x:v>
      </x:c>
    </x:row>
    <x:row r="7">
      <x:c r="A7" s="50" t="n">
        <x:f>IF($P7="legacy_common_sample_8902245",1+COUNTIFS($C$5:$C$546,$C7,$P$5:$P$546,"legacy_common_sample_8902245",$I$5:$I$546,"&gt;"&amp;$I7),"")</x:f>
        <x:v>3</x:v>
      </x:c>
      <x:c r="B7" t="str">
        <x:v>gtja_179</x:v>
      </x:c>
      <x:c r="C7" s="50" t="n">
        <x:v>1</x:v>
      </x:c>
      <x:c r="D7" t="str">
        <x:f>IF(E7&gt;=0,"positive","negative")</x:f>
        <x:v>negative</x:v>
      </x:c>
      <x:c r="E7" s="30" t="n">
        <x:v>-0.025089057116048225</x:v>
      </x:c>
      <x:c r="F7" s="30" t="n">
        <x:f>ABS(E7)</x:f>
        <x:v>0.025089057116048225</x:v>
      </x:c>
      <x:c r="G7" s="30" t="n">
        <x:v>0.06365497793423676</x:v>
      </x:c>
      <x:c r="H7" s="30" t="n">
        <x:v>-0.3941413213899506</x:v>
      </x:c>
      <x:c r="I7" s="30" t="n">
        <x:f>ABS(H7)</x:f>
        <x:v>0.3941413213899506</x:v>
      </x:c>
      <x:c r="J7" s="30" t="n">
        <x:v>0.3283283283283283</x:v>
      </x:c>
      <x:c r="K7" s="30" t="n">
        <x:v>-0.012311934116564907</x:v>
      </x:c>
      <x:c r="L7" s="30" t="n">
        <x:v>-0.19824047012804016</x:v>
      </x:c>
      <x:c r="M7" s="30" t="n">
        <x:v>0.4039039039039039</x:v>
      </x:c>
      <x:c r="N7" s="19" t="n">
        <x:v>1998</x:v>
      </x:c>
      <x:c r="O7" t="b">
        <x:f>P7="legacy_common_sample_8902245"</x:f>
        <x:v>1</x:v>
      </x:c>
      <x:c r="P7" t="str">
        <x:v>legacy_common_sample_8902245</x:v>
      </x:c>
      <x:c r="Q7" s="74" t="n">
        <x:v>46210.941301631945</x:v>
      </x:c>
      <x:c r="R7" s="19" t="n">
        <x:v>8902245</x:v>
      </x:c>
      <x:c r="S7" t="str">
        <x:v>40355b29bce094aef0e99358bdfd4011b92e72a54440a67760de4afae4883c33</x:v>
      </x:c>
      <x:c r="T7" t="str">
        <x:v>factor_report/gtja191_batch/gtja_179/ic_summary.csv</x:v>
      </x:c>
    </x:row>
    <x:row r="8">
      <x:c r="A8" s="50" t="n">
        <x:f>IF($P8="legacy_common_sample_8902245",1+COUNTIFS($C$5:$C$546,$C8,$P$5:$P$546,"legacy_common_sample_8902245",$I$5:$I$546,"&gt;"&amp;$I8),"")</x:f>
        <x:v>4</x:v>
      </x:c>
      <x:c r="B8" t="str">
        <x:v>gtja_070</x:v>
      </x:c>
      <x:c r="C8" s="50" t="n">
        <x:v>1</x:v>
      </x:c>
      <x:c r="D8" t="str">
        <x:f>IF(E8&gt;=0,"positive","negative")</x:f>
        <x:v>negative</x:v>
      </x:c>
      <x:c r="E8" s="30" t="n">
        <x:v>-0.053577432783182125</x:v>
      </x:c>
      <x:c r="F8" s="30" t="n">
        <x:f>ABS(E8)</x:f>
        <x:v>0.053577432783182125</x:v>
      </x:c>
      <x:c r="G8" s="30" t="n">
        <x:v>0.13653086398955622</x:v>
      </x:c>
      <x:c r="H8" s="30" t="n">
        <x:v>-0.392419935079884</x:v>
      </x:c>
      <x:c r="I8" s="30" t="n">
        <x:f>ABS(H8)</x:f>
        <x:v>0.392419935079884</x:v>
      </x:c>
      <x:c r="J8" s="30" t="n">
        <x:v>0.3365</x:v>
      </x:c>
      <x:c r="K8" s="30" t="n">
        <x:v>-0.0138914226237561</x:v>
      </x:c>
      <x:c r="L8" s="30" t="n">
        <x:v>-0.15476301459065006</x:v>
      </x:c>
      <x:c r="M8" s="30" t="n">
        <x:v>0.428</x:v>
      </x:c>
      <x:c r="N8" s="19" t="n">
        <x:v>2000</x:v>
      </x:c>
      <x:c r="O8" t="b">
        <x:f>P8="legacy_common_sample_8902245"</x:f>
        <x:v>1</x:v>
      </x:c>
      <x:c r="P8" t="str">
        <x:v>legacy_common_sample_8902245</x:v>
      </x:c>
      <x:c r="Q8" s="74" t="n">
        <x:v>46210.41622457176</x:v>
      </x:c>
      <x:c r="R8" s="19" t="n">
        <x:v>8902245</x:v>
      </x:c>
      <x:c r="S8" t="str">
        <x:v>40355b29bce094aef0e99358bdfd4011b92e72a54440a67760de4afae4883c33</x:v>
      </x:c>
      <x:c r="T8" t="str">
        <x:v>factor_report/gtja191_batch/gtja_070/ic_summary.csv</x:v>
      </x:c>
    </x:row>
    <x:row r="9">
      <x:c r="A9" s="50" t="n">
        <x:f>IF($P9="legacy_common_sample_8902245",1+COUNTIFS($C$5:$C$546,$C9,$P$5:$P$546,"legacy_common_sample_8902245",$I$5:$I$546,"&gt;"&amp;$I9),"")</x:f>
        <x:v>5</x:v>
      </x:c>
      <x:c r="B9" t="str">
        <x:v>gtja_150</x:v>
      </x:c>
      <x:c r="C9" s="50" t="n">
        <x:v>1</x:v>
      </x:c>
      <x:c r="D9" t="str">
        <x:f>IF(E9&gt;=0,"positive","negative")</x:f>
        <x:v>negative</x:v>
      </x:c>
      <x:c r="E9" s="30" t="n">
        <x:v>-0.05336353246450551</x:v>
      </x:c>
      <x:c r="F9" s="30" t="n">
        <x:f>ABS(E9)</x:f>
        <x:v>0.05336353246450551</x:v>
      </x:c>
      <x:c r="G9" s="30" t="n">
        <x:v>0.1388759728125712</x:v>
      </x:c>
      <x:c r="H9" s="30" t="n">
        <x:v>-0.38425316765575873</x:v>
      </x:c>
      <x:c r="I9" s="30" t="n">
        <x:f>ABS(H9)</x:f>
        <x:v>0.38425316765575873</x:v>
      </x:c>
      <x:c r="J9" s="30" t="n">
        <x:v>0.3385</x:v>
      </x:c>
      <x:c r="K9" s="30" t="n">
        <x:v>-0.01555417535613704</x:v>
      </x:c>
      <x:c r="L9" s="30" t="n">
        <x:v>-0.16453178117997333</x:v>
      </x:c>
      <x:c r="M9" s="30" t="n">
        <x:v>0.4155</x:v>
      </x:c>
      <x:c r="N9" s="19" t="n">
        <x:v>2000</x:v>
      </x:c>
      <x:c r="O9" t="b">
        <x:f>P9="legacy_common_sample_8902245"</x:f>
        <x:v>1</x:v>
      </x:c>
      <x:c r="P9" t="str">
        <x:v>legacy_common_sample_8902245</x:v>
      </x:c>
      <x:c r="Q9" s="74" t="n">
        <x:v>46210.81356047454</x:v>
      </x:c>
      <x:c r="R9" s="19" t="n">
        <x:v>8902245</x:v>
      </x:c>
      <x:c r="S9" t="str">
        <x:v>40355b29bce094aef0e99358bdfd4011b92e72a54440a67760de4afae4883c33</x:v>
      </x:c>
      <x:c r="T9" t="str">
        <x:v>factor_report/gtja191_batch/gtja_150/ic_summary.csv</x:v>
      </x:c>
    </x:row>
    <x:row r="10">
      <x:c r="A10" s="50" t="n">
        <x:f>IF($P10="legacy_common_sample_8902245",1+COUNTIFS($C$5:$C$546,$C10,$P$5:$P$546,"legacy_common_sample_8902245",$I$5:$I$546,"&gt;"&amp;$I10),"")</x:f>
        <x:v>6</x:v>
      </x:c>
      <x:c r="B10" t="str">
        <x:v>gtja_074</x:v>
      </x:c>
      <x:c r="C10" s="50" t="n">
        <x:v>1</x:v>
      </x:c>
      <x:c r="D10" t="str">
        <x:f>IF(E10&gt;=0,"positive","negative")</x:f>
        <x:v>negative</x:v>
      </x:c>
      <x:c r="E10" s="30" t="n">
        <x:v>-0.027244210725221606</x:v>
      </x:c>
      <x:c r="F10" s="30" t="n">
        <x:f>ABS(E10)</x:f>
        <x:v>0.027244210725221606</x:v>
      </x:c>
      <x:c r="G10" s="30" t="n">
        <x:v>0.07249841263289945</x:v>
      </x:c>
      <x:c r="H10" s="30" t="n">
        <x:v>-0.3757904447256588</x:v>
      </x:c>
      <x:c r="I10" s="30" t="n">
        <x:f>ABS(H10)</x:f>
        <x:v>0.3757904447256588</x:v>
      </x:c>
      <x:c r="J10" s="30" t="n">
        <x:v>0.34453360080240725</x:v>
      </x:c>
      <x:c r="K10" s="30" t="n">
        <x:v>-0.009777106408496336</x:v>
      </x:c>
      <x:c r="L10" s="30" t="n">
        <x:v>-0.15167872263742693</x:v>
      </x:c>
      <x:c r="M10" s="30" t="n">
        <x:v>0.4307923771313942</x:v>
      </x:c>
      <x:c r="N10" s="19" t="n">
        <x:v>1994</x:v>
      </x:c>
      <x:c r="O10" t="b">
        <x:f>P10="legacy_common_sample_8902245"</x:f>
        <x:v>1</x:v>
      </x:c>
      <x:c r="P10" t="str">
        <x:v>legacy_common_sample_8902245</x:v>
      </x:c>
      <x:c r="Q10" s="74" t="n">
        <x:v>46210.45096833333</x:v>
      </x:c>
      <x:c r="R10" s="19" t="n">
        <x:v>8902245</x:v>
      </x:c>
      <x:c r="S10" t="str">
        <x:v>40355b29bce094aef0e99358bdfd4011b92e72a54440a67760de4afae4883c33</x:v>
      </x:c>
      <x:c r="T10" t="str">
        <x:v>factor_report/gtja191_batch/gtja_074/ic_summary.csv</x:v>
      </x:c>
    </x:row>
    <x:row r="11">
      <x:c r="A11" s="50" t="n">
        <x:f>IF($P11="legacy_common_sample_8902245",1+COUNTIFS($C$5:$C$546,$C11,$P$5:$P$546,"legacy_common_sample_8902245",$I$5:$I$546,"&gt;"&amp;$I11),"")</x:f>
        <x:v>7</x:v>
      </x:c>
      <x:c r="B11" t="str">
        <x:v>gtja_158</x:v>
      </x:c>
      <x:c r="C11" s="50" t="n">
        <x:v>1</x:v>
      </x:c>
      <x:c r="D11" t="str">
        <x:f>IF(E11&gt;=0,"positive","negative")</x:f>
        <x:v>negative</x:v>
      </x:c>
      <x:c r="E11" s="30" t="n">
        <x:v>-0.05200081838059828</x:v>
      </x:c>
      <x:c r="F11" s="30" t="n">
        <x:f>ABS(E11)</x:f>
        <x:v>0.05200081838059828</x:v>
      </x:c>
      <x:c r="G11" s="30" t="n">
        <x:v>0.15206881249090748</x:v>
      </x:c>
      <x:c r="H11" s="30" t="n">
        <x:v>-0.34195583912847033</x:v>
      </x:c>
      <x:c r="I11" s="30" t="n">
        <x:f>ABS(H11)</x:f>
        <x:v>0.34195583912847033</x:v>
      </x:c>
      <x:c r="J11" s="30" t="n">
        <x:v>0.3535</x:v>
      </x:c>
      <x:c r="K11" s="30" t="n">
        <x:v>-0.019410573268389485</x:v>
      </x:c>
      <x:c r="L11" s="30" t="n">
        <x:v>-0.1502719240744628</x:v>
      </x:c>
      <x:c r="M11" s="30" t="n">
        <x:v>0.4345</x:v>
      </x:c>
      <x:c r="N11" s="19" t="n">
        <x:v>2000</x:v>
      </x:c>
      <x:c r="O11" t="b">
        <x:f>P11="legacy_common_sample_8902245"</x:f>
        <x:v>1</x:v>
      </x:c>
      <x:c r="P11" t="str">
        <x:v>legacy_common_sample_8902245</x:v>
      </x:c>
      <x:c r="Q11" s="74" t="n">
        <x:v>46210.85092011574</x:v>
      </x:c>
      <x:c r="R11" s="19" t="n">
        <x:v>8902245</x:v>
      </x:c>
      <x:c r="S11" t="str">
        <x:v>40355b29bce094aef0e99358bdfd4011b92e72a54440a67760de4afae4883c33</x:v>
      </x:c>
      <x:c r="T11" t="str">
        <x:v>factor_report/gtja191_batch/gtja_158/ic_summary.csv</x:v>
      </x:c>
    </x:row>
    <x:row r="12">
      <x:c r="A12" s="50" t="n">
        <x:f>IF($P12="legacy_common_sample_8902245",1+COUNTIFS($C$5:$C$546,$C12,$P$5:$P$546,"legacy_common_sample_8902245",$I$5:$I$546,"&gt;"&amp;$I12),"")</x:f>
        <x:v>8</x:v>
      </x:c>
      <x:c r="B12" t="str">
        <x:v>gtja_095</x:v>
      </x:c>
      <x:c r="C12" s="50" t="n">
        <x:v>1</x:v>
      </x:c>
      <x:c r="D12" t="str">
        <x:f>IF(E12&gt;=0,"positive","negative")</x:f>
        <x:v>negative</x:v>
      </x:c>
      <x:c r="E12" s="30" t="n">
        <x:v>-0.04753124147951448</x:v>
      </x:c>
      <x:c r="F12" s="30" t="n">
        <x:f>ABS(E12)</x:f>
        <x:v>0.04753124147951448</x:v>
      </x:c>
      <x:c r="G12" s="30" t="n">
        <x:v>0.14113391326711552</x:v>
      </x:c>
      <x:c r="H12" s="30" t="n">
        <x:v>-0.3367811490464025</x:v>
      </x:c>
      <x:c r="I12" s="30" t="n">
        <x:f>ABS(H12)</x:f>
        <x:v>0.3367811490464025</x:v>
      </x:c>
      <x:c r="J12" s="30" t="n">
        <x:v>0.3505</x:v>
      </x:c>
      <x:c r="K12" s="30" t="n">
        <x:v>-0.011984259347069419</x:v>
      </x:c>
      <x:c r="L12" s="30" t="n">
        <x:v>-0.126486198065711</x:v>
      </x:c>
      <x:c r="M12" s="30" t="n">
        <x:v>0.437</x:v>
      </x:c>
      <x:c r="N12" s="19" t="n">
        <x:v>2000</x:v>
      </x:c>
      <x:c r="O12" t="b">
        <x:f>P12="legacy_common_sample_8902245"</x:f>
        <x:v>1</x:v>
      </x:c>
      <x:c r="P12" t="str">
        <x:v>legacy_common_sample_8902245</x:v>
      </x:c>
      <x:c r="Q12" s="74" t="n">
        <x:v>46210.552701967594</x:v>
      </x:c>
      <x:c r="R12" s="19" t="n">
        <x:v>8902245</x:v>
      </x:c>
      <x:c r="S12" t="str">
        <x:v>40355b29bce094aef0e99358bdfd4011b92e72a54440a67760de4afae4883c33</x:v>
      </x:c>
      <x:c r="T12" t="str">
        <x:v>factor_report/gtja191_batch/gtja_095/ic_summary.csv</x:v>
      </x:c>
    </x:row>
    <x:row r="13">
      <x:c r="A13" s="50" t="n">
        <x:f>IF($P13="legacy_common_sample_8902245",1+COUNTIFS($C$5:$C$546,$C13,$P$5:$P$546,"legacy_common_sample_8902245",$I$5:$I$546,"&gt;"&amp;$I13),"")</x:f>
        <x:v>9</x:v>
      </x:c>
      <x:c r="B13" t="str">
        <x:v>gtja_097</x:v>
      </x:c>
      <x:c r="C13" s="50" t="n">
        <x:v>1</x:v>
      </x:c>
      <x:c r="D13" t="str">
        <x:f>IF(E13&gt;=0,"positive","negative")</x:f>
        <x:v>negative</x:v>
      </x:c>
      <x:c r="E13" s="30" t="n">
        <x:v>-0.03532552806568151</x:v>
      </x:c>
      <x:c r="F13" s="30" t="n">
        <x:f>ABS(E13)</x:f>
        <x:v>0.03532552806568151</x:v>
      </x:c>
      <x:c r="G13" s="30" t="n">
        <x:v>0.11300004558093152</x:v>
      </x:c>
      <x:c r="H13" s="30" t="n">
        <x:v>-0.31261516651673465</x:v>
      </x:c>
      <x:c r="I13" s="30" t="n">
        <x:f>ABS(H13)</x:f>
        <x:v>0.31261516651673465</x:v>
      </x:c>
      <x:c r="J13" s="30" t="n">
        <x:v>0.3645</x:v>
      </x:c>
      <x:c r="K13" s="30" t="n">
        <x:v>-0.012462132070351238</x:v>
      </x:c>
      <x:c r="L13" s="30" t="n">
        <x:v>-0.16854467356977973</x:v>
      </x:c>
      <x:c r="M13" s="30" t="n">
        <x:v>0.4075</x:v>
      </x:c>
      <x:c r="N13" s="19" t="n">
        <x:v>2000</x:v>
      </x:c>
      <x:c r="O13" t="b">
        <x:f>P13="legacy_common_sample_8902245"</x:f>
        <x:v>1</x:v>
      </x:c>
      <x:c r="P13" t="str">
        <x:v>legacy_common_sample_8902245</x:v>
      </x:c>
      <x:c r="Q13" s="74" t="n">
        <x:v>46210.56247660879</x:v>
      </x:c>
      <x:c r="R13" s="19" t="n">
        <x:v>8902245</x:v>
      </x:c>
      <x:c r="S13" t="str">
        <x:v>40355b29bce094aef0e99358bdfd4011b92e72a54440a67760de4afae4883c33</x:v>
      </x:c>
      <x:c r="T13" t="str">
        <x:v>factor_report/gtja191_batch/gtja_097/ic_summary.csv</x:v>
      </x:c>
    </x:row>
    <x:row r="14">
      <x:c r="A14" s="50" t="n">
        <x:f>IF($P14="legacy_common_sample_8902245",1+COUNTIFS($C$5:$C$546,$C14,$P$5:$P$546,"legacy_common_sample_8902245",$I$5:$I$546,"&gt;"&amp;$I14),"")</x:f>
        <x:v>10</x:v>
      </x:c>
      <x:c r="B14" t="str">
        <x:v>gtja_159</x:v>
      </x:c>
      <x:c r="C14" s="50" t="n">
        <x:v>1</x:v>
      </x:c>
      <x:c r="D14" t="str">
        <x:f>IF(E14&gt;=0,"positive","negative")</x:f>
        <x:v>negative</x:v>
      </x:c>
      <x:c r="E14" s="30" t="n">
        <x:v>-0.0564643230896578</x:v>
      </x:c>
      <x:c r="F14" s="30" t="n">
        <x:f>ABS(E14)</x:f>
        <x:v>0.0564643230896578</x:v>
      </x:c>
      <x:c r="G14" s="30" t="n">
        <x:v>0.18821758490001683</x:v>
      </x:c>
      <x:c r="H14" s="30" t="n">
        <x:v>-0.29999494000335963</x:v>
      </x:c>
      <x:c r="I14" s="30" t="n">
        <x:f>ABS(H14)</x:f>
        <x:v>0.29999494000335963</x:v>
      </x:c>
      <x:c r="J14" s="30" t="n">
        <x:v>0.383</x:v>
      </x:c>
      <x:c r="K14" s="30" t="n">
        <x:v>-0.0035939879379449863</x:v>
      </x:c>
      <x:c r="L14" s="30" t="n">
        <x:v>-0.023932303899237846</x:v>
      </x:c>
      <x:c r="M14" s="30" t="n">
        <x:v>0.492</x:v>
      </x:c>
      <x:c r="N14" s="19" t="n">
        <x:v>2000</x:v>
      </x:c>
      <x:c r="O14" t="b">
        <x:f>P14="legacy_common_sample_8902245"</x:f>
        <x:v>1</x:v>
      </x:c>
      <x:c r="P14" t="str">
        <x:v>legacy_common_sample_8902245</x:v>
      </x:c>
      <x:c r="Q14" s="74" t="n">
        <x:v>46210.85484907407</x:v>
      </x:c>
      <x:c r="R14" s="19" t="n">
        <x:v>8902245</x:v>
      </x:c>
      <x:c r="S14" t="str">
        <x:v>40355b29bce094aef0e99358bdfd4011b92e72a54440a67760de4afae4883c33</x:v>
      </x:c>
      <x:c r="T14" t="str">
        <x:v>factor_report/gtja191_batch/gtja_159/ic_summary.csv</x:v>
      </x:c>
    </x:row>
    <x:row r="15">
      <x:c r="A15" s="50" t="n">
        <x:f>IF($P15="legacy_common_sample_8902245",1+COUNTIFS($C$5:$C$546,$C15,$P$5:$P$546,"legacy_common_sample_8902245",$I$5:$I$546,"&gt;"&amp;$I15),"")</x:f>
        <x:v>11</x:v>
      </x:c>
      <x:c r="B15" t="str">
        <x:v>gtja_109</x:v>
      </x:c>
      <x:c r="C15" s="50" t="n">
        <x:v>1</x:v>
      </x:c>
      <x:c r="D15" t="str">
        <x:f>IF(E15&gt;=0,"positive","negative")</x:f>
        <x:v>negative</x:v>
      </x:c>
      <x:c r="E15" s="30" t="n">
        <x:v>-0.0301935078494394</x:v>
      </x:c>
      <x:c r="F15" s="30" t="n">
        <x:f>ABS(E15)</x:f>
        <x:v>0.0301935078494394</x:v>
      </x:c>
      <x:c r="G15" s="30" t="n">
        <x:v>0.10088783360164288</x:v>
      </x:c>
      <x:c r="H15" s="30" t="n">
        <x:v>-0.29927798795500865</x:v>
      </x:c>
      <x:c r="I15" s="30" t="n">
        <x:f>ABS(H15)</x:f>
        <x:v>0.29927798795500865</x:v>
      </x:c>
      <x:c r="J15" s="30" t="n">
        <x:v>0.366</x:v>
      </x:c>
      <x:c r="K15" s="30" t="n">
        <x:v>-0.017535338487725875</x:v>
      </x:c>
      <x:c r="L15" s="30" t="n">
        <x:v>-0.2006141383564526</x:v>
      </x:c>
      <x:c r="M15" s="30" t="n">
        <x:v>0.4</x:v>
      </x:c>
      <x:c r="N15" s="19" t="n">
        <x:v>2000</x:v>
      </x:c>
      <x:c r="O15" t="b">
        <x:f>P15="legacy_common_sample_8902245"</x:f>
        <x:v>1</x:v>
      </x:c>
      <x:c r="P15" t="str">
        <x:v>legacy_common_sample_8902245</x:v>
      </x:c>
      <x:c r="Q15" s="74" t="n">
        <x:v>46210.612487280094</x:v>
      </x:c>
      <x:c r="R15" s="19" t="n">
        <x:v>8902245</x:v>
      </x:c>
      <x:c r="S15" t="str">
        <x:v>40355b29bce094aef0e99358bdfd4011b92e72a54440a67760de4afae4883c33</x:v>
      </x:c>
      <x:c r="T15" t="str">
        <x:v>factor_report/gtja191_batch/gtja_109/ic_summary.csv</x:v>
      </x:c>
    </x:row>
    <x:row r="16">
      <x:c r="A16" s="50" t="n">
        <x:f>IF($P16="legacy_common_sample_8902245",1+COUNTIFS($C$5:$C$546,$C16,$P$5:$P$546,"legacy_common_sample_8902245",$I$5:$I$546,"&gt;"&amp;$I16),"")</x:f>
        <x:v>12</x:v>
      </x:c>
      <x:c r="B16" t="str">
        <x:v>gtja_118</x:v>
      </x:c>
      <x:c r="C16" s="50" t="n">
        <x:v>1</x:v>
      </x:c>
      <x:c r="D16" t="str">
        <x:f>IF(E16&gt;=0,"positive","negative")</x:f>
        <x:v>negative</x:v>
      </x:c>
      <x:c r="E16" s="30" t="n">
        <x:v>-0.03659425054575604</x:v>
      </x:c>
      <x:c r="F16" s="30" t="n">
        <x:f>ABS(E16)</x:f>
        <x:v>0.03659425054575604</x:v>
      </x:c>
      <x:c r="G16" s="30" t="n">
        <x:v>0.12263239759030531</x:v>
      </x:c>
      <x:c r="H16" s="30" t="n">
        <x:v>-0.29840605961249667</x:v>
      </x:c>
      <x:c r="I16" s="30" t="n">
        <x:f>ABS(H16)</x:f>
        <x:v>0.29840605961249667</x:v>
      </x:c>
      <x:c r="J16" s="30" t="n">
        <x:v>0.3765</x:v>
      </x:c>
      <x:c r="K16" s="30" t="n">
        <x:v>-0.011092812338611906</x:v>
      </x:c>
      <x:c r="L16" s="30" t="n">
        <x:v>-0.09775302932833466</x:v>
      </x:c>
      <x:c r="M16" s="30" t="n">
        <x:v>0.4595</x:v>
      </x:c>
      <x:c r="N16" s="19" t="n">
        <x:v>2000</x:v>
      </x:c>
      <x:c r="O16" t="b">
        <x:f>P16="legacy_common_sample_8902245"</x:f>
        <x:v>1</x:v>
      </x:c>
      <x:c r="P16" t="str">
        <x:v>legacy_common_sample_8902245</x:v>
      </x:c>
      <x:c r="Q16" s="74" t="n">
        <x:v>46210.66222452546</x:v>
      </x:c>
      <x:c r="R16" s="19" t="n">
        <x:v>8902245</x:v>
      </x:c>
      <x:c r="S16" t="str">
        <x:v>40355b29bce094aef0e99358bdfd4011b92e72a54440a67760de4afae4883c33</x:v>
      </x:c>
      <x:c r="T16" t="str">
        <x:v>factor_report/gtja191_batch/gtja_118/ic_summary.csv</x:v>
      </x:c>
    </x:row>
    <x:row r="17">
      <x:c r="A17" s="50" t="n">
        <x:f>IF($P17="legacy_common_sample_8902245",1+COUNTIFS($C$5:$C$546,$C17,$P$5:$P$546,"legacy_common_sample_8902245",$I$5:$I$546,"&gt;"&amp;$I17),"")</x:f>
        <x:v>13</x:v>
      </x:c>
      <x:c r="B17" t="str">
        <x:v>gtja_102</x:v>
      </x:c>
      <x:c r="C17" s="50" t="n">
        <x:v>1</x:v>
      </x:c>
      <x:c r="D17" t="str">
        <x:f>IF(E17&gt;=0,"positive","negative")</x:f>
        <x:v>negative</x:v>
      </x:c>
      <x:c r="E17" s="30" t="n">
        <x:v>-0.026220389903831815</x:v>
      </x:c>
      <x:c r="F17" s="30" t="n">
        <x:f>ABS(E17)</x:f>
        <x:v>0.026220389903831815</x:v>
      </x:c>
      <x:c r="G17" s="30" t="n">
        <x:v>0.09115886649878942</x:v>
      </x:c>
      <x:c r="H17" s="30" t="n">
        <x:v>-0.28763400545552</x:v>
      </x:c>
      <x:c r="I17" s="30" t="n">
        <x:f>ABS(H17)</x:f>
        <x:v>0.28763400545552</x:v>
      </x:c>
      <x:c r="J17" s="30" t="n">
        <x:v>0.3715</x:v>
      </x:c>
      <x:c r="K17" s="30" t="n">
        <x:v>-0.017823841472461105</x:v>
      </x:c>
      <x:c r="L17" s="30" t="n">
        <x:v>-0.21970461847223544</x:v>
      </x:c>
      <x:c r="M17" s="30" t="n">
        <x:v>0.391</x:v>
      </x:c>
      <x:c r="N17" s="19" t="n">
        <x:v>2000</x:v>
      </x:c>
      <x:c r="O17" t="b">
        <x:f>P17="legacy_common_sample_8902245"</x:f>
        <x:v>1</x:v>
      </x:c>
      <x:c r="P17" t="str">
        <x:v>legacy_common_sample_8902245</x:v>
      </x:c>
      <x:c r="Q17" s="74" t="n">
        <x:v>46210.58357934028</x:v>
      </x:c>
      <x:c r="R17" s="19" t="n">
        <x:v>8902245</x:v>
      </x:c>
      <x:c r="S17" t="str">
        <x:v>40355b29bce094aef0e99358bdfd4011b92e72a54440a67760de4afae4883c33</x:v>
      </x:c>
      <x:c r="T17" t="str">
        <x:v>factor_report/gtja191_batch/gtja_102/ic_summary.csv</x:v>
      </x:c>
    </x:row>
    <x:row r="18">
      <x:c r="A18" s="50" t="n">
        <x:f>IF($P18="legacy_common_sample_8902245",1+COUNTIFS($C$5:$C$546,$C18,$P$5:$P$546,"legacy_common_sample_8902245",$I$5:$I$546,"&gt;"&amp;$I18),"")</x:f>
        <x:v>14</x:v>
      </x:c>
      <x:c r="B18" t="str">
        <x:v>gtja_145</x:v>
      </x:c>
      <x:c r="C18" s="50" t="n">
        <x:v>1</x:v>
      </x:c>
      <x:c r="D18" t="str">
        <x:f>IF(E18&gt;=0,"positive","negative")</x:f>
        <x:v>negative</x:v>
      </x:c>
      <x:c r="E18" s="30" t="n">
        <x:v>-0.026752473392600208</x:v>
      </x:c>
      <x:c r="F18" s="30" t="n">
        <x:f>ABS(E18)</x:f>
        <x:v>0.026752473392600208</x:v>
      </x:c>
      <x:c r="G18" s="30" t="n">
        <x:v>0.09598785734933771</x:v>
      </x:c>
      <x:c r="H18" s="30" t="n">
        <x:v>-0.278706850338761</x:v>
      </x:c>
      <x:c r="I18" s="30" t="n">
        <x:f>ABS(H18)</x:f>
        <x:v>0.278706850338761</x:v>
      </x:c>
      <x:c r="J18" s="30" t="n">
        <x:v>0.3695</x:v>
      </x:c>
      <x:c r="K18" s="30" t="n">
        <x:v>-0.01018377917281905</x:v>
      </x:c>
      <x:c r="L18" s="30" t="n">
        <x:v>-0.12400826333178609</x:v>
      </x:c>
      <x:c r="M18" s="30" t="n">
        <x:v>0.4245</x:v>
      </x:c>
      <x:c r="N18" s="19" t="n">
        <x:v>2000</x:v>
      </x:c>
      <x:c r="O18" t="b">
        <x:f>P18="legacy_common_sample_8902245"</x:f>
        <x:v>1</x:v>
      </x:c>
      <x:c r="P18" t="str">
        <x:v>legacy_common_sample_8902245</x:v>
      </x:c>
      <x:c r="Q18" s="74" t="n">
        <x:v>46210.79587657408</x:v>
      </x:c>
      <x:c r="R18" s="19" t="n">
        <x:v>8902245</x:v>
      </x:c>
      <x:c r="S18" t="str">
        <x:v>40355b29bce094aef0e99358bdfd4011b92e72a54440a67760de4afae4883c33</x:v>
      </x:c>
      <x:c r="T18" t="str">
        <x:v>factor_report/gtja191_batch/gtja_145/ic_summary.csv</x:v>
      </x:c>
    </x:row>
    <x:row r="19">
      <x:c r="A19" s="50" t="n">
        <x:f>IF($P19="legacy_common_sample_8902245",1+COUNTIFS($C$5:$C$546,$C19,$P$5:$P$546,"legacy_common_sample_8902245",$I$5:$I$546,"&gt;"&amp;$I19),"")</x:f>
        <x:v>15</x:v>
      </x:c>
      <x:c r="B19" t="str">
        <x:v>gtja_100</x:v>
      </x:c>
      <x:c r="C19" s="50" t="n">
        <x:v>1</x:v>
      </x:c>
      <x:c r="D19" t="str">
        <x:f>IF(E19&gt;=0,"positive","negative")</x:f>
        <x:v>negative</x:v>
      </x:c>
      <x:c r="E19" s="30" t="n">
        <x:v>-0.031128903404202553</x:v>
      </x:c>
      <x:c r="F19" s="30" t="n">
        <x:f>ABS(E19)</x:f>
        <x:v>0.031128903404202553</x:v>
      </x:c>
      <x:c r="G19" s="30" t="n">
        <x:v>0.1131469466346593</x:v>
      </x:c>
      <x:c r="H19" s="30" t="n">
        <x:v>-0.27511925270696713</x:v>
      </x:c>
      <x:c r="I19" s="30" t="n">
        <x:f>ABS(H19)</x:f>
        <x:v>0.27511925270696713</x:v>
      </x:c>
      <x:c r="J19" s="30" t="n">
        <x:v>0.3785</x:v>
      </x:c>
      <x:c r="K19" s="30" t="n">
        <x:v>-0.011241422894140748</x:v>
      </x:c>
      <x:c r="L19" s="30" t="n">
        <x:v>-0.15360598792063915</x:v>
      </x:c>
      <x:c r="M19" s="30" t="n">
        <x:v>0.415</x:v>
      </x:c>
      <x:c r="N19" s="19" t="n">
        <x:v>2000</x:v>
      </x:c>
      <x:c r="O19" t="b">
        <x:f>P19="legacy_common_sample_8902245"</x:f>
        <x:v>1</x:v>
      </x:c>
      <x:c r="P19" t="str">
        <x:v>legacy_common_sample_8902245</x:v>
      </x:c>
      <x:c r="Q19" s="74" t="n">
        <x:v>46210.57471123843</x:v>
      </x:c>
      <x:c r="R19" s="19" t="n">
        <x:v>8902245</x:v>
      </x:c>
      <x:c r="S19" t="str">
        <x:v>40355b29bce094aef0e99358bdfd4011b92e72a54440a67760de4afae4883c33</x:v>
      </x:c>
      <x:c r="T19" t="str">
        <x:v>factor_report/gtja191_batch/gtja_100/ic_summary.csv</x:v>
      </x:c>
    </x:row>
    <x:row r="20">
      <x:c r="A20" s="50" t="n">
        <x:f>IF($P20="legacy_common_sample_8902245",1+COUNTIFS($C$5:$C$546,$C20,$P$5:$P$546,"legacy_common_sample_8902245",$I$5:$I$546,"&gt;"&amp;$I20),"")</x:f>
        <x:v>16</x:v>
      </x:c>
      <x:c r="B20" t="str">
        <x:v>gtja_132</x:v>
      </x:c>
      <x:c r="C20" s="50" t="n">
        <x:v>1</x:v>
      </x:c>
      <x:c r="D20" t="str">
        <x:f>IF(E20&gt;=0,"positive","negative")</x:f>
        <x:v>negative</x:v>
      </x:c>
      <x:c r="E20" s="30" t="n">
        <x:v>-0.0400158329627083</x:v>
      </x:c>
      <x:c r="F20" s="30" t="n">
        <x:f>ABS(E20)</x:f>
        <x:v>0.0400158329627083</x:v>
      </x:c>
      <x:c r="G20" s="30" t="n">
        <x:v>0.15018213885727624</x:v>
      </x:c>
      <x:c r="H20" s="30" t="n">
        <x:v>-0.26644868202827277</x:v>
      </x:c>
      <x:c r="I20" s="30" t="n">
        <x:f>ABS(H20)</x:f>
        <x:v>0.26644868202827277</x:v>
      </x:c>
      <x:c r="J20" s="30" t="n">
        <x:v>0.3785</x:v>
      </x:c>
      <x:c r="K20" s="30" t="n">
        <x:v>-0.007589614799529723</x:v>
      </x:c>
      <x:c r="L20" s="30" t="n">
        <x:v>-0.07921712851025402</x:v>
      </x:c>
      <x:c r="M20" s="30" t="n">
        <x:v>0.4575</x:v>
      </x:c>
      <x:c r="N20" s="19" t="n">
        <x:v>2000</x:v>
      </x:c>
      <x:c r="O20" t="b">
        <x:f>P20="legacy_common_sample_8902245"</x:f>
        <x:v>1</x:v>
      </x:c>
      <x:c r="P20" t="str">
        <x:v>legacy_common_sample_8902245</x:v>
      </x:c>
      <x:c r="Q20" s="74" t="n">
        <x:v>46210.73378372685</x:v>
      </x:c>
      <x:c r="R20" s="19" t="n">
        <x:v>8902245</x:v>
      </x:c>
      <x:c r="S20" t="str">
        <x:v>40355b29bce094aef0e99358bdfd4011b92e72a54440a67760de4afae4883c33</x:v>
      </x:c>
      <x:c r="T20" t="str">
        <x:v>factor_report/gtja191_batch/gtja_132/ic_summary.csv</x:v>
      </x:c>
    </x:row>
    <x:row r="21">
      <x:c r="A21" s="50" t="n">
        <x:f>IF($P21="legacy_common_sample_8902245",1+COUNTIFS($C$5:$C$546,$C21,$P$5:$P$546,"legacy_common_sample_8902245",$I$5:$I$546,"&gt;"&amp;$I21),"")</x:f>
        <x:v>17</x:v>
      </x:c>
      <x:c r="B21" t="str">
        <x:v>gtja_167</x:v>
      </x:c>
      <x:c r="C21" s="50" t="n">
        <x:v>1</x:v>
      </x:c>
      <x:c r="D21" t="str">
        <x:f>IF(E21&gt;=0,"positive","negative")</x:f>
        <x:v>negative</x:v>
      </x:c>
      <x:c r="E21" s="30" t="n">
        <x:v>-0.043729670941198354</x:v>
      </x:c>
      <x:c r="F21" s="30" t="n">
        <x:f>ABS(E21)</x:f>
        <x:v>0.043729670941198354</x:v>
      </x:c>
      <x:c r="G21" s="30" t="n">
        <x:v>0.17407929196414548</x:v>
      </x:c>
      <x:c r="H21" s="30" t="n">
        <x:v>-0.25120547336672994</x:v>
      </x:c>
      <x:c r="I21" s="30" t="n">
        <x:f>ABS(H21)</x:f>
        <x:v>0.25120547336672994</x:v>
      </x:c>
      <x:c r="J21" s="30" t="n">
        <x:v>0.402</x:v>
      </x:c>
      <x:c r="K21" s="30" t="n">
        <x:v>-0.010245247295683754</x:v>
      </x:c>
      <x:c r="L21" s="30" t="n">
        <x:v>-0.09454545554111446</x:v>
      </x:c>
      <x:c r="M21" s="30" t="n">
        <x:v>0.457</x:v>
      </x:c>
      <x:c r="N21" s="19" t="n">
        <x:v>2000</x:v>
      </x:c>
      <x:c r="O21" t="b">
        <x:f>P21="legacy_common_sample_8902245"</x:f>
        <x:v>1</x:v>
      </x:c>
      <x:c r="P21" t="str">
        <x:v>legacy_common_sample_8902245</x:v>
      </x:c>
      <x:c r="Q21" s="74" t="n">
        <x:v>46210.888780636575</x:v>
      </x:c>
      <x:c r="R21" s="19" t="n">
        <x:v>8902245</x:v>
      </x:c>
      <x:c r="S21" t="str">
        <x:v>40355b29bce094aef0e99358bdfd4011b92e72a54440a67760de4afae4883c33</x:v>
      </x:c>
      <x:c r="T21" t="str">
        <x:v>factor_report/gtja191_batch/gtja_167/ic_summary.csv</x:v>
      </x:c>
    </x:row>
    <x:row r="22">
      <x:c r="A22" s="50" t="n">
        <x:f>IF($P22="legacy_common_sample_8902245",1+COUNTIFS($C$5:$C$546,$C22,$P$5:$P$546,"legacy_common_sample_8902245",$I$5:$I$546,"&gt;"&amp;$I22),"")</x:f>
        <x:v>18</x:v>
      </x:c>
      <x:c r="B22" t="str">
        <x:v>gtja_110</x:v>
      </x:c>
      <x:c r="C22" s="50" t="n">
        <x:v>1</x:v>
      </x:c>
      <x:c r="D22" t="str">
        <x:f>IF(E22&gt;=0,"positive","negative")</x:f>
        <x:v>negative</x:v>
      </x:c>
      <x:c r="E22" s="30" t="n">
        <x:v>-0.031266266000029894</x:v>
      </x:c>
      <x:c r="F22" s="30" t="n">
        <x:f>ABS(E22)</x:f>
        <x:v>0.031266266000029894</x:v>
      </x:c>
      <x:c r="G22" s="30" t="n">
        <x:v>0.12816456054666622</x:v>
      </x:c>
      <x:c r="H22" s="30" t="n">
        <x:v>-0.24395406863385982</x:v>
      </x:c>
      <x:c r="I22" s="30" t="n">
        <x:f>ABS(H22)</x:f>
        <x:v>0.24395406863385982</x:v>
      </x:c>
      <x:c r="J22" s="30" t="n">
        <x:v>0.399</x:v>
      </x:c>
      <x:c r="K22" s="30" t="n">
        <x:v>-0.007436050582305297</x:v>
      </x:c>
      <x:c r="L22" s="30" t="n">
        <x:v>-0.06334383159964369</x:v>
      </x:c>
      <x:c r="M22" s="30" t="n">
        <x:v>0.4705</x:v>
      </x:c>
      <x:c r="N22" s="19" t="n">
        <x:v>2000</x:v>
      </x:c>
      <x:c r="O22" t="b">
        <x:f>P22="legacy_common_sample_8902245"</x:f>
        <x:v>1</x:v>
      </x:c>
      <x:c r="P22" t="str">
        <x:v>legacy_common_sample_8902245</x:v>
      </x:c>
      <x:c r="Q22" s="74" t="n">
        <x:v>46210.616483287034</x:v>
      </x:c>
      <x:c r="R22" s="19" t="n">
        <x:v>8902245</x:v>
      </x:c>
      <x:c r="S22" t="str">
        <x:v>40355b29bce094aef0e99358bdfd4011b92e72a54440a67760de4afae4883c33</x:v>
      </x:c>
      <x:c r="T22" t="str">
        <x:v>factor_report/gtja191_batch/gtja_110/ic_summary.csv</x:v>
      </x:c>
    </x:row>
    <x:row r="23">
      <x:c r="A23" s="50" t="n">
        <x:f>IF($P23="legacy_common_sample_8902245",1+COUNTIFS($C$5:$C$546,$C23,$P$5:$P$546,"legacy_common_sample_8902245",$I$5:$I$546,"&gt;"&amp;$I23),"")</x:f>
        <x:v>19</x:v>
      </x:c>
      <x:c r="B23" t="str">
        <x:v>gtja_069</x:v>
      </x:c>
      <x:c r="C23" s="50" t="n">
        <x:v>1</x:v>
      </x:c>
      <x:c r="D23" t="str">
        <x:f>IF(E23&gt;=0,"positive","negative")</x:f>
        <x:v>negative</x:v>
      </x:c>
      <x:c r="E23" s="30" t="n">
        <x:v>-0.030441659233196375</x:v>
      </x:c>
      <x:c r="F23" s="30" t="n">
        <x:f>ABS(E23)</x:f>
        <x:v>0.030441659233196375</x:v>
      </x:c>
      <x:c r="G23" s="30" t="n">
        <x:v>0.12512176049267262</x:v>
      </x:c>
      <x:c r="H23" s="30" t="n">
        <x:v>-0.24329628286343605</x:v>
      </x:c>
      <x:c r="I23" s="30" t="n">
        <x:f>ABS(H23)</x:f>
        <x:v>0.24329628286343605</x:v>
      </x:c>
      <x:c r="J23" s="30" t="n">
        <x:v>0.396</x:v>
      </x:c>
      <x:c r="K23" s="30" t="n">
        <x:v>-0.00688206131399582</x:v>
      </x:c>
      <x:c r="L23" s="30" t="n">
        <x:v>-0.06350598207802377</x:v>
      </x:c>
      <x:c r="M23" s="30" t="n">
        <x:v>0.474</x:v>
      </x:c>
      <x:c r="N23" s="19" t="n">
        <x:v>2000</x:v>
      </x:c>
      <x:c r="O23" t="b">
        <x:f>P23="legacy_common_sample_8902245"</x:f>
        <x:v>1</x:v>
      </x:c>
      <x:c r="P23" t="str">
        <x:v>legacy_common_sample_8902245</x:v>
      </x:c>
      <x:c r="Q23" s="74" t="n">
        <x:v>46210.41218387731</x:v>
      </x:c>
      <x:c r="R23" s="19" t="n">
        <x:v>8902245</x:v>
      </x:c>
      <x:c r="S23" t="str">
        <x:v>40355b29bce094aef0e99358bdfd4011b92e72a54440a67760de4afae4883c33</x:v>
      </x:c>
      <x:c r="T23" t="str">
        <x:v>factor_report/gtja191_batch/gtja_069/ic_summary.csv</x:v>
      </x:c>
    </x:row>
    <x:row r="24">
      <x:c r="A24" s="50" t="n">
        <x:f>IF($P24="legacy_common_sample_8902245",1+COUNTIFS($C$5:$C$546,$C24,$P$5:$P$546,"legacy_common_sample_8902245",$I$5:$I$546,"&gt;"&amp;$I24),"")</x:f>
        <x:v>20</x:v>
      </x:c>
      <x:c r="B24" t="str">
        <x:v>gtja_067</x:v>
      </x:c>
      <x:c r="C24" s="50" t="n">
        <x:v>1</x:v>
      </x:c>
      <x:c r="D24" t="str">
        <x:f>IF(E24&gt;=0,"positive","negative")</x:f>
        <x:v>negative</x:v>
      </x:c>
      <x:c r="E24" s="30" t="n">
        <x:v>-0.035647739055671576</x:v>
      </x:c>
      <x:c r="F24" s="30" t="n">
        <x:f>ABS(E24)</x:f>
        <x:v>0.035647739055671576</x:v>
      </x:c>
      <x:c r="G24" s="30" t="n">
        <x:v>0.14958333458616965</x:v>
      </x:c>
      <x:c r="H24" s="30" t="n">
        <x:v>-0.23831357386364574</x:v>
      </x:c>
      <x:c r="I24" s="30" t="n">
        <x:f>ABS(H24)</x:f>
        <x:v>0.23831357386364574</x:v>
      </x:c>
      <x:c r="J24" s="30" t="n">
        <x:v>0.3945</x:v>
      </x:c>
      <x:c r="K24" s="30" t="n">
        <x:v>-0.009099926710409718</x:v>
      </x:c>
      <x:c r="L24" s="30" t="n">
        <x:v>-0.07241519305103059</x:v>
      </x:c>
      <x:c r="M24" s="30" t="n">
        <x:v>0.4785</x:v>
      </x:c>
      <x:c r="N24" s="19" t="n">
        <x:v>2000</x:v>
      </x:c>
      <x:c r="O24" t="b">
        <x:f>P24="legacy_common_sample_8902245"</x:f>
        <x:v>1</x:v>
      </x:c>
      <x:c r="P24" t="str">
        <x:v>legacy_common_sample_8902245</x:v>
      </x:c>
      <x:c r="Q24" s="74" t="n">
        <x:v>46210.40343721065</x:v>
      </x:c>
      <x:c r="R24" s="19" t="n">
        <x:v>8902245</x:v>
      </x:c>
      <x:c r="S24" t="str">
        <x:v>40355b29bce094aef0e99358bdfd4011b92e72a54440a67760de4afae4883c33</x:v>
      </x:c>
      <x:c r="T24" t="str">
        <x:v>factor_report/gtja191_batch/gtja_067/ic_summary.csv</x:v>
      </x:c>
    </x:row>
    <x:row r="25">
      <x:c r="A25" s="50" t="n">
        <x:f>IF($P25="legacy_common_sample_8902245",1+COUNTIFS($C$5:$C$546,$C25,$P$5:$P$546,"legacy_common_sample_8902245",$I$5:$I$546,"&gt;"&amp;$I25),"")</x:f>
        <x:v>21</x:v>
      </x:c>
      <x:c r="B25" t="str">
        <x:v>gtja_052</x:v>
      </x:c>
      <x:c r="C25" s="50" t="n">
        <x:v>1</x:v>
      </x:c>
      <x:c r="D25" t="str">
        <x:f>IF(E25&gt;=0,"positive","negative")</x:f>
        <x:v>negative</x:v>
      </x:c>
      <x:c r="E25" s="30" t="n">
        <x:v>-0.034557619492661715</x:v>
      </x:c>
      <x:c r="F25" s="30" t="n">
        <x:f>ABS(E25)</x:f>
        <x:v>0.034557619492661715</x:v>
      </x:c>
      <x:c r="G25" s="30" t="n">
        <x:v>0.14582751862192847</x:v>
      </x:c>
      <x:c r="H25" s="30" t="n">
        <x:v>-0.2369759824430366</x:v>
      </x:c>
      <x:c r="I25" s="30" t="n">
        <x:f>ABS(H25)</x:f>
        <x:v>0.2369759824430366</x:v>
      </x:c>
      <x:c r="J25" s="30" t="n">
        <x:v>0.3965</x:v>
      </x:c>
      <x:c r="K25" s="30" t="n">
        <x:v>-0.011970176895169264</x:v>
      </x:c>
      <x:c r="L25" s="30" t="n">
        <x:v>-0.09017301220491196</x:v>
      </x:c>
      <x:c r="M25" s="30" t="n">
        <x:v>0.4625</x:v>
      </x:c>
      <x:c r="N25" s="19" t="n">
        <x:v>2000</x:v>
      </x:c>
      <x:c r="O25" t="b">
        <x:f>P25="legacy_common_sample_8902245"</x:f>
        <x:v>1</x:v>
      </x:c>
      <x:c r="P25" t="str">
        <x:v>legacy_common_sample_8902245</x:v>
      </x:c>
      <x:c r="Q25" s="74" t="n">
        <x:v>46210.3353965162</x:v>
      </x:c>
      <x:c r="R25" s="19" t="n">
        <x:v>8902245</x:v>
      </x:c>
      <x:c r="S25" t="str">
        <x:v>40355b29bce094aef0e99358bdfd4011b92e72a54440a67760de4afae4883c33</x:v>
      </x:c>
      <x:c r="T25" t="str">
        <x:v>factor_report/gtja191_batch/gtja_052/ic_summary.csv</x:v>
      </x:c>
    </x:row>
    <x:row r="26">
      <x:c r="A26" s="50" t="n">
        <x:f>IF($P26="legacy_common_sample_8902245",1+COUNTIFS($C$5:$C$546,$C26,$P$5:$P$546,"legacy_common_sample_8902245",$I$5:$I$546,"&gt;"&amp;$I26),"")</x:f>
        <x:v>22</x:v>
      </x:c>
      <x:c r="B26" t="str">
        <x:v>gtja_071</x:v>
      </x:c>
      <x:c r="C26" s="50" t="n">
        <x:v>1</x:v>
      </x:c>
      <x:c r="D26" t="str">
        <x:f>IF(E26&gt;=0,"positive","negative")</x:f>
        <x:v>negative</x:v>
      </x:c>
      <x:c r="E26" s="30" t="n">
        <x:v>-0.03785381980874199</x:v>
      </x:c>
      <x:c r="F26" s="30" t="n">
        <x:f>ABS(E26)</x:f>
        <x:v>0.03785381980874199</x:v>
      </x:c>
      <x:c r="G26" s="30" t="n">
        <x:v>0.15973970365290074</x:v>
      </x:c>
      <x:c r="H26" s="30" t="n">
        <x:v>-0.23697189204128458</x:v>
      </x:c>
      <x:c r="I26" s="30" t="n">
        <x:f>ABS(H26)</x:f>
        <x:v>0.23697189204128458</x:v>
      </x:c>
      <x:c r="J26" s="30" t="n">
        <x:v>0.3955</x:v>
      </x:c>
      <x:c r="K26" s="30" t="n">
        <x:v>-0.020280660976957413</x:v>
      </x:c>
      <x:c r="L26" s="30" t="n">
        <x:v>-0.14110476035776934</x:v>
      </x:c>
      <x:c r="M26" s="30" t="n">
        <x:v>0.4255</x:v>
      </x:c>
      <x:c r="N26" s="19" t="n">
        <x:v>2000</x:v>
      </x:c>
      <x:c r="O26" t="b">
        <x:f>P26="legacy_common_sample_8902245"</x:f>
        <x:v>1</x:v>
      </x:c>
      <x:c r="P26" t="str">
        <x:v>legacy_common_sample_8902245</x:v>
      </x:c>
      <x:c r="Q26" s="74" t="n">
        <x:v>46210.420358854164</x:v>
      </x:c>
      <x:c r="R26" s="19" t="n">
        <x:v>8902245</x:v>
      </x:c>
      <x:c r="S26" t="str">
        <x:v>40355b29bce094aef0e99358bdfd4011b92e72a54440a67760de4afae4883c33</x:v>
      </x:c>
      <x:c r="T26" t="str">
        <x:v>factor_report/gtja191_batch/gtja_071/ic_summary.csv</x:v>
      </x:c>
    </x:row>
    <x:row r="27">
      <x:c r="A27" s="50" t="n">
        <x:f>IF($P27="legacy_common_sample_8902245",1+COUNTIFS($C$5:$C$546,$C27,$P$5:$P$546,"legacy_common_sample_8902245",$I$5:$I$546,"&gt;"&amp;$I27),"")</x:f>
        <x:v>23</x:v>
      </x:c>
      <x:c r="B27" t="str">
        <x:v>gtja_084</x:v>
      </x:c>
      <x:c r="C27" s="50" t="n">
        <x:v>1</x:v>
      </x:c>
      <x:c r="D27" t="str">
        <x:f>IF(E27&gt;=0,"positive","negative")</x:f>
        <x:v>negative</x:v>
      </x:c>
      <x:c r="E27" s="30" t="n">
        <x:v>-0.024888335831821887</x:v>
      </x:c>
      <x:c r="F27" s="30" t="n">
        <x:f>ABS(E27)</x:f>
        <x:v>0.024888335831821887</x:v>
      </x:c>
      <x:c r="G27" s="30" t="n">
        <x:v>0.10509856385351185</x:v>
      </x:c>
      <x:c r="H27" s="30" t="n">
        <x:v>-0.23680947597449256</x:v>
      </x:c>
      <x:c r="I27" s="30" t="n">
        <x:f>ABS(H27)</x:f>
        <x:v>0.23680947597449256</x:v>
      </x:c>
      <x:c r="J27" s="30" t="n">
        <x:v>0.397</x:v>
      </x:c>
      <x:c r="K27" s="30" t="n">
        <x:v>-0.007512573786931507</x:v>
      </x:c>
      <x:c r="L27" s="30" t="n">
        <x:v>-0.10640567896172831</x:v>
      </x:c>
      <x:c r="M27" s="30" t="n">
        <x:v>0.4335</x:v>
      </x:c>
      <x:c r="N27" s="19" t="n">
        <x:v>2000</x:v>
      </x:c>
      <x:c r="O27" t="b">
        <x:f>P27="legacy_common_sample_8902245"</x:f>
        <x:v>1</x:v>
      </x:c>
      <x:c r="P27" t="str">
        <x:v>legacy_common_sample_8902245</x:v>
      </x:c>
      <x:c r="Q27" s="74" t="n">
        <x:v>46210.493655</x:v>
      </x:c>
      <x:c r="R27" s="19" t="n">
        <x:v>8902245</x:v>
      </x:c>
      <x:c r="S27" t="str">
        <x:v>40355b29bce094aef0e99358bdfd4011b92e72a54440a67760de4afae4883c33</x:v>
      </x:c>
      <x:c r="T27" t="str">
        <x:v>factor_report/gtja191_batch/gtja_084/ic_summary.csv</x:v>
      </x:c>
    </x:row>
    <x:row r="28">
      <x:c r="A28" s="50" t="n">
        <x:f>IF($P28="legacy_common_sample_8902245",1+COUNTIFS($C$5:$C$546,$C28,$P$5:$P$546,"legacy_common_sample_8902245",$I$5:$I$546,"&gt;"&amp;$I28),"")</x:f>
        <x:v>24</x:v>
      </x:c>
      <x:c r="B28" t="str">
        <x:v>gtja_134</x:v>
      </x:c>
      <x:c r="C28" s="50" t="n">
        <x:v>1</x:v>
      </x:c>
      <x:c r="D28" t="str">
        <x:f>IF(E28&gt;=0,"positive","negative")</x:f>
        <x:v>negative</x:v>
      </x:c>
      <x:c r="E28" s="30" t="n">
        <x:v>-0.029488529845635405</x:v>
      </x:c>
      <x:c r="F28" s="30" t="n">
        <x:f>ABS(E28)</x:f>
        <x:v>0.029488529845635405</x:v>
      </x:c>
      <x:c r="G28" s="30" t="n">
        <x:v>0.1253878288436997</x:v>
      </x:c>
      <x:c r="H28" s="30" t="n">
        <x:v>-0.2351785665129738</x:v>
      </x:c>
      <x:c r="I28" s="30" t="n">
        <x:f>ABS(H28)</x:f>
        <x:v>0.2351785665129738</x:v>
      </x:c>
      <x:c r="J28" s="30" t="n">
        <x:v>0.4075</x:v>
      </x:c>
      <x:c r="K28" s="30" t="n">
        <x:v>-0.016491744495058903</x:v>
      </x:c>
      <x:c r="L28" s="30" t="n">
        <x:v>-0.20362524381587088</x:v>
      </x:c>
      <x:c r="M28" s="30" t="n">
        <x:v>0.412</x:v>
      </x:c>
      <x:c r="N28" s="19" t="n">
        <x:v>2000</x:v>
      </x:c>
      <x:c r="O28" t="b">
        <x:f>P28="legacy_common_sample_8902245"</x:f>
        <x:v>1</x:v>
      </x:c>
      <x:c r="P28" t="str">
        <x:v>legacy_common_sample_8902245</x:v>
      </x:c>
      <x:c r="Q28" s="74" t="n">
        <x:v>46210.74197935185</x:v>
      </x:c>
      <x:c r="R28" s="19" t="n">
        <x:v>8902245</x:v>
      </x:c>
      <x:c r="S28" t="str">
        <x:v>40355b29bce094aef0e99358bdfd4011b92e72a54440a67760de4afae4883c33</x:v>
      </x:c>
      <x:c r="T28" t="str">
        <x:v>factor_report/gtja191_batch/gtja_134/ic_summary.csv</x:v>
      </x:c>
    </x:row>
    <x:row r="29">
      <x:c r="A29" s="50" t="n">
        <x:f>IF($P29="legacy_common_sample_8902245",1+COUNTIFS($C$5:$C$546,$C29,$P$5:$P$546,"legacy_common_sample_8902245",$I$5:$I$546,"&gt;"&amp;$I29),"")</x:f>
        <x:v>25</x:v>
      </x:c>
      <x:c r="B29" t="str">
        <x:v>gtja_088</x:v>
      </x:c>
      <x:c r="C29" s="50" t="n">
        <x:v>1</x:v>
      </x:c>
      <x:c r="D29" t="str">
        <x:f>IF(E29&gt;=0,"positive","negative")</x:f>
        <x:v>negative</x:v>
      </x:c>
      <x:c r="E29" s="30" t="n">
        <x:v>-0.03630489752719529</x:v>
      </x:c>
      <x:c r="F29" s="30" t="n">
        <x:f>ABS(E29)</x:f>
        <x:v>0.03630489752719529</x:v>
      </x:c>
      <x:c r="G29" s="30" t="n">
        <x:v>0.15507562969934033</x:v>
      </x:c>
      <x:c r="H29" s="30" t="n">
        <x:v>-0.23411091476838108</x:v>
      </x:c>
      <x:c r="I29" s="30" t="n">
        <x:f>ABS(H29)</x:f>
        <x:v>0.23411091476838108</x:v>
      </x:c>
      <x:c r="J29" s="30" t="n">
        <x:v>0.385</x:v>
      </x:c>
      <x:c r="K29" s="30" t="n">
        <x:v>-0.018325328660000823</x:v>
      </x:c>
      <x:c r="L29" s="30" t="n">
        <x:v>-0.13091256152019154</x:v>
      </x:c>
      <x:c r="M29" s="30" t="n">
        <x:v>0.438</x:v>
      </x:c>
      <x:c r="N29" s="19" t="n">
        <x:v>2000</x:v>
      </x:c>
      <x:c r="O29" t="b">
        <x:f>P29="legacy_common_sample_8902245"</x:f>
        <x:v>1</x:v>
      </x:c>
      <x:c r="P29" t="str">
        <x:v>legacy_common_sample_8902245</x:v>
      </x:c>
      <x:c r="Q29" s="74" t="n">
        <x:v>46210.51801505787</x:v>
      </x:c>
      <x:c r="R29" s="19" t="n">
        <x:v>8902245</x:v>
      </x:c>
      <x:c r="S29" t="str">
        <x:v>40355b29bce094aef0e99358bdfd4011b92e72a54440a67760de4afae4883c33</x:v>
      </x:c>
      <x:c r="T29" t="str">
        <x:v>factor_report/gtja191_batch/gtja_088/ic_summary.csv</x:v>
      </x:c>
    </x:row>
    <x:row r="30">
      <x:c r="A30" s="50" t="n">
        <x:f>IF($P30="legacy_common_sample_8902245",1+COUNTIFS($C$5:$C$546,$C30,$P$5:$P$546,"legacy_common_sample_8902245",$I$5:$I$546,"&gt;"&amp;$I30),"")</x:f>
        <x:v>26</x:v>
      </x:c>
      <x:c r="B30" t="str">
        <x:v>gtja_059</x:v>
      </x:c>
      <x:c r="C30" s="50" t="n">
        <x:v>1</x:v>
      </x:c>
      <x:c r="D30" t="str">
        <x:f>IF(E30&gt;=0,"positive","negative")</x:f>
        <x:v>negative</x:v>
      </x:c>
      <x:c r="E30" s="30" t="n">
        <x:v>-0.03241157048272622</x:v>
      </x:c>
      <x:c r="F30" s="30" t="n">
        <x:f>ABS(E30)</x:f>
        <x:v>0.03241157048272622</x:v>
      </x:c>
      <x:c r="G30" s="30" t="n">
        <x:v>0.13972536845984782</x:v>
      </x:c>
      <x:c r="H30" s="30" t="n">
        <x:v>-0.2319662552333163</x:v>
      </x:c>
      <x:c r="I30" s="30" t="n">
        <x:f>ABS(H30)</x:f>
        <x:v>0.2319662552333163</x:v>
      </x:c>
      <x:c r="J30" s="30" t="n">
        <x:v>0.39</x:v>
      </x:c>
      <x:c r="K30" s="30" t="n">
        <x:v>-0.011624692160520268</x:v>
      </x:c>
      <x:c r="L30" s="30" t="n">
        <x:v>-0.12421116458467438</x:v>
      </x:c>
      <x:c r="M30" s="30" t="n">
        <x:v>0.446</x:v>
      </x:c>
      <x:c r="N30" s="19" t="n">
        <x:v>2000</x:v>
      </x:c>
      <x:c r="O30" t="b">
        <x:f>P30="legacy_common_sample_8902245"</x:f>
        <x:v>1</x:v>
      </x:c>
      <x:c r="P30" t="str">
        <x:v>legacy_common_sample_8902245</x:v>
      </x:c>
      <x:c r="Q30" s="74" t="n">
        <x:v>46210.36786096065</x:v>
      </x:c>
      <x:c r="R30" s="19" t="n">
        <x:v>8902245</x:v>
      </x:c>
      <x:c r="S30" t="str">
        <x:v>40355b29bce094aef0e99358bdfd4011b92e72a54440a67760de4afae4883c33</x:v>
      </x:c>
      <x:c r="T30" t="str">
        <x:v>factor_report/gtja191_batch/gtja_059/ic_summary.csv</x:v>
      </x:c>
    </x:row>
    <x:row r="31">
      <x:c r="A31" s="50" t="n">
        <x:f>IF($P31="legacy_common_sample_8902245",1+COUNTIFS($C$5:$C$546,$C31,$P$5:$P$546,"legacy_common_sample_8902245",$I$5:$I$546,"&gt;"&amp;$I31),"")</x:f>
        <x:v>27</x:v>
      </x:c>
      <x:c r="B31" t="str">
        <x:v>gtja_040</x:v>
      </x:c>
      <x:c r="C31" s="50" t="n">
        <x:v>1</x:v>
      </x:c>
      <x:c r="D31" t="str">
        <x:f>IF(E31&gt;=0,"positive","negative")</x:f>
        <x:v>negative</x:v>
      </x:c>
      <x:c r="E31" s="30" t="n">
        <x:v>-0.02654794058961285</x:v>
      </x:c>
      <x:c r="F31" s="30" t="n">
        <x:f>ABS(E31)</x:f>
        <x:v>0.02654794058961285</x:v>
      </x:c>
      <x:c r="G31" s="30" t="n">
        <x:v>0.11509597492556027</x:v>
      </x:c>
      <x:c r="H31" s="30" t="n">
        <x:v>-0.23065915734049827</x:v>
      </x:c>
      <x:c r="I31" s="30" t="n">
        <x:f>ABS(H31)</x:f>
        <x:v>0.23065915734049827</x:v>
      </x:c>
      <x:c r="J31" s="30" t="n">
        <x:v>0.4045</x:v>
      </x:c>
      <x:c r="K31" s="30" t="n">
        <x:v>-0.010494424652590978</x:v>
      </x:c>
      <x:c r="L31" s="30" t="n">
        <x:v>-0.10273108969202392</x:v>
      </x:c>
      <x:c r="M31" s="30" t="n">
        <x:v>0.46</x:v>
      </x:c>
      <x:c r="N31" s="19" t="n">
        <x:v>2000</x:v>
      </x:c>
      <x:c r="O31" t="b">
        <x:f>P31="legacy_common_sample_8902245"</x:f>
        <x:v>1</x:v>
      </x:c>
      <x:c r="P31" t="str">
        <x:v>legacy_common_sample_8902245</x:v>
      </x:c>
      <x:c r="Q31" s="74" t="n">
        <x:v>46210.279919872686</x:v>
      </x:c>
      <x:c r="R31" s="19" t="n">
        <x:v>8902245</x:v>
      </x:c>
      <x:c r="S31" t="str">
        <x:v>40355b29bce094aef0e99358bdfd4011b92e72a54440a67760de4afae4883c33</x:v>
      </x:c>
      <x:c r="T31" t="str">
        <x:v>factor_report/gtja191_batch/gtja_040/ic_summary.csv</x:v>
      </x:c>
    </x:row>
    <x:row r="32">
      <x:c r="A32" s="50" t="n">
        <x:f>IF($P32="legacy_common_sample_8902245",1+COUNTIFS($C$5:$C$546,$C32,$P$5:$P$546,"legacy_common_sample_8902245",$I$5:$I$546,"&gt;"&amp;$I32),"")</x:f>
        <x:v>28</x:v>
      </x:c>
      <x:c r="B32" t="str">
        <x:v>gtja_094</x:v>
      </x:c>
      <x:c r="C32" s="50" t="n">
        <x:v>1</x:v>
      </x:c>
      <x:c r="D32" t="str">
        <x:f>IF(E32&gt;=0,"positive","negative")</x:f>
        <x:v>negative</x:v>
      </x:c>
      <x:c r="E32" s="30" t="n">
        <x:v>-0.02474907693028828</x:v>
      </x:c>
      <x:c r="F32" s="30" t="n">
        <x:f>ABS(E32)</x:f>
        <x:v>0.02474907693028828</x:v>
      </x:c>
      <x:c r="G32" s="30" t="n">
        <x:v>0.10761217584525566</x:v>
      </x:c>
      <x:c r="H32" s="30" t="n">
        <x:v>-0.22998398402311834</x:v>
      </x:c>
      <x:c r="I32" s="30" t="n">
        <x:f>ABS(H32)</x:f>
        <x:v>0.22998398402311834</x:v>
      </x:c>
      <x:c r="J32" s="30" t="n">
        <x:v>0.4005</x:v>
      </x:c>
      <x:c r="K32" s="30" t="n">
        <x:v>-0.0073811230723976485</x:v>
      </x:c>
      <x:c r="L32" s="30" t="n">
        <x:v>-0.10254288924970782</x:v>
      </x:c>
      <x:c r="M32" s="30" t="n">
        <x:v>0.448</x:v>
      </x:c>
      <x:c r="N32" s="19" t="n">
        <x:v>2000</x:v>
      </x:c>
      <x:c r="O32" t="b">
        <x:f>P32="legacy_common_sample_8902245"</x:f>
        <x:v>1</x:v>
      </x:c>
      <x:c r="P32" t="str">
        <x:v>legacy_common_sample_8902245</x:v>
      </x:c>
      <x:c r="Q32" s="74" t="n">
        <x:v>46210.54834915509</x:v>
      </x:c>
      <x:c r="R32" s="19" t="n">
        <x:v>8902245</x:v>
      </x:c>
      <x:c r="S32" t="str">
        <x:v>40355b29bce094aef0e99358bdfd4011b92e72a54440a67760de4afae4883c33</x:v>
      </x:c>
      <x:c r="T32" t="str">
        <x:v>factor_report/gtja191_batch/gtja_094/ic_summary.csv</x:v>
      </x:c>
    </x:row>
    <x:row r="33">
      <x:c r="A33" s="50" t="n">
        <x:f>IF($P33="legacy_common_sample_8902245",1+COUNTIFS($C$5:$C$546,$C33,$P$5:$P$546,"legacy_common_sample_8902245",$I$5:$I$546,"&gt;"&amp;$I33),"")</x:f>
        <x:v>29</x:v>
      </x:c>
      <x:c r="B33" t="str">
        <x:v>gtja_079</x:v>
      </x:c>
      <x:c r="C33" s="50" t="n">
        <x:v>1</x:v>
      </x:c>
      <x:c r="D33" t="str">
        <x:f>IF(E33&gt;=0,"positive","negative")</x:f>
        <x:v>negative</x:v>
      </x:c>
      <x:c r="E33" s="30" t="n">
        <x:v>-0.03433320624149432</x:v>
      </x:c>
      <x:c r="F33" s="30" t="n">
        <x:f>ABS(E33)</x:f>
        <x:v>0.03433320624149432</x:v>
      </x:c>
      <x:c r="G33" s="30" t="n">
        <x:v>0.14938255095224742</x:v>
      </x:c>
      <x:c r="H33" s="30" t="n">
        <x:v>-0.2298341139753966</x:v>
      </x:c>
      <x:c r="I33" s="30" t="n">
        <x:f>ABS(H33)</x:f>
        <x:v>0.2298341139753966</x:v>
      </x:c>
      <x:c r="J33" s="30" t="n">
        <x:v>0.398</x:v>
      </x:c>
      <x:c r="K33" s="30" t="n">
        <x:v>-0.009971956033441422</x:v>
      </x:c>
      <x:c r="L33" s="30" t="n">
        <x:v>-0.0765437624178984</x:v>
      </x:c>
      <x:c r="M33" s="30" t="n">
        <x:v>0.4675</x:v>
      </x:c>
      <x:c r="N33" s="19" t="n">
        <x:v>2000</x:v>
      </x:c>
      <x:c r="O33" t="b">
        <x:f>P33="legacy_common_sample_8902245"</x:f>
        <x:v>1</x:v>
      </x:c>
      <x:c r="P33" t="str">
        <x:v>legacy_common_sample_8902245</x:v>
      </x:c>
      <x:c r="Q33" s="74" t="n">
        <x:v>46210.47234655092</x:v>
      </x:c>
      <x:c r="R33" s="19" t="n">
        <x:v>8902245</x:v>
      </x:c>
      <x:c r="S33" t="str">
        <x:v>40355b29bce094aef0e99358bdfd4011b92e72a54440a67760de4afae4883c33</x:v>
      </x:c>
      <x:c r="T33" t="str">
        <x:v>factor_report/gtja191_batch/gtja_079/ic_summary.csv</x:v>
      </x:c>
    </x:row>
    <x:row r="34">
      <x:c r="A34" s="50" t="n">
        <x:f>IF($P34="legacy_common_sample_8902245",1+COUNTIFS($C$5:$C$546,$C34,$P$5:$P$546,"legacy_common_sample_8902245",$I$5:$I$546,"&gt;"&amp;$I34),"")</x:f>
        <x:v>30</x:v>
      </x:c>
      <x:c r="B34" t="str">
        <x:v>gtja_177</x:v>
      </x:c>
      <x:c r="C34" s="50" t="n">
        <x:v>1</x:v>
      </x:c>
      <x:c r="D34" t="str">
        <x:f>IF(E34&gt;=0,"positive","negative")</x:f>
        <x:v>negative</x:v>
      </x:c>
      <x:c r="E34" s="30" t="n">
        <x:v>-0.025157689246815995</x:v>
      </x:c>
      <x:c r="F34" s="30" t="n">
        <x:f>ABS(E34)</x:f>
        <x:v>0.025157689246815995</x:v>
      </x:c>
      <x:c r="G34" s="30" t="n">
        <x:v>0.11006671475413533</x:v>
      </x:c>
      <x:c r="H34" s="30" t="n">
        <x:v>-0.2285676401172934</x:v>
      </x:c>
      <x:c r="I34" s="30" t="n">
        <x:f>ABS(H34)</x:f>
        <x:v>0.2285676401172934</x:v>
      </x:c>
      <x:c r="J34" s="30" t="n">
        <x:v>0.395</x:v>
      </x:c>
      <x:c r="K34" s="30" t="n">
        <x:v>-0.008746127511925085</x:v>
      </x:c>
      <x:c r="L34" s="30" t="n">
        <x:v>-0.08791900450858085</x:v>
      </x:c>
      <x:c r="M34" s="30" t="n">
        <x:v>0.4635</x:v>
      </x:c>
      <x:c r="N34" s="19" t="n">
        <x:v>2000</x:v>
      </x:c>
      <x:c r="O34" t="b">
        <x:f>P34="legacy_common_sample_8902245"</x:f>
        <x:v>1</x:v>
      </x:c>
      <x:c r="P34" t="str">
        <x:v>legacy_common_sample_8902245</x:v>
      </x:c>
      <x:c r="Q34" s="74" t="n">
        <x:v>46210.93332200232</x:v>
      </x:c>
      <x:c r="R34" s="19" t="n">
        <x:v>8902245</x:v>
      </x:c>
      <x:c r="S34" t="str">
        <x:v>40355b29bce094aef0e99358bdfd4011b92e72a54440a67760de4afae4883c33</x:v>
      </x:c>
      <x:c r="T34" t="str">
        <x:v>factor_report/gtja191_batch/gtja_177/ic_summary.csv</x:v>
      </x:c>
    </x:row>
    <x:row r="35">
      <x:c r="A35" s="50" t="n">
        <x:f>IF($P35="legacy_common_sample_8902245",1+COUNTIFS($C$5:$C$546,$C35,$P$5:$P$546,"legacy_common_sample_8902245",$I$5:$I$546,"&gt;"&amp;$I35),"")</x:f>
        <x:v>31</x:v>
      </x:c>
      <x:c r="B35" t="str">
        <x:v>gtja_106</x:v>
      </x:c>
      <x:c r="C35" s="50" t="n">
        <x:v>1</x:v>
      </x:c>
      <x:c r="D35" t="str">
        <x:f>IF(E35&gt;=0,"positive","negative")</x:f>
        <x:v>negative</x:v>
      </x:c>
      <x:c r="E35" s="30" t="n">
        <x:v>-0.03326993748448418</x:v>
      </x:c>
      <x:c r="F35" s="30" t="n">
        <x:f>ABS(E35)</x:f>
        <x:v>0.03326993748448418</x:v>
      </x:c>
      <x:c r="G35" s="30" t="n">
        <x:v>0.14904942953497802</x:v>
      </x:c>
      <x:c r="H35" s="30" t="n">
        <x:v>-0.2232141215721768</x:v>
      </x:c>
      <x:c r="I35" s="30" t="n">
        <x:f>ABS(H35)</x:f>
        <x:v>0.2232141215721768</x:v>
      </x:c>
      <x:c r="J35" s="30" t="n">
        <x:v>0.397</x:v>
      </x:c>
      <x:c r="K35" s="30" t="n">
        <x:v>-0.009978226127687893</x:v>
      </x:c>
      <x:c r="L35" s="30" t="n">
        <x:v>-0.10237120257051785</x:v>
      </x:c>
      <x:c r="M35" s="30" t="n">
        <x:v>0.455</x:v>
      </x:c>
      <x:c r="N35" s="19" t="n">
        <x:v>2000</x:v>
      </x:c>
      <x:c r="O35" t="b">
        <x:f>P35="legacy_common_sample_8902245"</x:f>
        <x:v>1</x:v>
      </x:c>
      <x:c r="P35" t="str">
        <x:v>legacy_common_sample_8902245</x:v>
      </x:c>
      <x:c r="Q35" s="74" t="n">
        <x:v>46210.59962833333</x:v>
      </x:c>
      <x:c r="R35" s="19" t="n">
        <x:v>8902245</x:v>
      </x:c>
      <x:c r="S35" t="str">
        <x:v>40355b29bce094aef0e99358bdfd4011b92e72a54440a67760de4afae4883c33</x:v>
      </x:c>
      <x:c r="T35" t="str">
        <x:v>factor_report/gtja191_batch/gtja_106/ic_summary.csv</x:v>
      </x:c>
    </x:row>
    <x:row r="36">
      <x:c r="A36" s="50" t="n">
        <x:f>IF($P36="legacy_common_sample_8902245",1+COUNTIFS($C$5:$C$546,$C36,$P$5:$P$546,"legacy_common_sample_8902245",$I$5:$I$546,"&gt;"&amp;$I36),"")</x:f>
        <x:v>32</x:v>
      </x:c>
      <x:c r="B36" t="str">
        <x:v>gtja_187</x:v>
      </x:c>
      <x:c r="C36" s="50" t="n">
        <x:v>1</x:v>
      </x:c>
      <x:c r="D36" t="str">
        <x:f>IF(E36&gt;=0,"positive","negative")</x:f>
        <x:v>negative</x:v>
      </x:c>
      <x:c r="E36" s="30" t="n">
        <x:v>-0.04001399004176851</x:v>
      </x:c>
      <x:c r="F36" s="30" t="n">
        <x:f>ABS(E36)</x:f>
        <x:v>0.04001399004176851</x:v>
      </x:c>
      <x:c r="G36" s="30" t="n">
        <x:v>0.1792688518476856</x:v>
      </x:c>
      <x:c r="H36" s="30" t="n">
        <x:v>-0.22320659517452643</x:v>
      </x:c>
      <x:c r="I36" s="30" t="n">
        <x:f>ABS(H36)</x:f>
        <x:v>0.22320659517452643</x:v>
      </x:c>
      <x:c r="J36" s="30" t="n">
        <x:v>0.419</x:v>
      </x:c>
      <x:c r="K36" s="30" t="n">
        <x:v>-0.00795211804903487</x:v>
      </x:c>
      <x:c r="L36" s="30" t="n">
        <x:v>-0.07163887422752271</x:v>
      </x:c>
      <x:c r="M36" s="30" t="n">
        <x:v>0.4655</x:v>
      </x:c>
      <x:c r="N36" s="19" t="n">
        <x:v>2000</x:v>
      </x:c>
      <x:c r="O36" t="b">
        <x:f>P36="legacy_common_sample_8902245"</x:f>
        <x:v>1</x:v>
      </x:c>
      <x:c r="P36" t="str">
        <x:v>legacy_common_sample_8902245</x:v>
      </x:c>
      <x:c r="Q36" s="74" t="n">
        <x:v>46210.96675238426</x:v>
      </x:c>
      <x:c r="R36" s="19" t="n">
        <x:v>8902245</x:v>
      </x:c>
      <x:c r="S36" t="str">
        <x:v>40355b29bce094aef0e99358bdfd4011b92e72a54440a67760de4afae4883c33</x:v>
      </x:c>
      <x:c r="T36" t="str">
        <x:v>factor_report/gtja191_batch/gtja_187/ic_summary.csv</x:v>
      </x:c>
    </x:row>
    <x:row r="37">
      <x:c r="A37" s="50" t="n">
        <x:f>IF($P37="legacy_common_sample_8902245",1+COUNTIFS($C$5:$C$546,$C37,$P$5:$P$546,"legacy_common_sample_8902245",$I$5:$I$546,"&gt;"&amp;$I37),"")</x:f>
        <x:v>33</x:v>
      </x:c>
      <x:c r="B37" t="str">
        <x:v>gtja_175</x:v>
      </x:c>
      <x:c r="C37" s="50" t="n">
        <x:v>1</x:v>
      </x:c>
      <x:c r="D37" t="str">
        <x:f>IF(E37&gt;=0,"positive","negative")</x:f>
        <x:v>negative</x:v>
      </x:c>
      <x:c r="E37" s="30" t="n">
        <x:v>-0.04022078430442937</x:v>
      </x:c>
      <x:c r="F37" s="30" t="n">
        <x:f>ABS(E37)</x:f>
        <x:v>0.04022078430442937</x:v>
      </x:c>
      <x:c r="G37" s="30" t="n">
        <x:v>0.18180958226160174</x:v>
      </x:c>
      <x:c r="H37" s="30" t="n">
        <x:v>-0.22122477706679172</x:v>
      </x:c>
      <x:c r="I37" s="30" t="n">
        <x:f>ABS(H37)</x:f>
        <x:v>0.22122477706679172</x:v>
      </x:c>
      <x:c r="J37" s="30" t="n">
        <x:v>0.417</x:v>
      </x:c>
      <x:c r="K37" s="30" t="n">
        <x:v>-0.007850136118410603</x:v>
      </x:c>
      <x:c r="L37" s="30" t="n">
        <x:v>-0.06965039825477384</x:v>
      </x:c>
      <x:c r="M37" s="30" t="n">
        <x:v>0.4675</x:v>
      </x:c>
      <x:c r="N37" s="19" t="n">
        <x:v>2000</x:v>
      </x:c>
      <x:c r="O37" t="b">
        <x:f>P37="legacy_common_sample_8902245"</x:f>
        <x:v>1</x:v>
      </x:c>
      <x:c r="P37" t="str">
        <x:v>legacy_common_sample_8902245</x:v>
      </x:c>
      <x:c r="Q37" s="74" t="n">
        <x:v>46210.925217731485</x:v>
      </x:c>
      <x:c r="R37" s="19" t="n">
        <x:v>8902245</x:v>
      </x:c>
      <x:c r="S37" t="str">
        <x:v>40355b29bce094aef0e99358bdfd4011b92e72a54440a67760de4afae4883c33</x:v>
      </x:c>
      <x:c r="T37" t="str">
        <x:v>factor_report/gtja191_batch/gtja_175/ic_summary.csv</x:v>
      </x:c>
    </x:row>
    <x:row r="38">
      <x:c r="A38" s="50" t="n">
        <x:f>IF($P38="legacy_common_sample_8902245",1+COUNTIFS($C$5:$C$546,$C38,$P$5:$P$546,"legacy_common_sample_8902245",$I$5:$I$546,"&gt;"&amp;$I38),"")</x:f>
        <x:v>34</x:v>
      </x:c>
      <x:c r="B38" t="str">
        <x:v>gtja_081</x:v>
      </x:c>
      <x:c r="C38" s="50" t="n">
        <x:v>1</x:v>
      </x:c>
      <x:c r="D38" t="str">
        <x:f>IF(E38&gt;=0,"positive","negative")</x:f>
        <x:v>negative</x:v>
      </x:c>
      <x:c r="E38" s="30" t="n">
        <x:v>-0.025489884293183298</x:v>
      </x:c>
      <x:c r="F38" s="30" t="n">
        <x:f>ABS(E38)</x:f>
        <x:v>0.025489884293183298</x:v>
      </x:c>
      <x:c r="G38" s="30" t="n">
        <x:v>0.11596689355114129</x:v>
      </x:c>
      <x:c r="H38" s="30" t="n">
        <x:v>-0.2198031137390283</x:v>
      </x:c>
      <x:c r="I38" s="30" t="n">
        <x:f>ABS(H38)</x:f>
        <x:v>0.2198031137390283</x:v>
      </x:c>
      <x:c r="J38" s="30" t="n">
        <x:v>0.391</x:v>
      </x:c>
      <x:c r="K38" s="30" t="n">
        <x:v>-0.008877443711024611</x:v>
      </x:c>
      <x:c r="L38" s="30" t="n">
        <x:v>-0.11909017630271007</x:v>
      </x:c>
      <x:c r="M38" s="30" t="n">
        <x:v>0.4385</x:v>
      </x:c>
      <x:c r="N38" s="19" t="n">
        <x:v>2000</x:v>
      </x:c>
      <x:c r="O38" t="b">
        <x:f>P38="legacy_common_sample_8902245"</x:f>
        <x:v>1</x:v>
      </x:c>
      <x:c r="P38" t="str">
        <x:v>legacy_common_sample_8902245</x:v>
      </x:c>
      <x:c r="Q38" s="74" t="n">
        <x:v>46210.48091090278</x:v>
      </x:c>
      <x:c r="R38" s="19" t="n">
        <x:v>8902245</x:v>
      </x:c>
      <x:c r="S38" t="str">
        <x:v>40355b29bce094aef0e99358bdfd4011b92e72a54440a67760de4afae4883c33</x:v>
      </x:c>
      <x:c r="T38" t="str">
        <x:v>factor_report/gtja191_batch/gtja_081/ic_summary.csv</x:v>
      </x:c>
    </x:row>
    <x:row r="39">
      <x:c r="A39" s="50" t="n">
        <x:f>IF($P39="legacy_common_sample_8902245",1+COUNTIFS($C$5:$C$546,$C39,$P$5:$P$546,"legacy_common_sample_8902245",$I$5:$I$546,"&gt;"&amp;$I39),"")</x:f>
        <x:v>35</x:v>
      </x:c>
      <x:c r="B39" t="str">
        <x:v>gtja_128</x:v>
      </x:c>
      <x:c r="C39" s="50" t="n">
        <x:v>1</x:v>
      </x:c>
      <x:c r="D39" t="str">
        <x:f>IF(E39&gt;=0,"positive","negative")</x:f>
        <x:v>negative</x:v>
      </x:c>
      <x:c r="E39" s="30" t="n">
        <x:v>-0.02612050290307155</x:v>
      </x:c>
      <x:c r="F39" s="30" t="n">
        <x:f>ABS(E39)</x:f>
        <x:v>0.02612050290307155</x:v>
      </x:c>
      <x:c r="G39" s="30" t="n">
        <x:v>0.11913881159965799</x:v>
      </x:c>
      <x:c r="H39" s="30" t="n">
        <x:v>-0.21924427944475597</x:v>
      </x:c>
      <x:c r="I39" s="30" t="n">
        <x:f>ABS(H39)</x:f>
        <x:v>0.21924427944475597</x:v>
      </x:c>
      <x:c r="J39" s="30" t="n">
        <x:v>0.4125</x:v>
      </x:c>
      <x:c r="K39" s="30" t="n">
        <x:v>-0.007915514407803907</x:v>
      </x:c>
      <x:c r="L39" s="30" t="n">
        <x:v>-0.07498409100321042</x:v>
      </x:c>
      <x:c r="M39" s="30" t="n">
        <x:v>0.4725</x:v>
      </x:c>
      <x:c r="N39" s="19" t="n">
        <x:v>2000</x:v>
      </x:c>
      <x:c r="O39" t="b">
        <x:f>P39="legacy_common_sample_8902245"</x:f>
        <x:v>1</x:v>
      </x:c>
      <x:c r="P39" t="str">
        <x:v>legacy_common_sample_8902245</x:v>
      </x:c>
      <x:c r="Q39" s="74" t="n">
        <x:v>46210.71593150463</x:v>
      </x:c>
      <x:c r="R39" s="19" t="n">
        <x:v>8902245</x:v>
      </x:c>
      <x:c r="S39" t="str">
        <x:v>40355b29bce094aef0e99358bdfd4011b92e72a54440a67760de4afae4883c33</x:v>
      </x:c>
      <x:c r="T39" t="str">
        <x:v>factor_report/gtja191_batch/gtja_128/ic_summary.csv</x:v>
      </x:c>
    </x:row>
    <x:row r="40">
      <x:c r="A40" s="50" t="n">
        <x:f>IF($P40="legacy_common_sample_8902245",1+COUNTIFS($C$5:$C$546,$C40,$P$5:$P$546,"legacy_common_sample_8902245",$I$5:$I$546,"&gt;"&amp;$I40),"")</x:f>
        <x:v>36</x:v>
      </x:c>
      <x:c r="B40" t="str">
        <x:v>gtja_055</x:v>
      </x:c>
      <x:c r="C40" s="50" t="n">
        <x:v>1</x:v>
      </x:c>
      <x:c r="D40" t="str">
        <x:f>IF(E40&gt;=0,"positive","negative")</x:f>
        <x:v>negative</x:v>
      </x:c>
      <x:c r="E40" s="30" t="n">
        <x:v>-0.031998616247062475</x:v>
      </x:c>
      <x:c r="F40" s="30" t="n">
        <x:f>ABS(E40)</x:f>
        <x:v>0.031998616247062475</x:v>
      </x:c>
      <x:c r="G40" s="30" t="n">
        <x:v>0.14638556683580708</x:v>
      </x:c>
      <x:c r="H40" s="30" t="n">
        <x:v>-0.21859133341303807</x:v>
      </x:c>
      <x:c r="I40" s="30" t="n">
        <x:f>ABS(H40)</x:f>
        <x:v>0.21859133341303807</x:v>
      </x:c>
      <x:c r="J40" s="30" t="n">
        <x:v>0.4005</x:v>
      </x:c>
      <x:c r="K40" s="30" t="n">
        <x:v>-0.00948599926807126</x:v>
      </x:c>
      <x:c r="L40" s="30" t="n">
        <x:v>-0.09918056912942684</x:v>
      </x:c>
      <x:c r="M40" s="30" t="n">
        <x:v>0.4645</x:v>
      </x:c>
      <x:c r="N40" s="19" t="n">
        <x:v>2000</x:v>
      </x:c>
      <x:c r="O40" t="b">
        <x:f>P40="legacy_common_sample_8902245"</x:f>
        <x:v>1</x:v>
      </x:c>
      <x:c r="P40" t="str">
        <x:v>legacy_common_sample_8902245</x:v>
      </x:c>
      <x:c r="Q40" s="74" t="n">
        <x:v>46210.34754746528</x:v>
      </x:c>
      <x:c r="R40" s="19" t="n">
        <x:v>8902245</x:v>
      </x:c>
      <x:c r="S40" t="str">
        <x:v>40355b29bce094aef0e99358bdfd4011b92e72a54440a67760de4afae4883c33</x:v>
      </x:c>
      <x:c r="T40" t="str">
        <x:v>factor_report/gtja191_batch/gtja_055/ic_summary.csv</x:v>
      </x:c>
    </x:row>
    <x:row r="41">
      <x:c r="A41" s="50" t="n">
        <x:f>IF($P41="legacy_common_sample_8902245",1+COUNTIFS($C$5:$C$546,$C41,$P$5:$P$546,"legacy_common_sample_8902245",$I$5:$I$546,"&gt;"&amp;$I41),"")</x:f>
        <x:v>37</x:v>
      </x:c>
      <x:c r="B41" t="str">
        <x:v>gtja_029</x:v>
      </x:c>
      <x:c r="C41" s="50" t="n">
        <x:v>1</x:v>
      </x:c>
      <x:c r="D41" t="str">
        <x:f>IF(E41&gt;=0,"positive","negative")</x:f>
        <x:v>negative</x:v>
      </x:c>
      <x:c r="E41" s="30" t="n">
        <x:v>-0.027130118862266767</x:v>
      </x:c>
      <x:c r="F41" s="30" t="n">
        <x:f>ABS(E41)</x:f>
        <x:v>0.027130118862266767</x:v>
      </x:c>
      <x:c r="G41" s="30" t="n">
        <x:v>0.1242844145931604</x:v>
      </x:c>
      <x:c r="H41" s="30" t="n">
        <x:v>-0.2182905954143649</x:v>
      </x:c>
      <x:c r="I41" s="30" t="n">
        <x:f>ABS(H41)</x:f>
        <x:v>0.2182905954143649</x:v>
      </x:c>
      <x:c r="J41" s="30" t="n">
        <x:v>0.412</x:v>
      </x:c>
      <x:c r="K41" s="30" t="n">
        <x:v>-0.016923580052514417</x:v>
      </x:c>
      <x:c r="L41" s="30" t="n">
        <x:v>-0.2197756707613912</x:v>
      </x:c>
      <x:c r="M41" s="30" t="n">
        <x:v>0.4085</x:v>
      </x:c>
      <x:c r="N41" s="19" t="n">
        <x:v>2000</x:v>
      </x:c>
      <x:c r="O41" t="b">
        <x:f>P41="legacy_common_sample_8902245"</x:f>
        <x:v>1</x:v>
      </x:c>
      <x:c r="P41" t="str">
        <x:v>legacy_common_sample_8902245</x:v>
      </x:c>
      <x:c r="Q41" s="74" t="n">
        <x:v>46210.234402939815</x:v>
      </x:c>
      <x:c r="R41" s="19" t="n">
        <x:v>8902245</x:v>
      </x:c>
      <x:c r="S41" t="str">
        <x:v>40355b29bce094aef0e99358bdfd4011b92e72a54440a67760de4afae4883c33</x:v>
      </x:c>
      <x:c r="T41" t="str">
        <x:v>factor_report/gtja191_batch/gtja_029/ic_summary.csv</x:v>
      </x:c>
    </x:row>
    <x:row r="42">
      <x:c r="A42" s="50" t="n">
        <x:f>IF($P42="legacy_common_sample_8902245",1+COUNTIFS($C$5:$C$546,$C42,$P$5:$P$546,"legacy_common_sample_8902245",$I$5:$I$546,"&gt;"&amp;$I42),"")</x:f>
        <x:v>38</x:v>
      </x:c>
      <x:c r="B42" t="str">
        <x:v>gtja_027</x:v>
      </x:c>
      <x:c r="C42" s="50" t="n">
        <x:v>1</x:v>
      </x:c>
      <x:c r="D42" t="str">
        <x:f>IF(E42&gt;=0,"positive","negative")</x:f>
        <x:v>negative</x:v>
      </x:c>
      <x:c r="E42" s="30" t="n">
        <x:v>-0.03227867179282106</x:v>
      </x:c>
      <x:c r="F42" s="30" t="n">
        <x:f>ABS(E42)</x:f>
        <x:v>0.03227867179282106</x:v>
      </x:c>
      <x:c r="G42" s="30" t="n">
        <x:v>0.14999668735067814</x:v>
      </x:c>
      <x:c r="H42" s="30" t="n">
        <x:v>-0.21519589774243855</x:v>
      </x:c>
      <x:c r="I42" s="30" t="n">
        <x:f>ABS(H42)</x:f>
        <x:v>0.21519589774243855</x:v>
      </x:c>
      <x:c r="J42" s="30" t="n">
        <x:v>0.407</x:v>
      </x:c>
      <x:c r="K42" s="30" t="n">
        <x:v>-0.018439360893491387</x:v>
      </x:c>
      <x:c r="L42" s="30" t="n">
        <x:v>-0.1361362306129998</x:v>
      </x:c>
      <x:c r="M42" s="30" t="n">
        <x:v>0.4335</x:v>
      </x:c>
      <x:c r="N42" s="19" t="n">
        <x:v>2000</x:v>
      </x:c>
      <x:c r="O42" t="b">
        <x:f>P42="legacy_common_sample_8902245"</x:f>
        <x:v>1</x:v>
      </x:c>
      <x:c r="P42" t="str">
        <x:v>legacy_common_sample_8902245</x:v>
      </x:c>
      <x:c r="Q42" s="74" t="n">
        <x:v>46210.22519262732</x:v>
      </x:c>
      <x:c r="R42" s="19" t="n">
        <x:v>8902245</x:v>
      </x:c>
      <x:c r="S42" t="str">
        <x:v>40355b29bce094aef0e99358bdfd4011b92e72a54440a67760de4afae4883c33</x:v>
      </x:c>
      <x:c r="T42" t="str">
        <x:v>factor_report/gtja191_batch/gtja_027/ic_summary.csv</x:v>
      </x:c>
    </x:row>
    <x:row r="43">
      <x:c r="A43" s="50" t="n">
        <x:f>IF($P43="legacy_common_sample_8902245",1+COUNTIFS($C$5:$C$546,$C43,$P$5:$P$546,"legacy_common_sample_8902245",$I$5:$I$546,"&gt;"&amp;$I43),"")</x:f>
        <x:v>39</x:v>
      </x:c>
      <x:c r="B43" t="str">
        <x:v>gtja_051</x:v>
      </x:c>
      <x:c r="C43" s="50" t="n">
        <x:v>1</x:v>
      </x:c>
      <x:c r="D43" t="str">
        <x:f>IF(E43&gt;=0,"positive","negative")</x:f>
        <x:v>negative</x:v>
      </x:c>
      <x:c r="E43" s="30" t="n">
        <x:v>-0.028037087515120757</x:v>
      </x:c>
      <x:c r="F43" s="30" t="n">
        <x:f>ABS(E43)</x:f>
        <x:v>0.028037087515120757</x:v>
      </x:c>
      <x:c r="G43" s="30" t="n">
        <x:v>0.13160540462285888</x:v>
      </x:c>
      <x:c r="H43" s="30" t="n">
        <x:v>-0.21303902826382043</x:v>
      </x:c>
      <x:c r="I43" s="30" t="n">
        <x:f>ABS(H43)</x:f>
        <x:v>0.21303902826382043</x:v>
      </x:c>
      <x:c r="J43" s="30" t="n">
        <x:v>0.413</x:v>
      </x:c>
      <x:c r="K43" s="30" t="n">
        <x:v>-0.008180587749831277</x:v>
      </x:c>
      <x:c r="L43" s="30" t="n">
        <x:v>-0.07050628099361021</x:v>
      </x:c>
      <x:c r="M43" s="30" t="n">
        <x:v>0.467</x:v>
      </x:c>
      <x:c r="N43" s="19" t="n">
        <x:v>2000</x:v>
      </x:c>
      <x:c r="O43" t="b">
        <x:f>P43="legacy_common_sample_8902245"</x:f>
        <x:v>1</x:v>
      </x:c>
      <x:c r="P43" t="str">
        <x:v>legacy_common_sample_8902245</x:v>
      </x:c>
      <x:c r="Q43" s="74" t="n">
        <x:v>46210.33137918982</x:v>
      </x:c>
      <x:c r="R43" s="19" t="n">
        <x:v>8902245</x:v>
      </x:c>
      <x:c r="S43" t="str">
        <x:v>40355b29bce094aef0e99358bdfd4011b92e72a54440a67760de4afae4883c33</x:v>
      </x:c>
      <x:c r="T43" t="str">
        <x:v>factor_report/gtja191_batch/gtja_051/ic_summary.csv</x:v>
      </x:c>
    </x:row>
    <x:row r="44">
      <x:c r="A44" s="50" t="n">
        <x:f>IF($P44="legacy_common_sample_8902245",1+COUNTIFS($C$5:$C$546,$C44,$P$5:$P$546,"legacy_common_sample_8902245",$I$5:$I$546,"&gt;"&amp;$I44),"")</x:f>
        <x:v>40</x:v>
      </x:c>
      <x:c r="B44" t="str">
        <x:v>gtja_050</x:v>
      </x:c>
      <x:c r="C44" s="50" t="n">
        <x:v>1</x:v>
      </x:c>
      <x:c r="D44" t="str">
        <x:f>IF(E44&gt;=0,"positive","negative")</x:f>
        <x:v>negative</x:v>
      </x:c>
      <x:c r="E44" s="30" t="n">
        <x:v>-0.02803707925402884</x:v>
      </x:c>
      <x:c r="F44" s="30" t="n">
        <x:f>ABS(E44)</x:f>
        <x:v>0.02803707925402884</x:v>
      </x:c>
      <x:c r="G44" s="30" t="n">
        <x:v>0.1316053935240275</x:v>
      </x:c>
      <x:c r="H44" s="30" t="n">
        <x:v>-0.2130389834586076</x:v>
      </x:c>
      <x:c r="I44" s="30" t="n">
        <x:f>ABS(H44)</x:f>
        <x:v>0.2130389834586076</x:v>
      </x:c>
      <x:c r="J44" s="30" t="n">
        <x:v>0.413</x:v>
      </x:c>
      <x:c r="K44" s="30" t="n">
        <x:v>-0.008180587749831275</x:v>
      </x:c>
      <x:c r="L44" s="30" t="n">
        <x:v>-0.0705062809936102</x:v>
      </x:c>
      <x:c r="M44" s="30" t="n">
        <x:v>0.467</x:v>
      </x:c>
      <x:c r="N44" s="19" t="n">
        <x:v>2000</x:v>
      </x:c>
      <x:c r="O44" t="b">
        <x:f>P44="legacy_common_sample_8902245"</x:f>
        <x:v>1</x:v>
      </x:c>
      <x:c r="P44" t="str">
        <x:v>legacy_common_sample_8902245</x:v>
      </x:c>
      <x:c r="Q44" s="74" t="n">
        <x:v>46210.32673208333</x:v>
      </x:c>
      <x:c r="R44" s="19" t="n">
        <x:v>8902245</x:v>
      </x:c>
      <x:c r="S44" t="str">
        <x:v>40355b29bce094aef0e99358bdfd4011b92e72a54440a67760de4afae4883c33</x:v>
      </x:c>
      <x:c r="T44" t="str">
        <x:v>factor_report/gtja191_batch/gtja_050/ic_summary.csv</x:v>
      </x:c>
    </x:row>
    <x:row r="45">
      <x:c r="A45" s="50" t="n">
        <x:f>IF($P45="legacy_common_sample_8902245",1+COUNTIFS($C$5:$C$546,$C45,$P$5:$P$546,"legacy_common_sample_8902245",$I$5:$I$546,"&gt;"&amp;$I45),"")</x:f>
        <x:v>41</x:v>
      </x:c>
      <x:c r="B45" t="str">
        <x:v>gtja_043</x:v>
      </x:c>
      <x:c r="C45" s="50" t="n">
        <x:v>1</x:v>
      </x:c>
      <x:c r="D45" t="str">
        <x:f>IF(E45&gt;=0,"positive","negative")</x:f>
        <x:v>negative</x:v>
      </x:c>
      <x:c r="E45" s="30" t="n">
        <x:v>-0.02166618342519954</x:v>
      </x:c>
      <x:c r="F45" s="30" t="n">
        <x:f>ABS(E45)</x:f>
        <x:v>0.02166618342519954</x:v>
      </x:c>
      <x:c r="G45" s="30" t="n">
        <x:v>0.10211711171542187</x:v>
      </x:c>
      <x:c r="H45" s="30" t="n">
        <x:v>-0.21216995918939102</x:v>
      </x:c>
      <x:c r="I45" s="30" t="n">
        <x:f>ABS(H45)</x:f>
        <x:v>0.21216995918939102</x:v>
      </x:c>
      <x:c r="J45" s="30" t="n">
        <x:v>0.3975</x:v>
      </x:c>
      <x:c r="K45" s="30" t="n">
        <x:v>-0.007031632168815888</x:v>
      </x:c>
      <x:c r="L45" s="30" t="n">
        <x:v>-0.10648645438843025</x:v>
      </x:c>
      <x:c r="M45" s="30" t="n">
        <x:v>0.445</x:v>
      </x:c>
      <x:c r="N45" s="19" t="n">
        <x:v>2000</x:v>
      </x:c>
      <x:c r="O45" t="b">
        <x:f>P45="legacy_common_sample_8902245"</x:f>
        <x:v>1</x:v>
      </x:c>
      <x:c r="P45" t="str">
        <x:v>legacy_common_sample_8902245</x:v>
      </x:c>
      <x:c r="Q45" s="74" t="n">
        <x:v>46210.29250166666</x:v>
      </x:c>
      <x:c r="R45" s="19" t="n">
        <x:v>8902245</x:v>
      </x:c>
      <x:c r="S45" t="str">
        <x:v>40355b29bce094aef0e99358bdfd4011b92e72a54440a67760de4afae4883c33</x:v>
      </x:c>
      <x:c r="T45" t="str">
        <x:v>factor_report/gtja191_batch/gtja_043/ic_summary.csv</x:v>
      </x:c>
    </x:row>
    <x:row r="46">
      <x:c r="A46" s="50" t="n">
        <x:f>IF($P46="legacy_common_sample_8902245",1+COUNTIFS($C$5:$C$546,$C46,$P$5:$P$546,"legacy_common_sample_8902245",$I$5:$I$546,"&gt;"&amp;$I46),"")</x:f>
        <x:v>42</x:v>
      </x:c>
      <x:c r="B46" t="str">
        <x:v>gtja_031</x:v>
      </x:c>
      <x:c r="C46" s="50" t="n">
        <x:v>1</x:v>
      </x:c>
      <x:c r="D46" t="str">
        <x:f>IF(E46&gt;=0,"positive","negative")</x:f>
        <x:v>negative</x:v>
      </x:c>
      <x:c r="E46" s="30" t="n">
        <x:v>-0.0325941446144204</x:v>
      </x:c>
      <x:c r="F46" s="30" t="n">
        <x:f>ABS(E46)</x:f>
        <x:v>0.0325941446144204</x:v>
      </x:c>
      <x:c r="G46" s="30" t="n">
        <x:v>0.15404625245363318</x:v>
      </x:c>
      <x:c r="H46" s="30" t="n">
        <x:v>-0.21158674161340604</x:v>
      </x:c>
      <x:c r="I46" s="30" t="n">
        <x:f>ABS(H46)</x:f>
        <x:v>0.21158674161340604</x:v>
      </x:c>
      <x:c r="J46" s="30" t="n">
        <x:v>0.412</x:v>
      </x:c>
      <x:c r="K46" s="30" t="n">
        <x:v>-0.017912612109799345</x:v>
      </x:c>
      <x:c r="L46" s="30" t="n">
        <x:v>-0.13333214798287799</x:v>
      </x:c>
      <x:c r="M46" s="30" t="n">
        <x:v>0.44</x:v>
      </x:c>
      <x:c r="N46" s="19" t="n">
        <x:v>2000</x:v>
      </x:c>
      <x:c r="O46" t="b">
        <x:f>P46="legacy_common_sample_8902245"</x:f>
        <x:v>1</x:v>
      </x:c>
      <x:c r="P46" t="str">
        <x:v>legacy_common_sample_8902245</x:v>
      </x:c>
      <x:c r="Q46" s="74" t="n">
        <x:v>46210.23892871528</x:v>
      </x:c>
      <x:c r="R46" s="19" t="n">
        <x:v>8902245</x:v>
      </x:c>
      <x:c r="S46" t="str">
        <x:v>40355b29bce094aef0e99358bdfd4011b92e72a54440a67760de4afae4883c33</x:v>
      </x:c>
      <x:c r="T46" t="str">
        <x:v>factor_report/gtja191_batch/gtja_031/ic_summary.csv</x:v>
      </x:c>
    </x:row>
    <x:row r="47">
      <x:c r="A47" s="50" t="n">
        <x:f>IF($P47="legacy_common_sample_8902245",1+COUNTIFS($C$5:$C$546,$C47,$P$5:$P$546,"legacy_common_sample_8902245",$I$5:$I$546,"&gt;"&amp;$I47),"")</x:f>
        <x:v>43</x:v>
      </x:c>
      <x:c r="B47" t="str">
        <x:v>gtja_078</x:v>
      </x:c>
      <x:c r="C47" s="50" t="n">
        <x:v>1</x:v>
      </x:c>
      <x:c r="D47" t="str">
        <x:f>IF(E47&gt;=0,"positive","negative")</x:f>
        <x:v>negative</x:v>
      </x:c>
      <x:c r="E47" s="30" t="n">
        <x:v>-0.028550669992315335</x:v>
      </x:c>
      <x:c r="F47" s="30" t="n">
        <x:f>ABS(E47)</x:f>
        <x:v>0.028550669992315335</x:v>
      </x:c>
      <x:c r="G47" s="30" t="n">
        <x:v>0.13576175175730265</x:v>
      </x:c>
      <x:c r="H47" s="30" t="n">
        <x:v>-0.2102998055251566</x:v>
      </x:c>
      <x:c r="I47" s="30" t="n">
        <x:f>ABS(H47)</x:f>
        <x:v>0.2102998055251566</x:v>
      </x:c>
      <x:c r="J47" s="30" t="n">
        <x:v>0.4135</x:v>
      </x:c>
      <x:c r="K47" s="30" t="n">
        <x:v>-0.010538016046574738</x:v>
      </x:c>
      <x:c r="L47" s="30" t="n">
        <x:v>-0.08964019662380034</x:v>
      </x:c>
      <x:c r="M47" s="30" t="n">
        <x:v>0.464</x:v>
      </x:c>
      <x:c r="N47" s="19" t="n">
        <x:v>2000</x:v>
      </x:c>
      <x:c r="O47" t="b">
        <x:f>P47="legacy_common_sample_8902245"</x:f>
        <x:v>1</x:v>
      </x:c>
      <x:c r="P47" t="str">
        <x:v>legacy_common_sample_8902245</x:v>
      </x:c>
      <x:c r="Q47" s="74" t="n">
        <x:v>46210.46714320602</x:v>
      </x:c>
      <x:c r="R47" s="19" t="n">
        <x:v>8902245</x:v>
      </x:c>
      <x:c r="S47" t="str">
        <x:v>40355b29bce094aef0e99358bdfd4011b92e72a54440a67760de4afae4883c33</x:v>
      </x:c>
      <x:c r="T47" t="str">
        <x:v>factor_report/gtja191_batch/gtja_078/ic_summary.csv</x:v>
      </x:c>
    </x:row>
    <x:row r="48">
      <x:c r="A48" s="50" t="n">
        <x:f>IF($P48="legacy_common_sample_8902245",1+COUNTIFS($C$5:$C$546,$C48,$P$5:$P$546,"legacy_common_sample_8902245",$I$5:$I$546,"&gt;"&amp;$I48),"")</x:f>
        <x:v>44</x:v>
      </x:c>
      <x:c r="B48" t="str">
        <x:v>gtja_003</x:v>
      </x:c>
      <x:c r="C48" s="50" t="n">
        <x:v>1</x:v>
      </x:c>
      <x:c r="D48" t="str">
        <x:f>IF(E48&gt;=0,"positive","negative")</x:f>
        <x:v>negative</x:v>
      </x:c>
      <x:c r="E48" s="30" t="n">
        <x:v>-0.02780988007414572</x:v>
      </x:c>
      <x:c r="F48" s="30" t="n">
        <x:f>ABS(E48)</x:f>
        <x:v>0.02780988007414572</x:v>
      </x:c>
      <x:c r="G48" s="30" t="n">
        <x:v>0.13233945057801774</x:v>
      </x:c>
      <x:c r="H48" s="30" t="n">
        <x:v>-0.2101405132987992</x:v>
      </x:c>
      <x:c r="I48" s="30" t="n">
        <x:f>ABS(H48)</x:f>
        <x:v>0.2101405132987992</x:v>
      </x:c>
      <x:c r="J48" s="30" t="n">
        <x:v>0.4145</x:v>
      </x:c>
      <x:c r="K48" s="30" t="n">
        <x:v>-0.011690222472474058</x:v>
      </x:c>
      <x:c r="L48" s="30" t="n">
        <x:v>-0.13611959546485597</x:v>
      </x:c>
      <x:c r="M48" s="30" t="n">
        <x:v>0.441</x:v>
      </x:c>
      <x:c r="N48" s="19" t="n">
        <x:v>2000</x:v>
      </x:c>
      <x:c r="O48" t="b">
        <x:f>P48="legacy_common_sample_8902245"</x:f>
        <x:v>1</x:v>
      </x:c>
      <x:c r="P48" t="str">
        <x:v>legacy_common_sample_8902245</x:v>
      </x:c>
      <x:c r="Q48" s="74" t="n">
        <x:v>46210.119879363425</x:v>
      </x:c>
      <x:c r="R48" s="19" t="n">
        <x:v>8902245</x:v>
      </x:c>
      <x:c r="S48" t="str">
        <x:v>40355b29bce094aef0e99358bdfd4011b92e72a54440a67760de4afae4883c33</x:v>
      </x:c>
      <x:c r="T48" t="str">
        <x:v>factor_report/gtja191_batch/gtja_003/ic_summary.csv</x:v>
      </x:c>
    </x:row>
    <x:row r="49">
      <x:c r="A49" s="50" t="n">
        <x:f>IF($P49="legacy_common_sample_8902245",1+COUNTIFS($C$5:$C$546,$C49,$P$5:$P$546,"legacy_common_sample_8902245",$I$5:$I$546,"&gt;"&amp;$I49),"")</x:f>
        <x:v>45</x:v>
      </x:c>
      <x:c r="B49" t="str">
        <x:v>gtja_133</x:v>
      </x:c>
      <x:c r="C49" s="50" t="n">
        <x:v>1</x:v>
      </x:c>
      <x:c r="D49" t="str">
        <x:f>IF(E49&gt;=0,"positive","negative")</x:f>
        <x:v>negative</x:v>
      </x:c>
      <x:c r="E49" s="30" t="n">
        <x:v>-0.025732485756695758</x:v>
      </x:c>
      <x:c r="F49" s="30" t="n">
        <x:f>ABS(E49)</x:f>
        <x:v>0.025732485756695758</x:v>
      </x:c>
      <x:c r="G49" s="30" t="n">
        <x:v>0.12275446187229097</x:v>
      </x:c>
      <x:c r="H49" s="30" t="n">
        <x:v>-0.20962566544804578</x:v>
      </x:c>
      <x:c r="I49" s="30" t="n">
        <x:f>ABS(H49)</x:f>
        <x:v>0.20962566544804578</x:v>
      </x:c>
      <x:c r="J49" s="30" t="n">
        <x:v>0.4025</x:v>
      </x:c>
      <x:c r="K49" s="30" t="n">
        <x:v>-0.008331753294840667</x:v>
      </x:c>
      <x:c r="L49" s="30" t="n">
        <x:v>-0.07572168468656434</x:v>
      </x:c>
      <x:c r="M49" s="30" t="n">
        <x:v>0.4685</x:v>
      </x:c>
      <x:c r="N49" s="19" t="n">
        <x:v>2000</x:v>
      </x:c>
      <x:c r="O49" t="b">
        <x:f>P49="legacy_common_sample_8902245"</x:f>
        <x:v>1</x:v>
      </x:c>
      <x:c r="P49" t="str">
        <x:v>legacy_common_sample_8902245</x:v>
      </x:c>
      <x:c r="Q49" s="74" t="n">
        <x:v>46210.73796425926</x:v>
      </x:c>
      <x:c r="R49" s="19" t="n">
        <x:v>8902245</x:v>
      </x:c>
      <x:c r="S49" t="str">
        <x:v>40355b29bce094aef0e99358bdfd4011b92e72a54440a67760de4afae4883c33</x:v>
      </x:c>
      <x:c r="T49" t="str">
        <x:v>factor_report/gtja191_batch/gtja_133/ic_summary.csv</x:v>
      </x:c>
    </x:row>
    <x:row r="50">
      <x:c r="A50" s="50" t="n">
        <x:f>IF($P50="legacy_common_sample_8902245",1+COUNTIFS($C$5:$C$546,$C50,$P$5:$P$546,"legacy_common_sample_8902245",$I$5:$I$546,"&gt;"&amp;$I50),"")</x:f>
        <x:v>46</x:v>
      </x:c>
      <x:c r="B50" t="str">
        <x:v>gtja_063</x:v>
      </x:c>
      <x:c r="C50" s="50" t="n">
        <x:v>1</x:v>
      </x:c>
      <x:c r="D50" t="str">
        <x:f>IF(E50&gt;=0,"positive","negative")</x:f>
        <x:v>negative</x:v>
      </x:c>
      <x:c r="E50" s="30" t="n">
        <x:v>-0.029626434173609568</x:v>
      </x:c>
      <x:c r="F50" s="30" t="n">
        <x:f>ABS(E50)</x:f>
        <x:v>0.029626434173609568</x:v>
      </x:c>
      <x:c r="G50" s="30" t="n">
        <x:v>0.14490637499146805</x:v>
      </x:c>
      <x:c r="H50" s="30" t="n">
        <x:v>-0.2044522483938608</x:v>
      </x:c>
      <x:c r="I50" s="30" t="n">
        <x:f>ABS(H50)</x:f>
        <x:v>0.2044522483938608</x:v>
      </x:c>
      <x:c r="J50" s="30" t="n">
        <x:v>0.417</x:v>
      </x:c>
      <x:c r="K50" s="30" t="n">
        <x:v>-0.009435163934570688</x:v>
      </x:c>
      <x:c r="L50" s="30" t="n">
        <x:v>-0.07527760779004716</x:v>
      </x:c>
      <x:c r="M50" s="30" t="n">
        <x:v>0.4765</x:v>
      </x:c>
      <x:c r="N50" s="19" t="n">
        <x:v>2000</x:v>
      </x:c>
      <x:c r="O50" t="b">
        <x:f>P50="legacy_common_sample_8902245"</x:f>
        <x:v>1</x:v>
      </x:c>
      <x:c r="P50" t="str">
        <x:v>legacy_common_sample_8902245</x:v>
      </x:c>
      <x:c r="Q50" s="74" t="n">
        <x:v>46210.385858483794</x:v>
      </x:c>
      <x:c r="R50" s="19" t="n">
        <x:v>8902245</x:v>
      </x:c>
      <x:c r="S50" t="str">
        <x:v>40355b29bce094aef0e99358bdfd4011b92e72a54440a67760de4afae4883c33</x:v>
      </x:c>
      <x:c r="T50" t="str">
        <x:v>factor_report/gtja191_batch/gtja_063/ic_summary.csv</x:v>
      </x:c>
    </x:row>
    <x:row r="51">
      <x:c r="A51" s="50" t="n">
        <x:f>IF($P51="legacy_common_sample_8902245",1+COUNTIFS($C$5:$C$546,$C51,$P$5:$P$546,"legacy_common_sample_8902245",$I$5:$I$546,"&gt;"&amp;$I51),"")</x:f>
        <x:v>47</x:v>
      </x:c>
      <x:c r="B51" t="str">
        <x:v>gtja_068</x:v>
      </x:c>
      <x:c r="C51" s="50" t="n">
        <x:v>1</x:v>
      </x:c>
      <x:c r="D51" t="str">
        <x:f>IF(E51&gt;=0,"positive","negative")</x:f>
        <x:v>negative</x:v>
      </x:c>
      <x:c r="E51" s="30" t="n">
        <x:v>-0.027386691033633535</x:v>
      </x:c>
      <x:c r="F51" s="30" t="n">
        <x:f>ABS(E51)</x:f>
        <x:v>0.027386691033633535</x:v>
      </x:c>
      <x:c r="G51" s="30" t="n">
        <x:v>0.13534298374103762</x:v>
      </x:c>
      <x:c r="H51" s="30" t="n">
        <x:v>-0.20235028278994238</x:v>
      </x:c>
      <x:c r="I51" s="30" t="n">
        <x:f>ABS(H51)</x:f>
        <x:v>0.20235028278994238</x:v>
      </x:c>
      <x:c r="J51" s="30" t="n">
        <x:v>0.4095</x:v>
      </x:c>
      <x:c r="K51" s="30" t="n">
        <x:v>-0.002217208791808858</x:v>
      </x:c>
      <x:c r="L51" s="30" t="n">
        <x:v>-0.06848174984706264</x:v>
      </x:c>
      <x:c r="M51" s="30" t="n">
        <x:v>0.481</x:v>
      </x:c>
      <x:c r="N51" s="19" t="n">
        <x:v>2000</x:v>
      </x:c>
      <x:c r="O51" t="b">
        <x:f>P51="legacy_common_sample_8902245"</x:f>
        <x:v>1</x:v>
      </x:c>
      <x:c r="P51" t="str">
        <x:v>legacy_common_sample_8902245</x:v>
      </x:c>
      <x:c r="Q51" s="74" t="n">
        <x:v>46210.407986018516</x:v>
      </x:c>
      <x:c r="R51" s="19" t="n">
        <x:v>8902245</x:v>
      </x:c>
      <x:c r="S51" t="str">
        <x:v>40355b29bce094aef0e99358bdfd4011b92e72a54440a67760de4afae4883c33</x:v>
      </x:c>
      <x:c r="T51" t="str">
        <x:v>factor_report/gtja191_batch/gtja_068/ic_summary.csv</x:v>
      </x:c>
    </x:row>
    <x:row r="52">
      <x:c r="A52" s="50" t="n">
        <x:f>IF($P52="legacy_common_sample_8902245",1+COUNTIFS($C$5:$C$546,$C52,$P$5:$P$546,"legacy_common_sample_8902245",$I$5:$I$546,"&gt;"&amp;$I52),"")</x:f>
        <x:v>48</x:v>
      </x:c>
      <x:c r="B52" t="str">
        <x:v>gtja_112</x:v>
      </x:c>
      <x:c r="C52" s="50" t="n">
        <x:v>1</x:v>
      </x:c>
      <x:c r="D52" t="str">
        <x:f>IF(E52&gt;=0,"positive","negative")</x:f>
        <x:v>negative</x:v>
      </x:c>
      <x:c r="E52" s="30" t="n">
        <x:v>-0.027561529749791445</x:v>
      </x:c>
      <x:c r="F52" s="30" t="n">
        <x:f>ABS(E52)</x:f>
        <x:v>0.027561529749791445</x:v>
      </x:c>
      <x:c r="G52" s="30" t="n">
        <x:v>0.13690243834353577</x:v>
      </x:c>
      <x:c r="H52" s="30" t="n">
        <x:v>-0.20132241677558727</x:v>
      </x:c>
      <x:c r="I52" s="30" t="n">
        <x:f>ABS(H52)</x:f>
        <x:v>0.20132241677558727</x:v>
      </x:c>
      <x:c r="J52" s="30" t="n">
        <x:v>0.4125</x:v>
      </x:c>
      <x:c r="K52" s="30" t="n">
        <x:v>-0.008568629330849353</x:v>
      </x:c>
      <x:c r="L52" s="30" t="n">
        <x:v>-0.07148292651063903</x:v>
      </x:c>
      <x:c r="M52" s="30" t="n">
        <x:v>0.468</x:v>
      </x:c>
      <x:c r="N52" s="19" t="n">
        <x:v>2000</x:v>
      </x:c>
      <x:c r="O52" t="b">
        <x:f>P52="legacy_common_sample_8902245"</x:f>
        <x:v>1</x:v>
      </x:c>
      <x:c r="P52" t="str">
        <x:v>legacy_common_sample_8902245</x:v>
      </x:c>
      <x:c r="Q52" s="74" t="n">
        <x:v>46210.62560251157</x:v>
      </x:c>
      <x:c r="R52" s="19" t="n">
        <x:v>8902245</x:v>
      </x:c>
      <x:c r="S52" t="str">
        <x:v>40355b29bce094aef0e99358bdfd4011b92e72a54440a67760de4afae4883c33</x:v>
      </x:c>
      <x:c r="T52" t="str">
        <x:v>factor_report/gtja191_batch/gtja_112/ic_summary.csv</x:v>
      </x:c>
    </x:row>
    <x:row r="53">
      <x:c r="A53" s="50" t="n">
        <x:f>IF($P53="legacy_common_sample_8902245",1+COUNTIFS($C$5:$C$546,$C53,$P$5:$P$546,"legacy_common_sample_8902245",$I$5:$I$546,"&gt;"&amp;$I53),"")</x:f>
        <x:v>49</x:v>
      </x:c>
      <x:c r="B53" t="str">
        <x:v>gtja_161</x:v>
      </x:c>
      <x:c r="C53" s="50" t="n">
        <x:v>1</x:v>
      </x:c>
      <x:c r="D53" t="str">
        <x:f>IF(E53&gt;=0,"positive","negative")</x:f>
        <x:v>negative</x:v>
      </x:c>
      <x:c r="E53" s="30" t="n">
        <x:v>-0.03704604830156317</x:v>
      </x:c>
      <x:c r="F53" s="30" t="n">
        <x:f>ABS(E53)</x:f>
        <x:v>0.03704604830156317</x:v>
      </x:c>
      <x:c r="G53" s="30" t="n">
        <x:v>0.18438145300643663</x:v>
      </x:c>
      <x:c r="H53" s="30" t="n">
        <x:v>-0.20092068750683897</x:v>
      </x:c>
      <x:c r="I53" s="30" t="n">
        <x:f>ABS(H53)</x:f>
        <x:v>0.20092068750683897</x:v>
      </x:c>
      <x:c r="J53" s="30" t="n">
        <x:v>0.4235</x:v>
      </x:c>
      <x:c r="K53" s="30" t="n">
        <x:v>-0.00638414817635337</x:v>
      </x:c>
      <x:c r="L53" s="30" t="n">
        <x:v>-0.056354172279430716</x:v>
      </x:c>
      <x:c r="M53" s="30" t="n">
        <x:v>0.4805</x:v>
      </x:c>
      <x:c r="N53" s="19" t="n">
        <x:v>2000</x:v>
      </x:c>
      <x:c r="O53" t="b">
        <x:f>P53="legacy_common_sample_8902245"</x:f>
        <x:v>1</x:v>
      </x:c>
      <x:c r="P53" t="str">
        <x:v>legacy_common_sample_8902245</x:v>
      </x:c>
      <x:c r="Q53" s="74" t="n">
        <x:v>46210.86347449074</x:v>
      </x:c>
      <x:c r="R53" s="19" t="n">
        <x:v>8902245</x:v>
      </x:c>
      <x:c r="S53" t="str">
        <x:v>40355b29bce094aef0e99358bdfd4011b92e72a54440a67760de4afae4883c33</x:v>
      </x:c>
      <x:c r="T53" t="str">
        <x:v>factor_report/gtja191_batch/gtja_161/ic_summary.csv</x:v>
      </x:c>
    </x:row>
    <x:row r="54">
      <x:c r="A54" s="50" t="n">
        <x:f>IF($P54="legacy_common_sample_8902245",1+COUNTIFS($C$5:$C$546,$C54,$P$5:$P$546,"legacy_common_sample_8902245",$I$5:$I$546,"&gt;"&amp;$I54),"")</x:f>
        <x:v>50</x:v>
      </x:c>
      <x:c r="B54" t="str">
        <x:v>gtja_014</x:v>
      </x:c>
      <x:c r="C54" s="50" t="n">
        <x:v>1</x:v>
      </x:c>
      <x:c r="D54" t="str">
        <x:f>IF(E54&gt;=0,"positive","negative")</x:f>
        <x:v>negative</x:v>
      </x:c>
      <x:c r="E54" s="30" t="n">
        <x:v>-0.02842733048255993</x:v>
      </x:c>
      <x:c r="F54" s="30" t="n">
        <x:f>ABS(E54)</x:f>
        <x:v>0.02842733048255993</x:v>
      </x:c>
      <x:c r="G54" s="30" t="n">
        <x:v>0.14180221028418635</x:v>
      </x:c>
      <x:c r="H54" s="30" t="n">
        <x:v>-0.20047170227874875</x:v>
      </x:c>
      <x:c r="I54" s="30" t="n">
        <x:f>ABS(H54)</x:f>
        <x:v>0.20047170227874875</x:v>
      </x:c>
      <x:c r="J54" s="30" t="n">
        <x:v>0.419</x:v>
      </x:c>
      <x:c r="K54" s="30" t="n">
        <x:v>-0.01086840287588391</x:v>
      </x:c>
      <x:c r="L54" s="30" t="n">
        <x:v>-0.12322581652042211</x:v>
      </x:c>
      <x:c r="M54" s="30" t="n">
        <x:v>0.469</x:v>
      </x:c>
      <x:c r="N54" s="19" t="n">
        <x:v>2000</x:v>
      </x:c>
      <x:c r="O54" t="b">
        <x:f>P54="legacy_common_sample_8902245"</x:f>
        <x:v>1</x:v>
      </x:c>
      <x:c r="P54" t="str">
        <x:v>legacy_common_sample_8902245</x:v>
      </x:c>
      <x:c r="Q54" s="74" t="n">
        <x:v>46210.170149652775</x:v>
      </x:c>
      <x:c r="R54" s="19" t="n">
        <x:v>8902245</x:v>
      </x:c>
      <x:c r="S54" t="str">
        <x:v>40355b29bce094aef0e99358bdfd4011b92e72a54440a67760de4afae4883c33</x:v>
      </x:c>
      <x:c r="T54" t="str">
        <x:v>factor_report/gtja191_batch/gtja_014/ic_summary.csv</x:v>
      </x:c>
    </x:row>
    <x:row r="55">
      <x:c r="A55" s="50" t="n">
        <x:f>IF($P55="legacy_common_sample_8902245",1+COUNTIFS($C$5:$C$546,$C55,$P$5:$P$546,"legacy_common_sample_8902245",$I$5:$I$546,"&gt;"&amp;$I55),"")</x:f>
        <x:v>51</x:v>
      </x:c>
      <x:c r="B55" t="str">
        <x:v>gtja_020</x:v>
      </x:c>
      <x:c r="C55" s="50" t="n">
        <x:v>1</x:v>
      </x:c>
      <x:c r="D55" t="str">
        <x:f>IF(E55&gt;=0,"positive","negative")</x:f>
        <x:v>negative</x:v>
      </x:c>
      <x:c r="E55" s="30" t="n">
        <x:v>-0.029126869122610234</x:v>
      </x:c>
      <x:c r="F55" s="30" t="n">
        <x:f>ABS(E55)</x:f>
        <x:v>0.029126869122610234</x:v>
      </x:c>
      <x:c r="G55" s="30" t="n">
        <x:v>0.14680106539780216</x:v>
      </x:c>
      <x:c r="H55" s="30" t="n">
        <x:v>-0.19841047504445639</x:v>
      </x:c>
      <x:c r="I55" s="30" t="n">
        <x:f>ABS(H55)</x:f>
        <x:v>0.19841047504445639</x:v>
      </x:c>
      <x:c r="J55" s="30" t="n">
        <x:v>0.419</x:v>
      </x:c>
      <x:c r="K55" s="30" t="n">
        <x:v>-0.016242842923796685</x:v>
      </x:c>
      <x:c r="L55" s="30" t="n">
        <x:v>-0.12684794936065244</x:v>
      </x:c>
      <x:c r="M55" s="30" t="n">
        <x:v>0.4415</x:v>
      </x:c>
      <x:c r="N55" s="19" t="n">
        <x:v>2000</x:v>
      </x:c>
      <x:c r="O55" t="b">
        <x:f>P55="legacy_common_sample_8902245"</x:f>
        <x:v>1</x:v>
      </x:c>
      <x:c r="P55" t="str">
        <x:v>legacy_common_sample_8902245</x:v>
      </x:c>
      <x:c r="Q55" s="74" t="n">
        <x:v>46210.19493413194</x:v>
      </x:c>
      <x:c r="R55" s="19" t="n">
        <x:v>8902245</x:v>
      </x:c>
      <x:c r="S55" t="str">
        <x:v>40355b29bce094aef0e99358bdfd4011b92e72a54440a67760de4afae4883c33</x:v>
      </x:c>
      <x:c r="T55" t="str">
        <x:v>factor_report/gtja191_batch/gtja_020/ic_summary.csv</x:v>
      </x:c>
    </x:row>
    <x:row r="56">
      <x:c r="A56" s="50" t="n">
        <x:f>IF($P56="legacy_common_sample_8902245",1+COUNTIFS($C$5:$C$546,$C56,$P$5:$P$546,"legacy_common_sample_8902245",$I$5:$I$546,"&gt;"&amp;$I56),"")</x:f>
        <x:v>52</x:v>
      </x:c>
      <x:c r="B56" t="str">
        <x:v>gtja_018</x:v>
      </x:c>
      <x:c r="C56" s="50" t="n">
        <x:v>1</x:v>
      </x:c>
      <x:c r="D56" t="str">
        <x:f>IF(E56&gt;=0,"positive","negative")</x:f>
        <x:v>negative</x:v>
      </x:c>
      <x:c r="E56" s="30" t="n">
        <x:v>-0.029194867148294158</x:v>
      </x:c>
      <x:c r="F56" s="30" t="n">
        <x:f>ABS(E56)</x:f>
        <x:v>0.029194867148294158</x:v>
      </x:c>
      <x:c r="G56" s="30" t="n">
        <x:v>0.14764934778629543</x:v>
      </x:c>
      <x:c r="H56" s="30" t="n">
        <x:v>-0.19773109455620622</x:v>
      </x:c>
      <x:c r="I56" s="30" t="n">
        <x:f>ABS(H56)</x:f>
        <x:v>0.19773109455620622</x:v>
      </x:c>
      <x:c r="J56" s="30" t="n">
        <x:v>0.42</x:v>
      </x:c>
      <x:c r="K56" s="30" t="n">
        <x:v>-0.016459006273261707</x:v>
      </x:c>
      <x:c r="L56" s="30" t="n">
        <x:v>-0.1293944058546138</x:v>
      </x:c>
      <x:c r="M56" s="30" t="n">
        <x:v>0.4425</x:v>
      </x:c>
      <x:c r="N56" s="19" t="n">
        <x:v>2000</x:v>
      </x:c>
      <x:c r="O56" t="b">
        <x:f>P56="legacy_common_sample_8902245"</x:f>
        <x:v>1</x:v>
      </x:c>
      <x:c r="P56" t="str">
        <x:v>legacy_common_sample_8902245</x:v>
      </x:c>
      <x:c r="Q56" s="74" t="n">
        <x:v>46210.18674793981</x:v>
      </x:c>
      <x:c r="R56" s="19" t="n">
        <x:v>8902245</x:v>
      </x:c>
      <x:c r="S56" t="str">
        <x:v>40355b29bce094aef0e99358bdfd4011b92e72a54440a67760de4afae4883c33</x:v>
      </x:c>
      <x:c r="T56" t="str">
        <x:v>factor_report/gtja191_batch/gtja_018/ic_summary.csv</x:v>
      </x:c>
    </x:row>
    <x:row r="57">
      <x:c r="A57" s="50" t="n">
        <x:f>IF($P57="legacy_common_sample_8902245",1+COUNTIFS($C$5:$C$546,$C57,$P$5:$P$546,"legacy_common_sample_8902245",$I$5:$I$546,"&gt;"&amp;$I57),"")</x:f>
        <x:v>53</x:v>
      </x:c>
      <x:c r="B57" t="str">
        <x:v>gtja_019</x:v>
      </x:c>
      <x:c r="C57" s="50" t="n">
        <x:v>1</x:v>
      </x:c>
      <x:c r="D57" t="str">
        <x:f>IF(E57&gt;=0,"positive","negative")</x:f>
        <x:v>negative</x:v>
      </x:c>
      <x:c r="E57" s="30" t="n">
        <x:v>-0.029194853697055677</x:v>
      </x:c>
      <x:c r="F57" s="30" t="n">
        <x:f>ABS(E57)</x:f>
        <x:v>0.029194853697055677</x:v>
      </x:c>
      <x:c r="G57" s="30" t="n">
        <x:v>0.14764933902538466</x:v>
      </x:c>
      <x:c r="H57" s="30" t="n">
        <x:v>-0.19773101518616581</x:v>
      </x:c>
      <x:c r="I57" s="30" t="n">
        <x:f>ABS(H57)</x:f>
        <x:v>0.19773101518616581</x:v>
      </x:c>
      <x:c r="J57" s="30" t="n">
        <x:v>0.42</x:v>
      </x:c>
      <x:c r="K57" s="30" t="n">
        <x:v>-0.015315160746101331</x:v>
      </x:c>
      <x:c r="L57" s="30" t="n">
        <x:v>-0.11975733226601243</x:v>
      </x:c>
      <x:c r="M57" s="30" t="n">
        <x:v>0.45</x:v>
      </x:c>
      <x:c r="N57" s="19" t="n">
        <x:v>2000</x:v>
      </x:c>
      <x:c r="O57" t="b">
        <x:f>P57="legacy_common_sample_8902245"</x:f>
        <x:v>1</x:v>
      </x:c>
      <x:c r="P57" t="str">
        <x:v>legacy_common_sample_8902245</x:v>
      </x:c>
      <x:c r="Q57" s="74" t="n">
        <x:v>46210.190837372684</x:v>
      </x:c>
      <x:c r="R57" s="19" t="n">
        <x:v>8902245</x:v>
      </x:c>
      <x:c r="S57" t="str">
        <x:v>40355b29bce094aef0e99358bdfd4011b92e72a54440a67760de4afae4883c33</x:v>
      </x:c>
      <x:c r="T57" t="str">
        <x:v>factor_report/gtja191_batch/gtja_019/ic_summary.csv</x:v>
      </x:c>
    </x:row>
    <x:row r="58">
      <x:c r="A58" s="50" t="n">
        <x:f>IF($P58="legacy_common_sample_8902245",1+COUNTIFS($C$5:$C$546,$C58,$P$5:$P$546,"legacy_common_sample_8902245",$I$5:$I$546,"&gt;"&amp;$I58),"")</x:f>
        <x:v>54</x:v>
      </x:c>
      <x:c r="B58" t="str">
        <x:v>gtja_189</x:v>
      </x:c>
      <x:c r="C58" s="50" t="n">
        <x:v>1</x:v>
      </x:c>
      <x:c r="D58" t="str">
        <x:f>IF(E58&gt;=0,"positive","negative")</x:f>
        <x:v>negative</x:v>
      </x:c>
      <x:c r="E58" s="30" t="n">
        <x:v>-0.03477872691911135</x:v>
      </x:c>
      <x:c r="F58" s="30" t="n">
        <x:f>ABS(E58)</x:f>
        <x:v>0.03477872691911135</x:v>
      </x:c>
      <x:c r="G58" s="30" t="n">
        <x:v>0.1767087350490848</x:v>
      </x:c>
      <x:c r="H58" s="30" t="n">
        <x:v>-0.19681385252093386</x:v>
      </x:c>
      <x:c r="I58" s="30" t="n">
        <x:f>ABS(H58)</x:f>
        <x:v>0.19681385252093386</x:v>
      </x:c>
      <x:c r="J58" s="30" t="n">
        <x:v>0.4235</x:v>
      </x:c>
      <x:c r="K58" s="30" t="n">
        <x:v>-0.006933794066433944</x:v>
      </x:c>
      <x:c r="L58" s="30" t="n">
        <x:v>-0.06669165941124651</x:v>
      </x:c>
      <x:c r="M58" s="30" t="n">
        <x:v>0.469</x:v>
      </x:c>
      <x:c r="N58" s="19" t="n">
        <x:v>2000</x:v>
      </x:c>
      <x:c r="O58" t="b">
        <x:f>P58="legacy_common_sample_8902245"</x:f>
        <x:v>1</x:v>
      </x:c>
      <x:c r="P58" t="str">
        <x:v>legacy_common_sample_8902245</x:v>
      </x:c>
      <x:c r="Q58" s="74" t="n">
        <x:v>46210.9753753125</x:v>
      </x:c>
      <x:c r="R58" s="19" t="n">
        <x:v>8902245</x:v>
      </x:c>
      <x:c r="S58" t="str">
        <x:v>40355b29bce094aef0e99358bdfd4011b92e72a54440a67760de4afae4883c33</x:v>
      </x:c>
      <x:c r="T58" t="str">
        <x:v>factor_report/gtja191_batch/gtja_189/ic_summary.csv</x:v>
      </x:c>
    </x:row>
    <x:row r="59">
      <x:c r="A59" s="50" t="n">
        <x:f>IF($P59="legacy_common_sample_8902245",1+COUNTIFS($C$5:$C$546,$C59,$P$5:$P$546,"legacy_common_sample_8902245",$I$5:$I$546,"&gt;"&amp;$I59),"")</x:f>
        <x:v>55</x:v>
      </x:c>
      <x:c r="B59" t="str">
        <x:v>gtja_024</x:v>
      </x:c>
      <x:c r="C59" s="50" t="n">
        <x:v>1</x:v>
      </x:c>
      <x:c r="D59" t="str">
        <x:f>IF(E59&gt;=0,"positive","negative")</x:f>
        <x:v>negative</x:v>
      </x:c>
      <x:c r="E59" s="30" t="n">
        <x:v>-0.028524501518100643</x:v>
      </x:c>
      <x:c r="F59" s="30" t="n">
        <x:f>ABS(E59)</x:f>
        <x:v>0.028524501518100643</x:v>
      </x:c>
      <x:c r="G59" s="30" t="n">
        <x:v>0.14514093248034757</x:v>
      </x:c>
      <x:c r="H59" s="30" t="n">
        <x:v>-0.19652968346446947</x:v>
      </x:c>
      <x:c r="I59" s="30" t="n">
        <x:f>ABS(H59)</x:f>
        <x:v>0.19652968346446947</x:v>
      </x:c>
      <x:c r="J59" s="30" t="n">
        <x:v>0.4185</x:v>
      </x:c>
      <x:c r="K59" s="30" t="n">
        <x:v>-0.009697462239733385</x:v>
      </x:c>
      <x:c r="L59" s="30" t="n">
        <x:v>-0.10408212008435895</x:v>
      </x:c>
      <x:c r="M59" s="30" t="n">
        <x:v>0.455</x:v>
      </x:c>
      <x:c r="N59" s="19" t="n">
        <x:v>2000</x:v>
      </x:c>
      <x:c r="O59" t="b">
        <x:f>P59="legacy_common_sample_8902245"</x:f>
        <x:v>1</x:v>
      </x:c>
      <x:c r="P59" t="str">
        <x:v>legacy_common_sample_8902245</x:v>
      </x:c>
      <x:c r="Q59" s="74" t="n">
        <x:v>46210.21420491898</x:v>
      </x:c>
      <x:c r="R59" s="19" t="n">
        <x:v>8902245</x:v>
      </x:c>
      <x:c r="S59" t="str">
        <x:v>40355b29bce094aef0e99358bdfd4011b92e72a54440a67760de4afae4883c33</x:v>
      </x:c>
      <x:c r="T59" t="str">
        <x:v>factor_report/gtja191_batch/gtja_024/ic_summary.csv</x:v>
      </x:c>
    </x:row>
    <x:row r="60">
      <x:c r="A60" s="50" t="n">
        <x:f>IF($P60="legacy_common_sample_8902245",1+COUNTIFS($C$5:$C$546,$C60,$P$5:$P$546,"legacy_common_sample_8902245",$I$5:$I$546,"&gt;"&amp;$I60),"")</x:f>
        <x:v>56</x:v>
      </x:c>
      <x:c r="B60" t="str">
        <x:v>gtja_116</x:v>
      </x:c>
      <x:c r="C60" s="50" t="n">
        <x:v>1</x:v>
      </x:c>
      <x:c r="D60" t="str">
        <x:f>IF(E60&gt;=0,"positive","negative")</x:f>
        <x:v>negative</x:v>
      </x:c>
      <x:c r="E60" s="30" t="n">
        <x:v>-0.02825792301025803</x:v>
      </x:c>
      <x:c r="F60" s="30" t="n">
        <x:f>ABS(E60)</x:f>
        <x:v>0.02825792301025803</x:v>
      </x:c>
      <x:c r="G60" s="30" t="n">
        <x:v>0.14494862761653346</x:v>
      </x:c>
      <x:c r="H60" s="30" t="n">
        <x:v>-0.19495129740045095</x:v>
      </x:c>
      <x:c r="I60" s="30" t="n">
        <x:f>ABS(H60)</x:f>
        <x:v>0.19495129740045095</x:v>
      </x:c>
      <x:c r="J60" s="30" t="n">
        <x:v>0.4065</x:v>
      </x:c>
      <x:c r="K60" s="30" t="n">
        <x:v>-0.008576746406097286</x:v>
      </x:c>
      <x:c r="L60" s="30" t="n">
        <x:v>-0.09106312959505562</x:v>
      </x:c>
      <x:c r="M60" s="30" t="n">
        <x:v>0.4645</x:v>
      </x:c>
      <x:c r="N60" s="19" t="n">
        <x:v>2000</x:v>
      </x:c>
      <x:c r="O60" t="b">
        <x:f>P60="legacy_common_sample_8902245"</x:f>
        <x:v>1</x:v>
      </x:c>
      <x:c r="P60" t="str">
        <x:v>legacy_common_sample_8902245</x:v>
      </x:c>
      <x:c r="Q60" s="74" t="n">
        <x:v>46210.64638673611</x:v>
      </x:c>
      <x:c r="R60" s="19" t="n">
        <x:v>8902245</x:v>
      </x:c>
      <x:c r="S60" t="str">
        <x:v>40355b29bce094aef0e99358bdfd4011b92e72a54440a67760de4afae4883c33</x:v>
      </x:c>
      <x:c r="T60" t="str">
        <x:v>factor_report/gtja191_batch/gtja_116/ic_summary.csv</x:v>
      </x:c>
    </x:row>
    <x:row r="61">
      <x:c r="A61" s="50" t="n">
        <x:f>IF($P61="legacy_common_sample_8902245",1+COUNTIFS($C$5:$C$546,$C61,$P$5:$P$546,"legacy_common_sample_8902245",$I$5:$I$546,"&gt;"&amp;$I61),"")</x:f>
        <x:v>57</x:v>
      </x:c>
      <x:c r="B61" t="str">
        <x:v>gtja_009</x:v>
      </x:c>
      <x:c r="C61" s="50" t="n">
        <x:v>1</x:v>
      </x:c>
      <x:c r="D61" t="str">
        <x:f>IF(E61&gt;=0,"positive","negative")</x:f>
        <x:v>negative</x:v>
      </x:c>
      <x:c r="E61" s="30" t="n">
        <x:v>-0.02543813541677694</x:v>
      </x:c>
      <x:c r="F61" s="30" t="n">
        <x:f>ABS(E61)</x:f>
        <x:v>0.02543813541677694</x:v>
      </x:c>
      <x:c r="G61" s="30" t="n">
        <x:v>0.1306003261465541</x:v>
      </x:c>
      <x:c r="H61" s="30" t="n">
        <x:v>-0.19477849839541253</x:v>
      </x:c>
      <x:c r="I61" s="30" t="n">
        <x:f>ABS(H61)</x:f>
        <x:v>0.19477849839541253</x:v>
      </x:c>
      <x:c r="J61" s="30" t="n">
        <x:v>0.413</x:v>
      </x:c>
      <x:c r="K61" s="30" t="n">
        <x:v>-0.002157424985716859</x:v>
      </x:c>
      <x:c r="L61" s="30" t="n">
        <x:v>-0.06918174053656942</x:v>
      </x:c>
      <x:c r="M61" s="30" t="n">
        <x:v>0.479</x:v>
      </x:c>
      <x:c r="N61" s="19" t="n">
        <x:v>2000</x:v>
      </x:c>
      <x:c r="O61" t="b">
        <x:f>P61="legacy_common_sample_8902245"</x:f>
        <x:v>1</x:v>
      </x:c>
      <x:c r="P61" t="str">
        <x:v>legacy_common_sample_8902245</x:v>
      </x:c>
      <x:c r="Q61" s="74" t="n">
        <x:v>46210.14960534722</x:v>
      </x:c>
      <x:c r="R61" s="19" t="n">
        <x:v>8902245</x:v>
      </x:c>
      <x:c r="S61" t="str">
        <x:v>40355b29bce094aef0e99358bdfd4011b92e72a54440a67760de4afae4883c33</x:v>
      </x:c>
      <x:c r="T61" t="str">
        <x:v>factor_report/gtja191_batch/gtja_009/ic_summary.csv</x:v>
      </x:c>
    </x:row>
    <x:row r="62">
      <x:c r="A62" s="50" t="n">
        <x:f>IF($P62="legacy_common_sample_8902245",1+COUNTIFS($C$5:$C$546,$C62,$P$5:$P$546,"legacy_common_sample_8902245",$I$5:$I$546,"&gt;"&amp;$I62),"")</x:f>
        <x:v>58</x:v>
      </x:c>
      <x:c r="B62" t="str">
        <x:v>gtja_122</x:v>
      </x:c>
      <x:c r="C62" s="50" t="n">
        <x:v>1</x:v>
      </x:c>
      <x:c r="D62" t="str">
        <x:f>IF(E62&gt;=0,"positive","negative")</x:f>
        <x:v>negative</x:v>
      </x:c>
      <x:c r="E62" s="30" t="n">
        <x:v>-0.02822400894571206</x:v>
      </x:c>
      <x:c r="F62" s="30" t="n">
        <x:f>ABS(E62)</x:f>
        <x:v>0.02822400894571206</x:v>
      </x:c>
      <x:c r="G62" s="30" t="n">
        <x:v>0.1507267404559917</x:v>
      </x:c>
      <x:c r="H62" s="30" t="n">
        <x:v>-0.18725283158334297</x:v>
      </x:c>
      <x:c r="I62" s="30" t="n">
        <x:f>ABS(H62)</x:f>
        <x:v>0.18725283158334297</x:v>
      </x:c>
      <x:c r="J62" s="30" t="n">
        <x:v>0.417</x:v>
      </x:c>
      <x:c r="K62" s="30" t="n">
        <x:v>-0.009656895618250182</x:v>
      </x:c>
      <x:c r="L62" s="30" t="n">
        <x:v>-0.08723322585850121</x:v>
      </x:c>
      <x:c r="M62" s="30" t="n">
        <x:v>0.465</x:v>
      </x:c>
      <x:c r="N62" s="19" t="n">
        <x:v>2000</x:v>
      </x:c>
      <x:c r="O62" t="b">
        <x:f>P62="legacy_common_sample_8902245"</x:f>
        <x:v>1</x:v>
      </x:c>
      <x:c r="P62" t="str">
        <x:v>legacy_common_sample_8902245</x:v>
      </x:c>
      <x:c r="Q62" s="74" t="n">
        <x:v>46210.69213701389</x:v>
      </x:c>
      <x:c r="R62" s="19" t="n">
        <x:v>8902245</x:v>
      </x:c>
      <x:c r="S62" t="str">
        <x:v>40355b29bce094aef0e99358bdfd4011b92e72a54440a67760de4afae4883c33</x:v>
      </x:c>
      <x:c r="T62" t="str">
        <x:v>factor_report/gtja191_batch/gtja_122/ic_summary.csv</x:v>
      </x:c>
    </x:row>
    <x:row r="63">
      <x:c r="A63" s="50" t="n">
        <x:f>IF($P63="legacy_common_sample_8902245",1+COUNTIFS($C$5:$C$546,$C63,$P$5:$P$546,"legacy_common_sample_8902245",$I$5:$I$546,"&gt;"&amp;$I63),"")</x:f>
        <x:v>59</x:v>
      </x:c>
      <x:c r="B63" t="str">
        <x:v>gtja_089</x:v>
      </x:c>
      <x:c r="C63" s="50" t="n">
        <x:v>1</x:v>
      </x:c>
      <x:c r="D63" t="str">
        <x:f>IF(E63&gt;=0,"positive","negative")</x:f>
        <x:v>negative</x:v>
      </x:c>
      <x:c r="E63" s="30" t="n">
        <x:v>-0.023661438522447634</x:v>
      </x:c>
      <x:c r="F63" s="30" t="n">
        <x:f>ABS(E63)</x:f>
        <x:v>0.023661438522447634</x:v>
      </x:c>
      <x:c r="G63" s="30" t="n">
        <x:v>0.13354054267280258</x:v>
      </x:c>
      <x:c r="H63" s="30" t="n">
        <x:v>-0.17718543034846165</x:v>
      </x:c>
      <x:c r="I63" s="30" t="n">
        <x:f>ABS(H63)</x:f>
        <x:v>0.17718543034846165</x:v>
      </x:c>
      <x:c r="J63" s="30" t="n">
        <x:v>0.429</x:v>
      </x:c>
      <x:c r="K63" s="30" t="n">
        <x:v>-0.008172551028029468</x:v>
      </x:c>
      <x:c r="L63" s="30" t="n">
        <x:v>-0.09641317139328258</x:v>
      </x:c>
      <x:c r="M63" s="30" t="n">
        <x:v>0.46</x:v>
      </x:c>
      <x:c r="N63" s="19" t="n">
        <x:v>2000</x:v>
      </x:c>
      <x:c r="O63" t="b">
        <x:f>P63="legacy_common_sample_8902245"</x:f>
        <x:v>1</x:v>
      </x:c>
      <x:c r="P63" t="str">
        <x:v>legacy_common_sample_8902245</x:v>
      </x:c>
      <x:c r="Q63" s="74" t="n">
        <x:v>46210.52408989584</x:v>
      </x:c>
      <x:c r="R63" s="19" t="n">
        <x:v>8902245</x:v>
      </x:c>
      <x:c r="S63" t="str">
        <x:v>40355b29bce094aef0e99358bdfd4011b92e72a54440a67760de4afae4883c33</x:v>
      </x:c>
      <x:c r="T63" t="str">
        <x:v>factor_report/gtja191_batch/gtja_089/ic_summary.csv</x:v>
      </x:c>
    </x:row>
    <x:row r="64">
      <x:c r="A64" s="50" t="n">
        <x:f>IF($P64="legacy_common_sample_8902245",1+COUNTIFS($C$5:$C$546,$C64,$P$5:$P$546,"legacy_common_sample_8902245",$I$5:$I$546,"&gt;"&amp;$I64),"")</x:f>
        <x:v>60</x:v>
      </x:c>
      <x:c r="B64" t="str">
        <x:v>gtja_066</x:v>
      </x:c>
      <x:c r="C64" s="50" t="n">
        <x:v>1</x:v>
      </x:c>
      <x:c r="D64" t="str">
        <x:f>IF(E64&gt;=0,"positive","negative")</x:f>
        <x:v>negative</x:v>
      </x:c>
      <x:c r="E64" s="30" t="n">
        <x:v>-0.026107823787031158</x:v>
      </x:c>
      <x:c r="F64" s="30" t="n">
        <x:f>ABS(E64)</x:f>
        <x:v>0.026107823787031158</x:v>
      </x:c>
      <x:c r="G64" s="30" t="n">
        <x:v>0.1500755418417888</x:v>
      </x:c>
      <x:c r="H64" s="30" t="n">
        <x:v>-0.17396454789784666</x:v>
      </x:c>
      <x:c r="I64" s="30" t="n">
        <x:f>ABS(H64)</x:f>
        <x:v>0.17396454789784666</x:v>
      </x:c>
      <x:c r="J64" s="30" t="n">
        <x:v>0.4245</x:v>
      </x:c>
      <x:c r="K64" s="30" t="n">
        <x:v>-0.013059498833943809</x:v>
      </x:c>
      <x:c r="L64" s="30" t="n">
        <x:v>-0.10277764428995602</x:v>
      </x:c>
      <x:c r="M64" s="30" t="n">
        <x:v>0.456</x:v>
      </x:c>
      <x:c r="N64" s="19" t="n">
        <x:v>2000</x:v>
      </x:c>
      <x:c r="O64" t="b">
        <x:f>P64="legacy_common_sample_8902245"</x:f>
        <x:v>1</x:v>
      </x:c>
      <x:c r="P64" t="str">
        <x:v>legacy_common_sample_8902245</x:v>
      </x:c>
      <x:c r="Q64" s="74" t="n">
        <x:v>46210.39822400463</x:v>
      </x:c>
      <x:c r="R64" s="19" t="n">
        <x:v>8902245</x:v>
      </x:c>
      <x:c r="S64" t="str">
        <x:v>40355b29bce094aef0e99358bdfd4011b92e72a54440a67760de4afae4883c33</x:v>
      </x:c>
      <x:c r="T64" t="str">
        <x:v>factor_report/gtja191_batch/gtja_066/ic_summary.csv</x:v>
      </x:c>
    </x:row>
    <x:row r="65">
      <x:c r="A65" s="50" t="n">
        <x:f>IF($P65="legacy_common_sample_8902245",1+COUNTIFS($C$5:$C$546,$C65,$P$5:$P$546,"legacy_common_sample_8902245",$I$5:$I$546,"&gt;"&amp;$I65),"")</x:f>
        <x:v>61</x:v>
      </x:c>
      <x:c r="B65" t="str">
        <x:v>gtja_137</x:v>
      </x:c>
      <x:c r="C65" s="50" t="n">
        <x:v>1</x:v>
      </x:c>
      <x:c r="D65" t="str">
        <x:f>IF(E65&gt;=0,"positive","negative")</x:f>
        <x:v>negative</x:v>
      </x:c>
      <x:c r="E65" s="30" t="n">
        <x:v>-0.023086031715358998</x:v>
      </x:c>
      <x:c r="F65" s="30" t="n">
        <x:f>ABS(E65)</x:f>
        <x:v>0.023086031715358998</x:v>
      </x:c>
      <x:c r="G65" s="30" t="n">
        <x:v>0.13412611117621895</x:v>
      </x:c>
      <x:c r="H65" s="30" t="n">
        <x:v>-0.17212183006653992</x:v>
      </x:c>
      <x:c r="I65" s="30" t="n">
        <x:f>ABS(H65)</x:f>
        <x:v>0.17212183006653992</x:v>
      </x:c>
      <x:c r="J65" s="30" t="n">
        <x:v>0.4185</x:v>
      </x:c>
      <x:c r="K65" s="30" t="n">
        <x:v>-0.006441513869083306</x:v>
      </x:c>
      <x:c r="L65" s="30" t="n">
        <x:v>-0.07857066468841128</x:v>
      </x:c>
      <x:c r="M65" s="30" t="n">
        <x:v>0.471</x:v>
      </x:c>
      <x:c r="N65" s="19" t="n">
        <x:v>2000</x:v>
      </x:c>
      <x:c r="O65" t="b">
        <x:f>P65="legacy_common_sample_8902245"</x:f>
        <x:v>1</x:v>
      </x:c>
      <x:c r="P65" t="str">
        <x:v>legacy_common_sample_8902245</x:v>
      </x:c>
      <x:c r="Q65" s="74" t="n">
        <x:v>46210.75457434028</x:v>
      </x:c>
      <x:c r="R65" s="19" t="n">
        <x:v>8902245</x:v>
      </x:c>
      <x:c r="S65" t="str">
        <x:v>40355b29bce094aef0e99358bdfd4011b92e72a54440a67760de4afae4883c33</x:v>
      </x:c>
      <x:c r="T65" t="str">
        <x:v>factor_report/gtja191_batch/gtja_137/ic_summary.csv</x:v>
      </x:c>
    </x:row>
    <x:row r="66">
      <x:c r="A66" s="50" t="n">
        <x:f>IF($P66="legacy_common_sample_8902245",1+COUNTIFS($C$5:$C$546,$C66,$P$5:$P$546,"legacy_common_sample_8902245",$I$5:$I$546,"&gt;"&amp;$I66),"")</x:f>
        <x:v>62</x:v>
      </x:c>
      <x:c r="B66" t="str">
        <x:v>gtja_147</x:v>
      </x:c>
      <x:c r="C66" s="50" t="n">
        <x:v>1</x:v>
      </x:c>
      <x:c r="D66" t="str">
        <x:f>IF(E66&gt;=0,"positive","negative")</x:f>
        <x:v>negative</x:v>
      </x:c>
      <x:c r="E66" s="30" t="n">
        <x:v>-0.024348611738280894</x:v>
      </x:c>
      <x:c r="F66" s="30" t="n">
        <x:f>ABS(E66)</x:f>
        <x:v>0.024348611738280894</x:v>
      </x:c>
      <x:c r="G66" s="30" t="n">
        <x:v>0.14271405510978744</x:v>
      </x:c>
      <x:c r="H66" s="30" t="n">
        <x:v>-0.17061116874262966</x:v>
      </x:c>
      <x:c r="I66" s="30" t="n">
        <x:f>ABS(H66)</x:f>
        <x:v>0.17061116874262966</x:v>
      </x:c>
      <x:c r="J66" s="30" t="n">
        <x:v>0.421</x:v>
      </x:c>
      <x:c r="K66" s="30" t="n">
        <x:v>-0.007216156994417308</x:v>
      </x:c>
      <x:c r="L66" s="30" t="n">
        <x:v>-0.07795172692439106</x:v>
      </x:c>
      <x:c r="M66" s="30" t="n">
        <x:v>0.4715</x:v>
      </x:c>
      <x:c r="N66" s="19" t="n">
        <x:v>2000</x:v>
      </x:c>
      <x:c r="O66" t="b">
        <x:f>P66="legacy_common_sample_8902245"</x:f>
        <x:v>1</x:v>
      </x:c>
      <x:c r="P66" t="str">
        <x:v>legacy_common_sample_8902245</x:v>
      </x:c>
      <x:c r="Q66" s="74" t="n">
        <x:v>46210.805681736114</x:v>
      </x:c>
      <x:c r="R66" s="19" t="n">
        <x:v>8902245</x:v>
      </x:c>
      <x:c r="S66" t="str">
        <x:v>40355b29bce094aef0e99358bdfd4011b92e72a54440a67760de4afae4883c33</x:v>
      </x:c>
      <x:c r="T66" t="str">
        <x:v>factor_report/gtja191_batch/gtja_147/ic_summary.csv</x:v>
      </x:c>
    </x:row>
    <x:row r="67">
      <x:c r="A67" s="50" t="n">
        <x:f>IF($P67="legacy_common_sample_8902245",1+COUNTIFS($C$5:$C$546,$C67,$P$5:$P$546,"legacy_common_sample_8902245",$I$5:$I$546,"&gt;"&amp;$I67),"")</x:f>
        <x:v>63</x:v>
      </x:c>
      <x:c r="B67" t="str">
        <x:v>gtja_135</x:v>
      </x:c>
      <x:c r="C67" s="50" t="n">
        <x:v>1</x:v>
      </x:c>
      <x:c r="D67" t="str">
        <x:f>IF(E67&gt;=0,"positive","negative")</x:f>
        <x:v>negative</x:v>
      </x:c>
      <x:c r="E67" s="30" t="n">
        <x:v>-0.0271013404194672</x:v>
      </x:c>
      <x:c r="F67" s="30" t="n">
        <x:f>ABS(E67)</x:f>
        <x:v>0.0271013404194672</x:v>
      </x:c>
      <x:c r="G67" s="30" t="n">
        <x:v>0.1602785053973359</x:v>
      </x:c>
      <x:c r="H67" s="30" t="n">
        <x:v>-0.16908905128783205</x:v>
      </x:c>
      <x:c r="I67" s="30" t="n">
        <x:f>ABS(H67)</x:f>
        <x:v>0.16908905128783205</x:v>
      </x:c>
      <x:c r="J67" s="30" t="n">
        <x:v>0.4275</x:v>
      </x:c>
      <x:c r="K67" s="30" t="n">
        <x:v>-0.011004437969121924</x:v>
      </x:c>
      <x:c r="L67" s="30" t="n">
        <x:v>-0.07879614324855151</x:v>
      </x:c>
      <x:c r="M67" s="30" t="n">
        <x:v>0.464</x:v>
      </x:c>
      <x:c r="N67" s="19" t="n">
        <x:v>2000</x:v>
      </x:c>
      <x:c r="O67" t="b">
        <x:f>P67="legacy_common_sample_8902245"</x:f>
        <x:v>1</x:v>
      </x:c>
      <x:c r="P67" t="str">
        <x:v>legacy_common_sample_8902245</x:v>
      </x:c>
      <x:c r="Q67" s="74" t="n">
        <x:v>46210.7465330787</x:v>
      </x:c>
      <x:c r="R67" s="19" t="n">
        <x:v>8902245</x:v>
      </x:c>
      <x:c r="S67" t="str">
        <x:v>40355b29bce094aef0e99358bdfd4011b92e72a54440a67760de4afae4883c33</x:v>
      </x:c>
      <x:c r="T67" t="str">
        <x:v>factor_report/gtja191_batch/gtja_135/ic_summary.csv</x:v>
      </x:c>
    </x:row>
    <x:row r="68">
      <x:c r="A68" s="50" t="n">
        <x:f>IF($P68="legacy_common_sample_8902245",1+COUNTIFS($C$5:$C$546,$C68,$P$5:$P$546,"legacy_common_sample_8902245",$I$5:$I$546,"&gt;"&amp;$I68),"")</x:f>
        <x:v>64</x:v>
      </x:c>
      <x:c r="B68" t="str">
        <x:v>gtja_021</x:v>
      </x:c>
      <x:c r="C68" s="50" t="n">
        <x:v>1</x:v>
      </x:c>
      <x:c r="D68" t="str">
        <x:f>IF(E68&gt;=0,"positive","negative")</x:f>
        <x:v>negative</x:v>
      </x:c>
      <x:c r="E68" s="30" t="n">
        <x:v>-0.023086049652659483</x:v>
      </x:c>
      <x:c r="F68" s="30" t="n">
        <x:f>ABS(E68)</x:f>
        <x:v>0.023086049652659483</x:v>
      </x:c>
      <x:c r="G68" s="30" t="n">
        <x:v>0.1371546388284735</x:v>
      </x:c>
      <x:c r="H68" s="30" t="n">
        <x:v>-0.16832131854855487</x:v>
      </x:c>
      <x:c r="I68" s="30" t="n">
        <x:f>ABS(H68)</x:f>
        <x:v>0.16832131854855487</x:v>
      </x:c>
      <x:c r="J68" s="30" t="n">
        <x:v>0.4235</x:v>
      </x:c>
      <x:c r="K68" s="30" t="n">
        <x:v>-0.008066334164354795</x:v>
      </x:c>
      <x:c r="L68" s="30" t="n">
        <x:v>-0.09127358431308072</x:v>
      </x:c>
      <x:c r="M68" s="30" t="n">
        <x:v>0.4645</x:v>
      </x:c>
      <x:c r="N68" s="19" t="n">
        <x:v>2000</x:v>
      </x:c>
      <x:c r="O68" t="b">
        <x:f>P68="legacy_common_sample_8902245"</x:f>
        <x:v>1</x:v>
      </x:c>
      <x:c r="P68" t="str">
        <x:v>legacy_common_sample_8902245</x:v>
      </x:c>
      <x:c r="Q68" s="74" t="n">
        <x:v>46210.1997081713</x:v>
      </x:c>
      <x:c r="R68" s="19" t="n">
        <x:v>8902245</x:v>
      </x:c>
      <x:c r="S68" t="str">
        <x:v>40355b29bce094aef0e99358bdfd4011b92e72a54440a67760de4afae4883c33</x:v>
      </x:c>
      <x:c r="T68" t="str">
        <x:v>factor_report/gtja191_batch/gtja_021/ic_summary.csv</x:v>
      </x:c>
    </x:row>
    <x:row r="69">
      <x:c r="A69" s="50" t="n">
        <x:f>IF($P69="legacy_common_sample_8902245",1+COUNTIFS($C$5:$C$546,$C69,$P$5:$P$546,"legacy_common_sample_8902245",$I$5:$I$546,"&gt;"&amp;$I69),"")</x:f>
        <x:v>65</x:v>
      </x:c>
      <x:c r="B69" t="str">
        <x:v>gtja_053</x:v>
      </x:c>
      <x:c r="C69" s="50" t="n">
        <x:v>1</x:v>
      </x:c>
      <x:c r="D69" t="str">
        <x:f>IF(E69&gt;=0,"positive","negative")</x:f>
        <x:v>negative</x:v>
      </x:c>
      <x:c r="E69" s="30" t="n">
        <x:v>-0.016102839965405964</x:v>
      </x:c>
      <x:c r="F69" s="30" t="n">
        <x:f>ABS(E69)</x:f>
        <x:v>0.016102839965405964</x:v>
      </x:c>
      <x:c r="G69" s="30" t="n">
        <x:v>0.10446396850624658</x:v>
      </x:c>
      <x:c r="H69" s="30" t="n">
        <x:v>-0.1541473121849001</x:v>
      </x:c>
      <x:c r="I69" s="30" t="n">
        <x:f>ABS(H69)</x:f>
        <x:v>0.1541473121849001</x:v>
      </x:c>
      <x:c r="J69" s="30" t="n">
        <x:v>0.4415</x:v>
      </x:c>
      <x:c r="K69" s="30" t="n">
        <x:v>-0.00401454304394823</x:v>
      </x:c>
      <x:c r="L69" s="30" t="n">
        <x:v>-0.043151924713635055</x:v>
      </x:c>
      <x:c r="M69" s="30" t="n">
        <x:v>0.4875</x:v>
      </x:c>
      <x:c r="N69" s="19" t="n">
        <x:v>2000</x:v>
      </x:c>
      <x:c r="O69" t="b">
        <x:f>P69="legacy_common_sample_8902245"</x:f>
        <x:v>1</x:v>
      </x:c>
      <x:c r="P69" t="str">
        <x:v>legacy_common_sample_8902245</x:v>
      </x:c>
      <x:c r="Q69" s="74" t="n">
        <x:v>46210.33939799768</x:v>
      </x:c>
      <x:c r="R69" s="19" t="n">
        <x:v>8902245</x:v>
      </x:c>
      <x:c r="S69" t="str">
        <x:v>40355b29bce094aef0e99358bdfd4011b92e72a54440a67760de4afae4883c33</x:v>
      </x:c>
      <x:c r="T69" t="str">
        <x:v>factor_report/gtja191_batch/gtja_053/ic_summary.csv</x:v>
      </x:c>
    </x:row>
    <x:row r="70">
      <x:c r="A70" s="50" t="n">
        <x:f>IF($P70="legacy_common_sample_8902245",1+COUNTIFS($C$5:$C$546,$C70,$P$5:$P$546,"legacy_common_sample_8902245",$I$5:$I$546,"&gt;"&amp;$I70),"")</x:f>
        <x:v>66</x:v>
      </x:c>
      <x:c r="B70" t="str">
        <x:v>gtja_169</x:v>
      </x:c>
      <x:c r="C70" s="50" t="n">
        <x:v>1</x:v>
      </x:c>
      <x:c r="D70" t="str">
        <x:f>IF(E70&gt;=0,"positive","negative")</x:f>
        <x:v>negative</x:v>
      </x:c>
      <x:c r="E70" s="30" t="n">
        <x:v>-0.019095546005785394</x:v>
      </x:c>
      <x:c r="F70" s="30" t="n">
        <x:f>ABS(E70)</x:f>
        <x:v>0.019095546005785394</x:v>
      </x:c>
      <x:c r="G70" s="30" t="n">
        <x:v>0.12432931948453992</x:v>
      </x:c>
      <x:c r="H70" s="30" t="n">
        <x:v>-0.1535884382296477</x:v>
      </x:c>
      <x:c r="I70" s="30" t="n">
        <x:f>ABS(H70)</x:f>
        <x:v>0.1535884382296477</x:v>
      </x:c>
      <x:c r="J70" s="30" t="n">
        <x:v>0.43</x:v>
      </x:c>
      <x:c r="K70" s="30" t="n">
        <x:v>-0.0049060465225575604</x:v>
      </x:c>
      <x:c r="L70" s="30" t="n">
        <x:v>-0.0637503648828582</x:v>
      </x:c>
      <x:c r="M70" s="30" t="n">
        <x:v>0.465</x:v>
      </x:c>
      <x:c r="N70" s="19" t="n">
        <x:v>2000</x:v>
      </x:c>
      <x:c r="O70" t="b">
        <x:f>P70="legacy_common_sample_8902245"</x:f>
        <x:v>1</x:v>
      </x:c>
      <x:c r="P70" t="str">
        <x:v>legacy_common_sample_8902245</x:v>
      </x:c>
      <x:c r="Q70" s="74" t="n">
        <x:v>46210.89785068287</x:v>
      </x:c>
      <x:c r="R70" s="19" t="n">
        <x:v>8902245</x:v>
      </x:c>
      <x:c r="S70" t="str">
        <x:v>40355b29bce094aef0e99358bdfd4011b92e72a54440a67760de4afae4883c33</x:v>
      </x:c>
      <x:c r="T70" t="str">
        <x:v>factor_report/gtja191_batch/gtja_169/ic_summary.csv</x:v>
      </x:c>
    </x:row>
    <x:row r="71">
      <x:c r="A71" s="50" t="n">
        <x:f>IF($P71="legacy_common_sample_8902245",1+COUNTIFS($C$5:$C$546,$C71,$P$5:$P$546,"legacy_common_sample_8902245",$I$5:$I$546,"&gt;"&amp;$I71),"")</x:f>
        <x:v>67</x:v>
      </x:c>
      <x:c r="B71" t="str">
        <x:v>gtja_058</x:v>
      </x:c>
      <x:c r="C71" s="50" t="n">
        <x:v>1</x:v>
      </x:c>
      <x:c r="D71" t="str">
        <x:f>IF(E71&gt;=0,"positive","negative")</x:f>
        <x:v>negative</x:v>
      </x:c>
      <x:c r="E71" s="30" t="n">
        <x:v>-0.016845757410535775</x:v>
      </x:c>
      <x:c r="F71" s="30" t="n">
        <x:f>ABS(E71)</x:f>
        <x:v>0.016845757410535775</x:v>
      </x:c>
      <x:c r="G71" s="30" t="n">
        <x:v>0.10993387354475967</x:v>
      </x:c>
      <x:c r="H71" s="30" t="n">
        <x:v>-0.153235366564947</x:v>
      </x:c>
      <x:c r="I71" s="30" t="n">
        <x:f>ABS(H71)</x:f>
        <x:v>0.153235366564947</x:v>
      </x:c>
      <x:c r="J71" s="30" t="n">
        <x:v>0.4385</x:v>
      </x:c>
      <x:c r="K71" s="30" t="n">
        <x:v>-0.0040216071350172985</x:v>
      </x:c>
      <x:c r="L71" s="30" t="n">
        <x:v>-0.04094377765641749</x:v>
      </x:c>
      <x:c r="M71" s="30" t="n">
        <x:v>0.4855</x:v>
      </x:c>
      <x:c r="N71" s="19" t="n">
        <x:v>2000</x:v>
      </x:c>
      <x:c r="O71" t="b">
        <x:f>P71="legacy_common_sample_8902245"</x:f>
        <x:v>1</x:v>
      </x:c>
      <x:c r="P71" t="str">
        <x:v>legacy_common_sample_8902245</x:v>
      </x:c>
      <x:c r="Q71" s="74" t="n">
        <x:v>46210.36385592593</x:v>
      </x:c>
      <x:c r="R71" s="19" t="n">
        <x:v>8902245</x:v>
      </x:c>
      <x:c r="S71" t="str">
        <x:v>40355b29bce094aef0e99358bdfd4011b92e72a54440a67760de4afae4883c33</x:v>
      </x:c>
      <x:c r="T71" t="str">
        <x:v>factor_report/gtja191_batch/gtja_058/ic_summary.csv</x:v>
      </x:c>
    </x:row>
    <x:row r="72">
      <x:c r="A72" s="50" t="n">
        <x:f>IF($P72="legacy_common_sample_8902245",1+COUNTIFS($C$5:$C$546,$C72,$P$5:$P$546,"legacy_common_sample_8902245",$I$5:$I$546,"&gt;"&amp;$I72),"")</x:f>
        <x:v>68</x:v>
      </x:c>
      <x:c r="B72" t="str">
        <x:v>gtja_174</x:v>
      </x:c>
      <x:c r="C72" s="50" t="n">
        <x:v>1</x:v>
      </x:c>
      <x:c r="D72" t="str">
        <x:f>IF(E72&gt;=0,"positive","negative")</x:f>
        <x:v>negative</x:v>
      </x:c>
      <x:c r="E72" s="30" t="n">
        <x:v>-0.02791735957948747</x:v>
      </x:c>
      <x:c r="F72" s="30" t="n">
        <x:f>ABS(E72)</x:f>
        <x:v>0.02791735957948747</x:v>
      </x:c>
      <x:c r="G72" s="30" t="n">
        <x:v>0.1863135956841658</x:v>
      </x:c>
      <x:c r="H72" s="30" t="n">
        <x:v>-0.14984069990690474</x:v>
      </x:c>
      <x:c r="I72" s="30" t="n">
        <x:f>ABS(H72)</x:f>
        <x:v>0.14984069990690474</x:v>
      </x:c>
      <x:c r="J72" s="30" t="n">
        <x:v>0.4355</x:v>
      </x:c>
      <x:c r="K72" s="30" t="n">
        <x:v>-0.003669004553180412</x:v>
      </x:c>
      <x:c r="L72" s="30" t="n">
        <x:v>-0.03324533352081508</x:v>
      </x:c>
      <x:c r="M72" s="30" t="n">
        <x:v>0.4855</x:v>
      </x:c>
      <x:c r="N72" s="19" t="n">
        <x:v>2000</x:v>
      </x:c>
      <x:c r="O72" t="b">
        <x:f>P72="legacy_common_sample_8902245"</x:f>
        <x:v>1</x:v>
      </x:c>
      <x:c r="P72" t="str">
        <x:v>legacy_common_sample_8902245</x:v>
      </x:c>
      <x:c r="Q72" s="74" t="n">
        <x:v>46210.92118445602</x:v>
      </x:c>
      <x:c r="R72" s="19" t="n">
        <x:v>8902245</x:v>
      </x:c>
      <x:c r="S72" t="str">
        <x:v>40355b29bce094aef0e99358bdfd4011b92e72a54440a67760de4afae4883c33</x:v>
      </x:c>
      <x:c r="T72" t="str">
        <x:v>factor_report/gtja191_batch/gtja_174/ic_summary.csv</x:v>
      </x:c>
    </x:row>
    <x:row r="73">
      <x:c r="A73" s="50" t="n">
        <x:f>IF($P73="legacy_common_sample_8902245",1+COUNTIFS($C$5:$C$546,$C73,$P$5:$P$546,"legacy_common_sample_8902245",$I$5:$I$546,"&gt;"&amp;$I73),"")</x:f>
        <x:v>69</x:v>
      </x:c>
      <x:c r="B73" t="str">
        <x:v>gtja_151</x:v>
      </x:c>
      <x:c r="C73" s="50" t="n">
        <x:v>1</x:v>
      </x:c>
      <x:c r="D73" t="str">
        <x:f>IF(E73&gt;=0,"positive","negative")</x:f>
        <x:v>negative</x:v>
      </x:c>
      <x:c r="E73" s="30" t="n">
        <x:v>-0.02290847888460326</x:v>
      </x:c>
      <x:c r="F73" s="30" t="n">
        <x:f>ABS(E73)</x:f>
        <x:v>0.02290847888460326</x:v>
      </x:c>
      <x:c r="G73" s="30" t="n">
        <x:v>0.15655081749666494</x:v>
      </x:c>
      <x:c r="H73" s="30" t="n">
        <x:v>-0.146332540774444</x:v>
      </x:c>
      <x:c r="I73" s="30" t="n">
        <x:f>ABS(H73)</x:f>
        <x:v>0.146332540774444</x:v>
      </x:c>
      <x:c r="J73" s="30" t="n">
        <x:v>0.441</x:v>
      </x:c>
      <x:c r="K73" s="30" t="n">
        <x:v>-0.0048412640669853214</x:v>
      </x:c>
      <x:c r="L73" s="30" t="n">
        <x:v>-0.047612866202099216</x:v>
      </x:c>
      <x:c r="M73" s="30" t="n">
        <x:v>0.4955</x:v>
      </x:c>
      <x:c r="N73" s="19" t="n">
        <x:v>2000</x:v>
      </x:c>
      <x:c r="O73" t="b">
        <x:f>P73="legacy_common_sample_8902245"</x:f>
        <x:v>1</x:v>
      </x:c>
      <x:c r="P73" t="str">
        <x:v>legacy_common_sample_8902245</x:v>
      </x:c>
      <x:c r="Q73" s="74" t="n">
        <x:v>46210.81806668981</x:v>
      </x:c>
      <x:c r="R73" s="19" t="n">
        <x:v>8902245</x:v>
      </x:c>
      <x:c r="S73" t="str">
        <x:v>40355b29bce094aef0e99358bdfd4011b92e72a54440a67760de4afae4883c33</x:v>
      </x:c>
      <x:c r="T73" t="str">
        <x:v>factor_report/gtja191_batch/gtja_151/ic_summary.csv</x:v>
      </x:c>
    </x:row>
    <x:row r="74">
      <x:c r="A74" s="50" t="n">
        <x:f>IF($P74="legacy_common_sample_8902245",1+COUNTIFS($C$5:$C$546,$C74,$P$5:$P$546,"legacy_common_sample_8902245",$I$5:$I$546,"&gt;"&amp;$I74),"")</x:f>
        <x:v>70</x:v>
      </x:c>
      <x:c r="B74" t="str">
        <x:v>gtja_129</x:v>
      </x:c>
      <x:c r="C74" s="50" t="n">
        <x:v>1</x:v>
      </x:c>
      <x:c r="D74" t="str">
        <x:f>IF(E74&gt;=0,"positive","negative")</x:f>
        <x:v>negative</x:v>
      </x:c>
      <x:c r="E74" s="30" t="n">
        <x:v>-0.026014001026110307</x:v>
      </x:c>
      <x:c r="F74" s="30" t="n">
        <x:f>ABS(E74)</x:f>
        <x:v>0.026014001026110307</x:v>
      </x:c>
      <x:c r="G74" s="30" t="n">
        <x:v>0.18433374390009888</x:v>
      </x:c>
      <x:c r="H74" s="30" t="n">
        <x:v>-0.14112446519943087</x:v>
      </x:c>
      <x:c r="I74" s="30" t="n">
        <x:f>ABS(H74)</x:f>
        <x:v>0.14112446519943087</x:v>
      </x:c>
      <x:c r="J74" s="30" t="n">
        <x:v>0.4445</x:v>
      </x:c>
      <x:c r="K74" s="30" t="n">
        <x:v>-0.0027445690453302965</x:v>
      </x:c>
      <x:c r="L74" s="30" t="n">
        <x:v>-0.025796276935073203</x:v>
      </x:c>
      <x:c r="M74" s="30" t="n">
        <x:v>0.485</x:v>
      </x:c>
      <x:c r="N74" s="19" t="n">
        <x:v>2000</x:v>
      </x:c>
      <x:c r="O74" t="b">
        <x:f>P74="legacy_common_sample_8902245"</x:f>
        <x:v>1</x:v>
      </x:c>
      <x:c r="P74" t="str">
        <x:v>legacy_common_sample_8902245</x:v>
      </x:c>
      <x:c r="Q74" s="74" t="n">
        <x:v>46210.71993697916</x:v>
      </x:c>
      <x:c r="R74" s="19" t="n">
        <x:v>8902245</x:v>
      </x:c>
      <x:c r="S74" t="str">
        <x:v>40355b29bce094aef0e99358bdfd4011b92e72a54440a67760de4afae4883c33</x:v>
      </x:c>
      <x:c r="T74" t="str">
        <x:v>factor_report/gtja191_batch/gtja_129/ic_summary.csv</x:v>
      </x:c>
    </x:row>
    <x:row r="75">
      <x:c r="A75" s="50" t="n">
        <x:f>IF($P75="legacy_common_sample_8902245",1+COUNTIFS($C$5:$C$546,$C75,$P$5:$P$546,"legacy_common_sample_8902245",$I$5:$I$546,"&gt;"&amp;$I75),"")</x:f>
        <x:v>71</x:v>
      </x:c>
      <x:c r="B75" t="str">
        <x:v>gtja_010</x:v>
      </x:c>
      <x:c r="C75" s="50" t="n">
        <x:v>1</x:v>
      </x:c>
      <x:c r="D75" t="str">
        <x:f>IF(E75&gt;=0,"positive","negative")</x:f>
        <x:v>negative</x:v>
      </x:c>
      <x:c r="E75" s="30" t="n">
        <x:v>-0.02171232407919523</x:v>
      </x:c>
      <x:c r="F75" s="30" t="n">
        <x:f>ABS(E75)</x:f>
        <x:v>0.02171232407919523</x:v>
      </x:c>
      <x:c r="G75" s="30" t="n">
        <x:v>0.16111767438633043</x:v>
      </x:c>
      <x:c r="H75" s="30" t="n">
        <x:v>-0.13476065963522466</x:v>
      </x:c>
      <x:c r="I75" s="30" t="n">
        <x:f>ABS(H75)</x:f>
        <x:v>0.13476065963522466</x:v>
      </x:c>
      <x:c r="J75" s="30" t="n">
        <x:v>0.453</x:v>
      </x:c>
      <x:c r="K75" s="30" t="n">
        <x:v>-0.007762503183969773</x:v>
      </x:c>
      <x:c r="L75" s="30" t="n">
        <x:v>-0.057437822245005495</x:v>
      </x:c>
      <x:c r="M75" s="30" t="n">
        <x:v>0.484</x:v>
      </x:c>
      <x:c r="N75" s="19" t="n">
        <x:v>2000</x:v>
      </x:c>
      <x:c r="O75" t="b">
        <x:f>P75="legacy_common_sample_8902245"</x:f>
        <x:v>1</x:v>
      </x:c>
      <x:c r="P75" t="str">
        <x:v>legacy_common_sample_8902245</x:v>
      </x:c>
      <x:c r="Q75" s="74" t="n">
        <x:v>46210.15392069444</x:v>
      </x:c>
      <x:c r="R75" s="19" t="n">
        <x:v>8902245</x:v>
      </x:c>
      <x:c r="S75" t="str">
        <x:v>40355b29bce094aef0e99358bdfd4011b92e72a54440a67760de4afae4883c33</x:v>
      </x:c>
      <x:c r="T75" t="str">
        <x:v>factor_report/gtja191_batch/gtja_010/ic_summary.csv</x:v>
      </x:c>
    </x:row>
    <x:row r="76">
      <x:c r="A76" s="50" t="n">
        <x:f>IF($P76="legacy_common_sample_8902245",1+COUNTIFS($C$5:$C$546,$C76,$P$5:$P$546,"legacy_common_sample_8902245",$I$5:$I$546,"&gt;"&amp;$I76),"")</x:f>
        <x:v>72</x:v>
      </x:c>
      <x:c r="B76" t="str">
        <x:v>gtja_023</x:v>
      </x:c>
      <x:c r="C76" s="50" t="n">
        <x:v>1</x:v>
      </x:c>
      <x:c r="D76" t="str">
        <x:f>IF(E76&gt;=0,"positive","negative")</x:f>
        <x:v>negative</x:v>
      </x:c>
      <x:c r="E76" s="30" t="n">
        <x:v>-0.014368128371761667</x:v>
      </x:c>
      <x:c r="F76" s="30" t="n">
        <x:f>ABS(E76)</x:f>
        <x:v>0.014368128371761667</x:v>
      </x:c>
      <x:c r="G76" s="30" t="n">
        <x:v>0.10702011820031729</x:v>
      </x:c>
      <x:c r="H76" s="30" t="n">
        <x:v>-0.13425633061690143</x:v>
      </x:c>
      <x:c r="I76" s="30" t="n">
        <x:f>ABS(H76)</x:f>
        <x:v>0.13425633061690143</x:v>
      </x:c>
      <x:c r="J76" s="30" t="n">
        <x:v>0.4495</x:v>
      </x:c>
      <x:c r="K76" s="30" t="n">
        <x:v>-0.004365516391079837</x:v>
      </x:c>
      <x:c r="L76" s="30" t="n">
        <x:v>-0.046368435325736874</x:v>
      </x:c>
      <x:c r="M76" s="30" t="n">
        <x:v>0.494</x:v>
      </x:c>
      <x:c r="N76" s="19" t="n">
        <x:v>2000</x:v>
      </x:c>
      <x:c r="O76" t="b">
        <x:f>P76="legacy_common_sample_8902245"</x:f>
        <x:v>1</x:v>
      </x:c>
      <x:c r="P76" t="str">
        <x:v>legacy_common_sample_8902245</x:v>
      </x:c>
      <x:c r="Q76" s="74" t="n">
        <x:v>46210.20966594907</x:v>
      </x:c>
      <x:c r="R76" s="19" t="n">
        <x:v>8902245</x:v>
      </x:c>
      <x:c r="S76" t="str">
        <x:v>40355b29bce094aef0e99358bdfd4011b92e72a54440a67760de4afae4883c33</x:v>
      </x:c>
      <x:c r="T76" t="str">
        <x:v>factor_report/gtja191_batch/gtja_023/ic_summary.csv</x:v>
      </x:c>
    </x:row>
    <x:row r="77">
      <x:c r="A77" s="50" t="n">
        <x:f>IF($P77="legacy_common_sample_8902245",1+COUNTIFS($C$5:$C$546,$C77,$P$5:$P$546,"legacy_common_sample_8902245",$I$5:$I$546,"&gt;"&amp;$I77),"")</x:f>
        <x:v>73</x:v>
      </x:c>
      <x:c r="B77" t="str">
        <x:v>gtja_160</x:v>
      </x:c>
      <x:c r="C77" s="50" t="n">
        <x:v>1</x:v>
      </x:c>
      <x:c r="D77" t="str">
        <x:f>IF(E77&gt;=0,"positive","negative")</x:f>
        <x:v>negative</x:v>
      </x:c>
      <x:c r="E77" s="30" t="n">
        <x:v>-0.02416931820708422</x:v>
      </x:c>
      <x:c r="F77" s="30" t="n">
        <x:f>ABS(E77)</x:f>
        <x:v>0.02416931820708422</x:v>
      </x:c>
      <x:c r="G77" s="30" t="n">
        <x:v>0.1851482061683731</x:v>
      </x:c>
      <x:c r="H77" s="30" t="n">
        <x:v>-0.1305403854958483</x:v>
      </x:c>
      <x:c r="I77" s="30" t="n">
        <x:f>ABS(H77)</x:f>
        <x:v>0.1305403854958483</x:v>
      </x:c>
      <x:c r="J77" s="30" t="n">
        <x:v>0.4445</x:v>
      </x:c>
      <x:c r="K77" s="30" t="n">
        <x:v>-0.001313067200133201</x:v>
      </x:c>
      <x:c r="L77" s="30" t="n">
        <x:v>-0.012200533571011857</x:v>
      </x:c>
      <x:c r="M77" s="30" t="n">
        <x:v>0.494</x:v>
      </x:c>
      <x:c r="N77" s="19" t="n">
        <x:v>2000</x:v>
      </x:c>
      <x:c r="O77" t="b">
        <x:f>P77="legacy_common_sample_8902245"</x:f>
        <x:v>1</x:v>
      </x:c>
      <x:c r="P77" t="str">
        <x:v>legacy_common_sample_8902245</x:v>
      </x:c>
      <x:c r="Q77" s="74" t="n">
        <x:v>46210.859459722225</x:v>
      </x:c>
      <x:c r="R77" s="19" t="n">
        <x:v>8902245</x:v>
      </x:c>
      <x:c r="S77" t="str">
        <x:v>40355b29bce094aef0e99358bdfd4011b92e72a54440a67760de4afae4883c33</x:v>
      </x:c>
      <x:c r="T77" t="str">
        <x:v>factor_report/gtja191_batch/gtja_160/ic_summary.csv</x:v>
      </x:c>
    </x:row>
    <x:row r="78">
      <x:c r="A78" s="50" t="n">
        <x:f>IF($P78="legacy_common_sample_8902245",1+COUNTIFS($C$5:$C$546,$C78,$P$5:$P$546,"legacy_common_sample_8902245",$I$5:$I$546,"&gt;"&amp;$I78),"")</x:f>
        <x:v>74</x:v>
      </x:c>
      <x:c r="B78" t="str">
        <x:v>gtja_173</x:v>
      </x:c>
      <x:c r="C78" s="50" t="n">
        <x:v>1</x:v>
      </x:c>
      <x:c r="D78" t="str">
        <x:f>IF(E78&gt;=0,"positive","negative")</x:f>
        <x:v>negative</x:v>
      </x:c>
      <x:c r="E78" s="30" t="n">
        <x:v>-0.021278486728351535</x:v>
      </x:c>
      <x:c r="F78" s="30" t="n">
        <x:f>ABS(E78)</x:f>
        <x:v>0.021278486728351535</x:v>
      </x:c>
      <x:c r="G78" s="30" t="n">
        <x:v>0.1674400942772943</x:v>
      </x:c>
      <x:c r="H78" s="30" t="n">
        <x:v>-0.12708119175513985</x:v>
      </x:c>
      <x:c r="I78" s="30" t="n">
        <x:f>ABS(H78)</x:f>
        <x:v>0.12708119175513985</x:v>
      </x:c>
      <x:c r="J78" s="30" t="n">
        <x:v>0.45</x:v>
      </x:c>
      <x:c r="K78" s="30" t="n">
        <x:v>-0.004286733186243646</x:v>
      </x:c>
      <x:c r="L78" s="30" t="n">
        <x:v>-0.048803109428575984</x:v>
      </x:c>
      <x:c r="M78" s="30" t="n">
        <x:v>0.475</x:v>
      </x:c>
      <x:c r="N78" s="19" t="n">
        <x:v>2000</x:v>
      </x:c>
      <x:c r="O78" t="b">
        <x:f>P78="legacy_common_sample_8902245"</x:f>
        <x:v>1</x:v>
      </x:c>
      <x:c r="P78" t="str">
        <x:v>legacy_common_sample_8902245</x:v>
      </x:c>
      <x:c r="Q78" s="74" t="n">
        <x:v>46210.91649931713</x:v>
      </x:c>
      <x:c r="R78" s="19" t="n">
        <x:v>8902245</x:v>
      </x:c>
      <x:c r="S78" t="str">
        <x:v>40355b29bce094aef0e99358bdfd4011b92e72a54440a67760de4afae4883c33</x:v>
      </x:c>
      <x:c r="T78" t="str">
        <x:v>factor_report/gtja191_batch/gtja_173/ic_summary.csv</x:v>
      </x:c>
    </x:row>
    <x:row r="79">
      <x:c r="A79" s="50" t="n">
        <x:f>IF($P79="legacy_common_sample_8902245",1+COUNTIFS($C$5:$C$546,$C79,$P$5:$P$546,"legacy_common_sample_8902245",$I$5:$I$546,"&gt;"&amp;$I79),"")</x:f>
        <x:v>75</x:v>
      </x:c>
      <x:c r="B79" t="str">
        <x:v>gtja_126</x:v>
      </x:c>
      <x:c r="C79" s="50" t="n">
        <x:v>1</x:v>
      </x:c>
      <x:c r="D79" t="str">
        <x:f>IF(E79&gt;=0,"positive","negative")</x:f>
        <x:v>negative</x:v>
      </x:c>
      <x:c r="E79" s="30" t="n">
        <x:v>-0.021097965625745237</x:v>
      </x:c>
      <x:c r="F79" s="30" t="n">
        <x:f>ABS(E79)</x:f>
        <x:v>0.021097965625745237</x:v>
      </x:c>
      <x:c r="G79" s="30" t="n">
        <x:v>0.16726477056914993</x:v>
      </x:c>
      <x:c r="H79" s="30" t="n">
        <x:v>-0.1261351422296245</x:v>
      </x:c>
      <x:c r="I79" s="30" t="n">
        <x:f>ABS(H79)</x:f>
        <x:v>0.1261351422296245</x:v>
      </x:c>
      <x:c r="J79" s="30" t="n">
        <x:v>0.453</x:v>
      </x:c>
      <x:c r="K79" s="30" t="n">
        <x:v>-0.003987116103157289</x:v>
      </x:c>
      <x:c r="L79" s="30" t="n">
        <x:v>-0.04675984736592413</x:v>
      </x:c>
      <x:c r="M79" s="30" t="n">
        <x:v>0.4775</x:v>
      </x:c>
      <x:c r="N79" s="19" t="n">
        <x:v>2000</x:v>
      </x:c>
      <x:c r="O79" t="b">
        <x:f>P79="legacy_common_sample_8902245"</x:f>
        <x:v>1</x:v>
      </x:c>
      <x:c r="P79" t="str">
        <x:v>legacy_common_sample_8902245</x:v>
      </x:c>
      <x:c r="Q79" s="74" t="n">
        <x:v>46210.70792734954</x:v>
      </x:c>
      <x:c r="R79" s="19" t="n">
        <x:v>8902245</x:v>
      </x:c>
      <x:c r="S79" t="str">
        <x:v>40355b29bce094aef0e99358bdfd4011b92e72a54440a67760de4afae4883c33</x:v>
      </x:c>
      <x:c r="T79" t="str">
        <x:v>factor_report/gtja191_batch/gtja_126/ic_summary.csv</x:v>
      </x:c>
    </x:row>
    <x:row r="80">
      <x:c r="A80" s="50" t="n">
        <x:f>IF($P80="legacy_common_sample_8902245",1+COUNTIFS($C$5:$C$546,$C80,$P$5:$P$546,"legacy_common_sample_8902245",$I$5:$I$546,"&gt;"&amp;$I80),"")</x:f>
        <x:v>76</x:v>
      </x:c>
      <x:c r="B80" t="str">
        <x:v>gtja_153</x:v>
      </x:c>
      <x:c r="C80" s="50" t="n">
        <x:v>1</x:v>
      </x:c>
      <x:c r="D80" t="str">
        <x:f>IF(E80&gt;=0,"positive","negative")</x:f>
        <x:v>negative</x:v>
      </x:c>
      <x:c r="E80" s="30" t="n">
        <x:v>-0.019613177718020416</x:v>
      </x:c>
      <x:c r="F80" s="30" t="n">
        <x:f>ABS(E80)</x:f>
        <x:v>0.019613177718020416</x:v>
      </x:c>
      <x:c r="G80" s="30" t="n">
        <x:v>0.16791184140411797</x:v>
      </x:c>
      <x:c r="H80" s="30" t="n">
        <x:v>-0.11680640003712932</x:v>
      </x:c>
      <x:c r="I80" s="30" t="n">
        <x:f>ABS(H80)</x:f>
        <x:v>0.11680640003712932</x:v>
      </x:c>
      <x:c r="J80" s="30" t="n">
        <x:v>0.458</x:v>
      </x:c>
      <x:c r="K80" s="30" t="n">
        <x:v>-0.003549649916552422</x:v>
      </x:c>
      <x:c r="L80" s="30" t="n">
        <x:v>-0.04165949434559529</x:v>
      </x:c>
      <x:c r="M80" s="30" t="n">
        <x:v>0.4815</x:v>
      </x:c>
      <x:c r="N80" s="19" t="n">
        <x:v>2000</x:v>
      </x:c>
      <x:c r="O80" t="b">
        <x:f>P80="legacy_common_sample_8902245"</x:f>
        <x:v>1</x:v>
      </x:c>
      <x:c r="P80" t="str">
        <x:v>legacy_common_sample_8902245</x:v>
      </x:c>
      <x:c r="Q80" s="74" t="n">
        <x:v>46210.827101863426</x:v>
      </x:c>
      <x:c r="R80" s="19" t="n">
        <x:v>8902245</x:v>
      </x:c>
      <x:c r="S80" t="str">
        <x:v>40355b29bce094aef0e99358bdfd4011b92e72a54440a67760de4afae4883c33</x:v>
      </x:c>
      <x:c r="T80" t="str">
        <x:v>factor_report/gtja191_batch/gtja_153/ic_summary.csv</x:v>
      </x:c>
    </x:row>
    <x:row r="81">
      <x:c r="A81" s="50" t="n">
        <x:f>IF($P81="legacy_common_sample_8902245",1+COUNTIFS($C$5:$C$546,$C81,$P$5:$P$546,"legacy_common_sample_8902245",$I$5:$I$546,"&gt;"&amp;$I81),"")</x:f>
        <x:v>77</x:v>
      </x:c>
      <x:c r="B81" t="str">
        <x:v>gtja_060</x:v>
      </x:c>
      <x:c r="C81" s="50" t="n">
        <x:v>1</x:v>
      </x:c>
      <x:c r="D81" t="str">
        <x:f>IF(E81&gt;=0,"positive","negative")</x:f>
        <x:v>negative</x:v>
      </x:c>
      <x:c r="E81" s="30" t="n">
        <x:v>-0.011815777105240049</x:v>
      </x:c>
      <x:c r="F81" s="30" t="n">
        <x:f>ABS(E81)</x:f>
        <x:v>0.011815777105240049</x:v>
      </x:c>
      <x:c r="G81" s="30" t="n">
        <x:v>0.10228609687148074</x:v>
      </x:c>
      <x:c r="H81" s="30" t="n">
        <x:v>-0.11551694185854212</x:v>
      </x:c>
      <x:c r="I81" s="30" t="n">
        <x:f>ABS(H81)</x:f>
        <x:v>0.11551694185854212</x:v>
      </x:c>
      <x:c r="J81" s="30" t="n">
        <x:v>0.4545</x:v>
      </x:c>
      <x:c r="K81" s="30" t="n">
        <x:v>-0.005138306780341017</x:v>
      </x:c>
      <x:c r="L81" s="30" t="n">
        <x:v>-0.0827402968221404</x:v>
      </x:c>
      <x:c r="M81" s="30" t="n">
        <x:v>0.467</x:v>
      </x:c>
      <x:c r="N81" s="19" t="n">
        <x:v>2000</x:v>
      </x:c>
      <x:c r="O81" t="b">
        <x:f>P81="legacy_common_sample_8902245"</x:f>
        <x:v>1</x:v>
      </x:c>
      <x:c r="P81" t="str">
        <x:v>legacy_common_sample_8902245</x:v>
      </x:c>
      <x:c r="Q81" s="74" t="n">
        <x:v>46210.37184259259</x:v>
      </x:c>
      <x:c r="R81" s="19" t="n">
        <x:v>8902245</x:v>
      </x:c>
      <x:c r="S81" t="str">
        <x:v>40355b29bce094aef0e99358bdfd4011b92e72a54440a67760de4afae4883c33</x:v>
      </x:c>
      <x:c r="T81" t="str">
        <x:v>factor_report/gtja191_batch/gtja_060/ic_summary.csv</x:v>
      </x:c>
    </x:row>
    <x:row r="82">
      <x:c r="A82" s="50" t="n">
        <x:f>IF($P82="legacy_common_sample_8902245",1+COUNTIFS($C$5:$C$546,$C82,$P$5:$P$546,"legacy_common_sample_8902245",$I$5:$I$546,"&gt;"&amp;$I82),"")</x:f>
        <x:v>78</x:v>
      </x:c>
      <x:c r="B82" t="str">
        <x:v>gtja_152</x:v>
      </x:c>
      <x:c r="C82" s="50" t="n">
        <x:v>1</x:v>
      </x:c>
      <x:c r="D82" t="str">
        <x:f>IF(E82&gt;=0,"positive","negative")</x:f>
        <x:v>negative</x:v>
      </x:c>
      <x:c r="E82" s="30" t="n">
        <x:v>-0.01459540524139156</x:v>
      </x:c>
      <x:c r="F82" s="30" t="n">
        <x:f>ABS(E82)</x:f>
        <x:v>0.01459540524139156</x:v>
      </x:c>
      <x:c r="G82" s="30" t="n">
        <x:v>0.12663285539332156</x:v>
      </x:c>
      <x:c r="H82" s="30" t="n">
        <x:v>-0.11525764933640832</x:v>
      </x:c>
      <x:c r="I82" s="30" t="n">
        <x:f>ABS(H82)</x:f>
        <x:v>0.11525764933640832</x:v>
      </x:c>
      <x:c r="J82" s="30" t="n">
        <x:v>0.4465</x:v>
      </x:c>
      <x:c r="K82" s="30" t="n">
        <x:v>-0.00608912035963732</x:v>
      </x:c>
      <x:c r="L82" s="30" t="n">
        <x:v>-0.059114103815371494</x:v>
      </x:c>
      <x:c r="M82" s="30" t="n">
        <x:v>0.4795</x:v>
      </x:c>
      <x:c r="N82" s="19" t="n">
        <x:v>2000</x:v>
      </x:c>
      <x:c r="O82" t="b">
        <x:f>P82="legacy_common_sample_8902245"</x:f>
        <x:v>1</x:v>
      </x:c>
      <x:c r="P82" t="str">
        <x:v>legacy_common_sample_8902245</x:v>
      </x:c>
      <x:c r="Q82" s="74" t="n">
        <x:v>46210.823093680556</x:v>
      </x:c>
      <x:c r="R82" s="19" t="n">
        <x:v>8902245</x:v>
      </x:c>
      <x:c r="S82" t="str">
        <x:v>40355b29bce094aef0e99358bdfd4011b92e72a54440a67760de4afae4883c33</x:v>
      </x:c>
      <x:c r="T82" t="str">
        <x:v>factor_report/gtja191_batch/gtja_152/ic_summary.csv</x:v>
      </x:c>
    </x:row>
    <x:row r="83">
      <x:c r="A83" s="50" t="n">
        <x:f>IF($P83="legacy_common_sample_8902245",1+COUNTIFS($C$5:$C$546,$C83,$P$5:$P$546,"legacy_common_sample_8902245",$I$5:$I$546,"&gt;"&amp;$I83),"")</x:f>
        <x:v>79</x:v>
      </x:c>
      <x:c r="B83" t="str">
        <x:v>gtja_143</x:v>
      </x:c>
      <x:c r="C83" s="50" t="n">
        <x:v>1</x:v>
      </x:c>
      <x:c r="D83" t="str">
        <x:f>IF(E83&gt;=0,"positive","negative")</x:f>
        <x:v>negative</x:v>
      </x:c>
      <x:c r="E83" s="30" t="n">
        <x:v>-0.012789547134223096</x:v>
      </x:c>
      <x:c r="F83" s="30" t="n">
        <x:f>ABS(E83)</x:f>
        <x:v>0.012789547134223096</x:v>
      </x:c>
      <x:c r="G83" s="30" t="n">
        <x:v>0.11586609837595793</x:v>
      </x:c>
      <x:c r="H83" s="30" t="n">
        <x:v>-0.11038213345826195</x:v>
      </x:c>
      <x:c r="I83" s="30" t="n">
        <x:f>ABS(H83)</x:f>
        <x:v>0.11038213345826195</x:v>
      </x:c>
      <x:c r="J83" s="30" t="n">
        <x:v>0.444</x:v>
      </x:c>
      <x:c r="K83" s="30" t="n">
        <x:v>-0.0004631580312776754</x:v>
      </x:c>
      <x:c r="L83" s="30" t="n">
        <x:v>-0.00722816162643262</x:v>
      </x:c>
      <x:c r="M83" s="30" t="n">
        <x:v>0.473</x:v>
      </x:c>
      <x:c r="N83" s="19" t="n">
        <x:v>2000</x:v>
      </x:c>
      <x:c r="O83" t="b">
        <x:f>P83="legacy_common_sample_8902245"</x:f>
        <x:v>1</x:v>
      </x:c>
      <x:c r="P83" t="str">
        <x:v>legacy_common_sample_8902245</x:v>
      </x:c>
      <x:c r="Q83" s="74" t="n">
        <x:v>46210.787863425925</x:v>
      </x:c>
      <x:c r="R83" s="19" t="n">
        <x:v>8902245</x:v>
      </x:c>
      <x:c r="S83" t="str">
        <x:v>40355b29bce094aef0e99358bdfd4011b92e72a54440a67760de4afae4883c33</x:v>
      </x:c>
      <x:c r="T83" t="str">
        <x:v>factor_report/gtja191_batch/gtja_143/ic_summary.csv</x:v>
      </x:c>
    </x:row>
    <x:row r="84">
      <x:c r="A84" s="50" t="n">
        <x:f>IF($P84="legacy_common_sample_8902245",1+COUNTIFS($C$5:$C$546,$C84,$P$5:$P$546,"legacy_common_sample_8902245",$I$5:$I$546,"&gt;"&amp;$I84),"")</x:f>
        <x:v>80</x:v>
      </x:c>
      <x:c r="B84" t="str">
        <x:v>gtja_093</x:v>
      </x:c>
      <x:c r="C84" s="50" t="n">
        <x:v>1</x:v>
      </x:c>
      <x:c r="D84" t="str">
        <x:f>IF(E84&gt;=0,"positive","negative")</x:f>
        <x:v>negative</x:v>
      </x:c>
      <x:c r="E84" s="30" t="n">
        <x:v>-0.019563766405308748</x:v>
      </x:c>
      <x:c r="F84" s="30" t="n">
        <x:f>ABS(E84)</x:f>
        <x:v>0.019563766405308748</x:v>
      </x:c>
      <x:c r="G84" s="30" t="n">
        <x:v>0.17729481293906377</x:v>
      </x:c>
      <x:c r="H84" s="30" t="n">
        <x:v>-0.1103459603865163</x:v>
      </x:c>
      <x:c r="I84" s="30" t="n">
        <x:f>ABS(H84)</x:f>
        <x:v>0.1103459603865163</x:v>
      </x:c>
      <x:c r="J84" s="30" t="n">
        <x:v>0.451</x:v>
      </x:c>
      <x:c r="K84" s="30" t="n">
        <x:v>-0.0007903135235302557</x:v>
      </x:c>
      <x:c r="L84" s="30" t="n">
        <x:v>-0.007551144900933234</x:v>
      </x:c>
      <x:c r="M84" s="30" t="n">
        <x:v>0.497</x:v>
      </x:c>
      <x:c r="N84" s="19" t="n">
        <x:v>2000</x:v>
      </x:c>
      <x:c r="O84" t="b">
        <x:f>P84="legacy_common_sample_8902245"</x:f>
        <x:v>1</x:v>
      </x:c>
      <x:c r="P84" t="str">
        <x:v>legacy_common_sample_8902245</x:v>
      </x:c>
      <x:c r="Q84" s="74" t="n">
        <x:v>46210.543900254626</x:v>
      </x:c>
      <x:c r="R84" s="19" t="n">
        <x:v>8902245</x:v>
      </x:c>
      <x:c r="S84" t="str">
        <x:v>40355b29bce094aef0e99358bdfd4011b92e72a54440a67760de4afae4883c33</x:v>
      </x:c>
      <x:c r="T84" t="str">
        <x:v>factor_report/gtja191_batch/gtja_093/ic_summary.csv</x:v>
      </x:c>
    </x:row>
    <x:row r="85">
      <x:c r="A85" s="50" t="n">
        <x:f>IF($P85="legacy_common_sample_8902245",1+COUNTIFS($C$5:$C$546,$C85,$P$5:$P$546,"legacy_common_sample_8902245",$I$5:$I$546,"&gt;"&amp;$I85),"")</x:f>
        <x:v>81</x:v>
      </x:c>
      <x:c r="B85" t="str">
        <x:v>gtja_107</x:v>
      </x:c>
      <x:c r="C85" s="50" t="n">
        <x:v>1</x:v>
      </x:c>
      <x:c r="D85" t="str">
        <x:f>IF(E85&gt;=0,"positive","negative")</x:f>
        <x:v>negative</x:v>
      </x:c>
      <x:c r="E85" s="30" t="n">
        <x:v>-0.009023508854960031</x:v>
      </x:c>
      <x:c r="F85" s="30" t="n">
        <x:f>ABS(E85)</x:f>
        <x:v>0.009023508854960031</x:v>
      </x:c>
      <x:c r="G85" s="30" t="n">
        <x:v>0.09409368196588189</x:v>
      </x:c>
      <x:c r="H85" s="30" t="n">
        <x:v>-0.09589920031221577</x:v>
      </x:c>
      <x:c r="I85" s="30" t="n">
        <x:f>ABS(H85)</x:f>
        <x:v>0.09589920031221577</x:v>
      </x:c>
      <x:c r="J85" s="30" t="n">
        <x:v>0.4345</x:v>
      </x:c>
      <x:c r="K85" s="30" t="n">
        <x:v>0.002817934487308848</x:v>
      </x:c>
      <x:c r="L85" s="30" t="n">
        <x:v>0.038946367861893295</x:v>
      </x:c>
      <x:c r="M85" s="30" t="n">
        <x:v>0.523</x:v>
      </x:c>
      <x:c r="N85" s="19" t="n">
        <x:v>2000</x:v>
      </x:c>
      <x:c r="O85" t="b">
        <x:f>P85="legacy_common_sample_8902245"</x:f>
        <x:v>1</x:v>
      </x:c>
      <x:c r="P85" t="str">
        <x:v>legacy_common_sample_8902245</x:v>
      </x:c>
      <x:c r="Q85" s="74" t="n">
        <x:v>46210.60368208333</x:v>
      </x:c>
      <x:c r="R85" s="19" t="n">
        <x:v>8902245</x:v>
      </x:c>
      <x:c r="S85" t="str">
        <x:v>40355b29bce094aef0e99358bdfd4011b92e72a54440a67760de4afae4883c33</x:v>
      </x:c>
      <x:c r="T85" t="str">
        <x:v>factor_report/gtja191_batch/gtja_107/ic_summary.csv</x:v>
      </x:c>
    </x:row>
    <x:row r="86">
      <x:c r="A86" s="50" t="str">
        <x:f>IF($P86="legacy_common_sample_8902245",1+COUNTIFS($C$5:$C$546,$C86,$P$5:$P$546,"legacy_common_sample_8902245",$I$5:$I$546,"&gt;"&amp;$I86),"")</x:f>
      </x:c>
      <x:c r="B86" t="str">
        <x:v>gtja_005</x:v>
      </x:c>
      <x:c r="C86" s="50" t="n">
        <x:v>1</x:v>
      </x:c>
      <x:c r="D86" t="str">
        <x:f>IF(E86&gt;=0,"positive","negative")</x:f>
        <x:v>positive</x:v>
      </x:c>
      <x:c r="E86" s="30" t="n">
        <x:v>0.025079713667741598</x:v>
      </x:c>
      <x:c r="F86" s="30" t="n">
        <x:f>ABS(E86)</x:f>
        <x:v>0.025079713667741598</x:v>
      </x:c>
      <x:c r="G86" s="30" t="n">
        <x:v>0.07180593483059108</x:v>
      </x:c>
      <x:c r="H86" s="30" t="n">
        <x:v>0.34927076329987455</x:v>
      </x:c>
      <x:c r="I86" s="30" t="n">
        <x:f>ABS(H86)</x:f>
        <x:v>0.34927076329987455</x:v>
      </x:c>
      <x:c r="J86" s="30" t="n">
        <x:v>0.6464646464646465</x:v>
      </x:c>
      <x:c r="K86" s="30" t="n">
        <x:v>0.01031411164781602</x:v>
      </x:c>
      <x:c r="L86" s="30" t="n">
        <x:v>0.1648221986992726</x:v>
      </x:c>
      <x:c r="M86" s="30" t="n">
        <x:v>0.5676767676767677</x:v>
      </x:c>
      <x:c r="N86" s="19" t="n">
        <x:v>3960</x:v>
      </x:c>
      <x:c r="O86" t="b">
        <x:f>P86="legacy_common_sample_8902245"</x:f>
        <x:v>0</x:v>
      </x:c>
      <x:c r="P86" t="str">
        <x:v>latest_context_sample_13231952</x:v>
      </x:c>
      <x:c r="Q86" s="74" t="n">
        <x:v>46230.276212083336</x:v>
      </x:c>
      <x:c r="R86" s="19" t="n">
        <x:v>13231952</x:v>
      </x:c>
      <x:c r="S86" t="str">
        <x:v>c89ec58a501c3ee9d35b4d16a82c2c097120d5210dcc66310d77aa437a3c789b</x:v>
      </x:c>
      <x:c r="T86" t="str">
        <x:v>factor_report/gtja191_batch/gtja_005/ic_summary.csv</x:v>
      </x:c>
    </x:row>
    <x:row r="87">
      <x:c r="A87" s="50" t="str">
        <x:f>IF($P87="legacy_common_sample_8902245",1+COUNTIFS($C$5:$C$546,$C87,$P$5:$P$546,"legacy_common_sample_8902245",$I$5:$I$546,"&gt;"&amp;$I87),"")</x:f>
      </x:c>
      <x:c r="B87" t="str">
        <x:v>gtja_012</x:v>
      </x:c>
      <x:c r="C87" s="50" t="n">
        <x:v>1</x:v>
      </x:c>
      <x:c r="D87" t="str">
        <x:f>IF(E87&gt;=0,"positive","negative")</x:f>
        <x:v>positive</x:v>
      </x:c>
      <x:c r="E87" s="30" t="n">
        <x:v>0.028202410278958145</x:v>
      </x:c>
      <x:c r="F87" s="30" t="n">
        <x:f>ABS(E87)</x:f>
        <x:v>0.028202410278958145</x:v>
      </x:c>
      <x:c r="G87" s="30" t="n">
        <x:v>0.11274159859213079</x:v>
      </x:c>
      <x:c r="H87" s="30" t="n">
        <x:v>0.25015088158353144</x:v>
      </x:c>
      <x:c r="I87" s="30" t="n">
        <x:f>ABS(H87)</x:f>
        <x:v>0.25015088158353144</x:v>
      </x:c>
      <x:c r="J87" s="30" t="n">
        <x:v>0.6111111111111112</x:v>
      </x:c>
      <x:c r="K87" s="30" t="n">
        <x:v>0.01671238268572639</x:v>
      </x:c>
      <x:c r="L87" s="30" t="n">
        <x:v>0.15139698813296756</x:v>
      </x:c>
      <x:c r="M87" s="30" t="n">
        <x:v>0.5702020202020202</x:v>
      </x:c>
      <x:c r="N87" s="19" t="n">
        <x:v>3960</x:v>
      </x:c>
      <x:c r="O87" t="b">
        <x:f>P87="legacy_common_sample_8902245"</x:f>
        <x:v>0</x:v>
      </x:c>
      <x:c r="P87" t="str">
        <x:v>latest_context_sample_13231952</x:v>
      </x:c>
      <x:c r="Q87" s="74" t="n">
        <x:v>46230.30990840278</x:v>
      </x:c>
      <x:c r="R87" s="19" t="n">
        <x:v>13231952</x:v>
      </x:c>
      <x:c r="S87" t="str">
        <x:v>c89ec58a501c3ee9d35b4d16a82c2c097120d5210dcc66310d77aa437a3c789b</x:v>
      </x:c>
      <x:c r="T87" t="str">
        <x:v>factor_report/gtja191_batch/gtja_012/ic_summary.csv</x:v>
      </x:c>
    </x:row>
    <x:row r="88">
      <x:c r="A88" s="50" t="str">
        <x:f>IF($P88="legacy_common_sample_8902245",1+COUNTIFS($C$5:$C$546,$C88,$P$5:$P$546,"legacy_common_sample_8902245",$I$5:$I$546,"&gt;"&amp;$I88),"")</x:f>
      </x:c>
      <x:c r="B88" t="str">
        <x:v>gtja_007</x:v>
      </x:c>
      <x:c r="C88" s="50" t="n">
        <x:v>1</x:v>
      </x:c>
      <x:c r="D88" t="str">
        <x:f>IF(E88&gt;=0,"positive","negative")</x:f>
        <x:v>positive</x:v>
      </x:c>
      <x:c r="E88" s="30" t="n">
        <x:v>0.015733085135450964</x:v>
      </x:c>
      <x:c r="F88" s="30" t="n">
        <x:f>ABS(E88)</x:f>
        <x:v>0.015733085135450964</x:v>
      </x:c>
      <x:c r="G88" s="30" t="n">
        <x:v>0.07633627341466157</x:v>
      </x:c>
      <x:c r="H88" s="30" t="n">
        <x:v>0.2061023473072656</x:v>
      </x:c>
      <x:c r="I88" s="30" t="n">
        <x:f>ABS(H88)</x:f>
        <x:v>0.2061023473072656</x:v>
      </x:c>
      <x:c r="J88" s="30" t="n">
        <x:v>0.5891414141414142</x:v>
      </x:c>
      <x:c r="K88" s="30" t="n">
        <x:v>0.010753519310585187</x:v>
      </x:c>
      <x:c r="L88" s="30" t="n">
        <x:v>0.16374978833310846</x:v>
      </x:c>
      <x:c r="M88" s="30" t="n">
        <x:v>0.5643939393939394</x:v>
      </x:c>
      <x:c r="N88" s="19" t="n">
        <x:v>3960</x:v>
      </x:c>
      <x:c r="O88" t="b">
        <x:f>P88="legacy_common_sample_8902245"</x:f>
        <x:v>0</x:v>
      </x:c>
      <x:c r="P88" t="str">
        <x:v>latest_context_sample_13231952</x:v>
      </x:c>
      <x:c r="Q88" s="74" t="n">
        <x:v>46230.29278930555</x:v>
      </x:c>
      <x:c r="R88" s="19" t="n">
        <x:v>13231952</x:v>
      </x:c>
      <x:c r="S88" t="str">
        <x:v>c89ec58a501c3ee9d35b4d16a82c2c097120d5210dcc66310d77aa437a3c789b</x:v>
      </x:c>
      <x:c r="T88" t="str">
        <x:v>factor_report/gtja191_batch/gtja_007/ic_summary.csv</x:v>
      </x:c>
    </x:row>
    <x:row r="89">
      <x:c r="A89" s="50" t="str">
        <x:f>IF($P89="legacy_common_sample_8902245",1+COUNTIFS($C$5:$C$546,$C89,$P$5:$P$546,"legacy_common_sample_8902245",$I$5:$I$546,"&gt;"&amp;$I89),"")</x:f>
      </x:c>
      <x:c r="B89" t="str">
        <x:v>gtja_015</x:v>
      </x:c>
      <x:c r="C89" s="50" t="n">
        <x:v>1</x:v>
      </x:c>
      <x:c r="D89" t="str">
        <x:f>IF(E89&gt;=0,"positive","negative")</x:f>
        <x:v>positive</x:v>
      </x:c>
      <x:c r="E89" s="30" t="n">
        <x:v>0.010154917297053636</x:v>
      </x:c>
      <x:c r="F89" s="30" t="n">
        <x:f>ABS(E89)</x:f>
        <x:v>0.010154917297053636</x:v>
      </x:c>
      <x:c r="G89" s="30" t="n">
        <x:v>0.07170212890566337</x:v>
      </x:c>
      <x:c r="H89" s="30" t="n">
        <x:v>0.1416264405540064</x:v>
      </x:c>
      <x:c r="I89" s="30" t="n">
        <x:f>ABS(H89)</x:f>
        <x:v>0.1416264405540064</x:v>
      </x:c>
      <x:c r="J89" s="30" t="n">
        <x:v>0.5752525252525252</x:v>
      </x:c>
      <x:c r="K89" s="30" t="n">
        <x:v>0.016328945683282168</x:v>
      </x:c>
      <x:c r="L89" s="30" t="n">
        <x:v>0.23069980183177557</x:v>
      </x:c>
      <x:c r="M89" s="30" t="n">
        <x:v>0.6032828282828283</x:v>
      </x:c>
      <x:c r="N89" s="19" t="n">
        <x:v>3960</x:v>
      </x:c>
      <x:c r="O89" t="b">
        <x:f>P89="legacy_common_sample_8902245"</x:f>
        <x:v>0</x:v>
      </x:c>
      <x:c r="P89" t="str">
        <x:v>latest_context_sample_13231952</x:v>
      </x:c>
      <x:c r="Q89" s="74" t="n">
        <x:v>46230.32700612269</x:v>
      </x:c>
      <x:c r="R89" s="19" t="n">
        <x:v>13231952</x:v>
      </x:c>
      <x:c r="S89" t="str">
        <x:v>c89ec58a501c3ee9d35b4d16a82c2c097120d5210dcc66310d77aa437a3c789b</x:v>
      </x:c>
      <x:c r="T89" t="str">
        <x:v>factor_report/gtja191_batch/gtja_015/ic_summary.csv</x:v>
      </x:c>
    </x:row>
    <x:row r="90">
      <x:c r="A90" s="50" t="n">
        <x:f>IF($P90="legacy_common_sample_8902245",1+COUNTIFS($C$5:$C$546,$C90,$P$5:$P$546,"legacy_common_sample_8902245",$I$5:$I$546,"&gt;"&amp;$I90),"")</x:f>
        <x:v>1</x:v>
      </x:c>
      <x:c r="B90" t="str">
        <x:v>gtja_176</x:v>
      </x:c>
      <x:c r="C90" s="50" t="n">
        <x:v>5</x:v>
      </x:c>
      <x:c r="D90" t="str">
        <x:f>IF(E90&gt;=0,"positive","negative")</x:f>
        <x:v>negative</x:v>
      </x:c>
      <x:c r="E90" s="30" t="n">
        <x:v>-0.030987803007717876</x:v>
      </x:c>
      <x:c r="F90" s="30" t="n">
        <x:f>ABS(E90)</x:f>
        <x:v>0.030987803007717876</x:v>
      </x:c>
      <x:c r="G90" s="30" t="n">
        <x:v>0.051167337377863865</x:v>
      </x:c>
      <x:c r="H90" s="30" t="n">
        <x:v>-0.6056168758377467</x:v>
      </x:c>
      <x:c r="I90" s="30" t="n">
        <x:f>ABS(H90)</x:f>
        <x:v>0.6056168758377467</x:v>
      </x:c>
      <x:c r="J90" s="30" t="n">
        <x:v>0.26452905811623245</x:v>
      </x:c>
      <x:c r="K90" s="30" t="n">
        <x:v>-0.010646708424519192</x:v>
      </x:c>
      <x:c r="L90" s="30" t="n">
        <x:v>-0.24316744141752575</x:v>
      </x:c>
      <x:c r="M90" s="30" t="n">
        <x:v>0.4028056112224449</x:v>
      </x:c>
      <x:c r="N90" s="19" t="n">
        <x:v>1996</x:v>
      </x:c>
      <x:c r="O90" t="b">
        <x:f>P90="legacy_common_sample_8902245"</x:f>
        <x:v>1</x:v>
      </x:c>
      <x:c r="P90" t="str">
        <x:v>legacy_common_sample_8902245</x:v>
      </x:c>
      <x:c r="Q90" s="74" t="n">
        <x:v>46210.92925570602</x:v>
      </x:c>
      <x:c r="R90" s="19" t="n">
        <x:v>8902245</x:v>
      </x:c>
      <x:c r="S90" t="str">
        <x:v>40355b29bce094aef0e99358bdfd4011b92e72a54440a67760de4afae4883c33</x:v>
      </x:c>
      <x:c r="T90" t="str">
        <x:v>factor_report/gtja191_batch/gtja_176/ic_summary.csv</x:v>
      </x:c>
    </x:row>
    <x:row r="91">
      <x:c r="A91" s="50" t="n">
        <x:f>IF($P91="legacy_common_sample_8902245",1+COUNTIFS($C$5:$C$546,$C91,$P$5:$P$546,"legacy_common_sample_8902245",$I$5:$I$546,"&gt;"&amp;$I91),"")</x:f>
        <x:v>2</x:v>
      </x:c>
      <x:c r="B91" t="str">
        <x:v>gtja_036</x:v>
      </x:c>
      <x:c r="C91" s="50" t="n">
        <x:v>5</x:v>
      </x:c>
      <x:c r="D91" t="str">
        <x:f>IF(E91&gt;=0,"positive","negative")</x:f>
        <x:v>negative</x:v>
      </x:c>
      <x:c r="E91" s="30" t="n">
        <x:v>-0.03964438279450235</x:v>
      </x:c>
      <x:c r="F91" s="30" t="n">
        <x:f>ABS(E91)</x:f>
        <x:v>0.03964438279450235</x:v>
      </x:c>
      <x:c r="G91" s="30" t="n">
        <x:v>0.06598612552820726</x:v>
      </x:c>
      <x:c r="H91" s="30" t="n">
        <x:v>-0.600798766061139</x:v>
      </x:c>
      <x:c r="I91" s="30" t="n">
        <x:f>ABS(H91)</x:f>
        <x:v>0.600798766061139</x:v>
      </x:c>
      <x:c r="J91" s="30" t="n">
        <x:v>0.26102204408817636</x:v>
      </x:c>
      <x:c r="K91" s="30" t="n">
        <x:v>-0.016290995186504936</x:v>
      </x:c>
      <x:c r="L91" s="30" t="n">
        <x:v>-0.27986013216852995</x:v>
      </x:c>
      <x:c r="M91" s="30" t="n">
        <x:v>0.3927855711422846</x:v>
      </x:c>
      <x:c r="N91" s="19" t="n">
        <x:v>1996</x:v>
      </x:c>
      <x:c r="O91" t="b">
        <x:f>P91="legacy_common_sample_8902245"</x:f>
        <x:v>1</x:v>
      </x:c>
      <x:c r="P91" t="str">
        <x:v>legacy_common_sample_8902245</x:v>
      </x:c>
      <x:c r="Q91" s="74" t="n">
        <x:v>46210.26318543981</x:v>
      </x:c>
      <x:c r="R91" s="19" t="n">
        <x:v>8902245</x:v>
      </x:c>
      <x:c r="S91" t="str">
        <x:v>40355b29bce094aef0e99358bdfd4011b92e72a54440a67760de4afae4883c33</x:v>
      </x:c>
      <x:c r="T91" t="str">
        <x:v>factor_report/gtja191_batch/gtja_036/ic_summary.csv</x:v>
      </x:c>
    </x:row>
    <x:row r="92">
      <x:c r="A92" s="50" t="n">
        <x:f>IF($P92="legacy_common_sample_8902245",1+COUNTIFS($C$5:$C$546,$C92,$P$5:$P$546,"legacy_common_sample_8902245",$I$5:$I$546,"&gt;"&amp;$I92),"")</x:f>
        <x:v>3</x:v>
      </x:c>
      <x:c r="B92" t="str">
        <x:v>gtja_070</x:v>
      </x:c>
      <x:c r="C92" s="50" t="n">
        <x:v>5</x:v>
      </x:c>
      <x:c r="D92" t="str">
        <x:f>IF(E92&gt;=0,"positive","negative")</x:f>
        <x:v>negative</x:v>
      </x:c>
      <x:c r="E92" s="30" t="n">
        <x:v>-0.07833974128786508</x:v>
      </x:c>
      <x:c r="F92" s="30" t="n">
        <x:f>ABS(E92)</x:f>
        <x:v>0.07833974128786508</x:v>
      </x:c>
      <x:c r="G92" s="30" t="n">
        <x:v>0.13805810019006223</x:v>
      </x:c>
      <x:c r="H92" s="30" t="n">
        <x:v>-0.5674403832880222</x:v>
      </x:c>
      <x:c r="I92" s="30" t="n">
        <x:f>ABS(H92)</x:f>
        <x:v>0.5674403832880222</x:v>
      </x:c>
      <x:c r="J92" s="30" t="n">
        <x:v>0.28106212424849697</x:v>
      </x:c>
      <x:c r="K92" s="30" t="n">
        <x:v>-0.025853280591110018</x:v>
      </x:c>
      <x:c r="L92" s="30" t="n">
        <x:v>-0.2895151972084515</x:v>
      </x:c>
      <x:c r="M92" s="30" t="n">
        <x:v>0.37374749498997994</x:v>
      </x:c>
      <x:c r="N92" s="19" t="n">
        <x:v>1996</x:v>
      </x:c>
      <x:c r="O92" t="b">
        <x:f>P92="legacy_common_sample_8902245"</x:f>
        <x:v>1</x:v>
      </x:c>
      <x:c r="P92" t="str">
        <x:v>legacy_common_sample_8902245</x:v>
      </x:c>
      <x:c r="Q92" s="74" t="n">
        <x:v>46210.41622457176</x:v>
      </x:c>
      <x:c r="R92" s="19" t="n">
        <x:v>8902245</x:v>
      </x:c>
      <x:c r="S92" t="str">
        <x:v>40355b29bce094aef0e99358bdfd4011b92e72a54440a67760de4afae4883c33</x:v>
      </x:c>
      <x:c r="T92" t="str">
        <x:v>factor_report/gtja191_batch/gtja_070/ic_summary.csv</x:v>
      </x:c>
    </x:row>
    <x:row r="93">
      <x:c r="A93" s="50" t="n">
        <x:f>IF($P93="legacy_common_sample_8902245",1+COUNTIFS($C$5:$C$546,$C93,$P$5:$P$546,"legacy_common_sample_8902245",$I$5:$I$546,"&gt;"&amp;$I93),"")</x:f>
        <x:v>4</x:v>
      </x:c>
      <x:c r="B93" t="str">
        <x:v>gtja_150</x:v>
      </x:c>
      <x:c r="C93" s="50" t="n">
        <x:v>5</x:v>
      </x:c>
      <x:c r="D93" t="str">
        <x:f>IF(E93&gt;=0,"positive","negative")</x:f>
        <x:v>negative</x:v>
      </x:c>
      <x:c r="E93" s="30" t="n">
        <x:v>-0.07784400675240061</x:v>
      </x:c>
      <x:c r="F93" s="30" t="n">
        <x:f>ABS(E93)</x:f>
        <x:v>0.07784400675240061</x:v>
      </x:c>
      <x:c r="G93" s="30" t="n">
        <x:v>0.14107292814260597</x:v>
      </x:c>
      <x:c r="H93" s="30" t="n">
        <x:v>-0.551799751924839</x:v>
      </x:c>
      <x:c r="I93" s="30" t="n">
        <x:f>ABS(H93)</x:f>
        <x:v>0.551799751924839</x:v>
      </x:c>
      <x:c r="J93" s="30" t="n">
        <x:v>0.28406813627254507</x:v>
      </x:c>
      <x:c r="K93" s="30" t="n">
        <x:v>-0.028358977171860405</x:v>
      </x:c>
      <x:c r="L93" s="30" t="n">
        <x:v>-0.3005766712334174</x:v>
      </x:c>
      <x:c r="M93" s="30" t="n">
        <x:v>0.3657314629258517</x:v>
      </x:c>
      <x:c r="N93" s="19" t="n">
        <x:v>1996</x:v>
      </x:c>
      <x:c r="O93" t="b">
        <x:f>P93="legacy_common_sample_8902245"</x:f>
        <x:v>1</x:v>
      </x:c>
      <x:c r="P93" t="str">
        <x:v>legacy_common_sample_8902245</x:v>
      </x:c>
      <x:c r="Q93" s="74" t="n">
        <x:v>46210.81356047454</x:v>
      </x:c>
      <x:c r="R93" s="19" t="n">
        <x:v>8902245</x:v>
      </x:c>
      <x:c r="S93" t="str">
        <x:v>40355b29bce094aef0e99358bdfd4011b92e72a54440a67760de4afae4883c33</x:v>
      </x:c>
      <x:c r="T93" t="str">
        <x:v>factor_report/gtja191_batch/gtja_150/ic_summary.csv</x:v>
      </x:c>
    </x:row>
    <x:row r="94">
      <x:c r="A94" s="50" t="n">
        <x:f>IF($P94="legacy_common_sample_8902245",1+COUNTIFS($C$5:$C$546,$C94,$P$5:$P$546,"legacy_common_sample_8902245",$I$5:$I$546,"&gt;"&amp;$I94),"")</x:f>
        <x:v>5</x:v>
      </x:c>
      <x:c r="B94" t="str">
        <x:v>gtja_074</x:v>
      </x:c>
      <x:c r="C94" s="50" t="n">
        <x:v>5</x:v>
      </x:c>
      <x:c r="D94" t="str">
        <x:f>IF(E94&gt;=0,"positive","negative")</x:f>
        <x:v>negative</x:v>
      </x:c>
      <x:c r="E94" s="30" t="n">
        <x:v>-0.03686528582499111</x:v>
      </x:c>
      <x:c r="F94" s="30" t="n">
        <x:f>ABS(E94)</x:f>
        <x:v>0.03686528582499111</x:v>
      </x:c>
      <x:c r="G94" s="30" t="n">
        <x:v>0.06930227064258476</x:v>
      </x:c>
      <x:c r="H94" s="30" t="n">
        <x:v>-0.5319491768908676</x:v>
      </x:c>
      <x:c r="I94" s="30" t="n">
        <x:f>ABS(H94)</x:f>
        <x:v>0.5319491768908676</x:v>
      </x:c>
      <x:c r="J94" s="30" t="n">
        <x:v>0.2914572864321608</x:v>
      </x:c>
      <x:c r="K94" s="30" t="n">
        <x:v>-0.016991595828513055</x:v>
      </x:c>
      <x:c r="L94" s="30" t="n">
        <x:v>-0.27888084691644377</x:v>
      </x:c>
      <x:c r="M94" s="30" t="n">
        <x:v>0.385929648241206</x:v>
      </x:c>
      <x:c r="N94" s="19" t="n">
        <x:v>1990</x:v>
      </x:c>
      <x:c r="O94" t="b">
        <x:f>P94="legacy_common_sample_8902245"</x:f>
        <x:v>1</x:v>
      </x:c>
      <x:c r="P94" t="str">
        <x:v>legacy_common_sample_8902245</x:v>
      </x:c>
      <x:c r="Q94" s="74" t="n">
        <x:v>46210.45096833333</x:v>
      </x:c>
      <x:c r="R94" s="19" t="n">
        <x:v>8902245</x:v>
      </x:c>
      <x:c r="S94" t="str">
        <x:v>40355b29bce094aef0e99358bdfd4011b92e72a54440a67760de4afae4883c33</x:v>
      </x:c>
      <x:c r="T94" t="str">
        <x:v>factor_report/gtja191_batch/gtja_074/ic_summary.csv</x:v>
      </x:c>
    </x:row>
    <x:row r="95">
      <x:c r="A95" s="50" t="n">
        <x:f>IF($P95="legacy_common_sample_8902245",1+COUNTIFS($C$5:$C$546,$C95,$P$5:$P$546,"legacy_common_sample_8902245",$I$5:$I$546,"&gt;"&amp;$I95),"")</x:f>
        <x:v>6</x:v>
      </x:c>
      <x:c r="B95" t="str">
        <x:v>gtja_179</x:v>
      </x:c>
      <x:c r="C95" s="50" t="n">
        <x:v>5</x:v>
      </x:c>
      <x:c r="D95" t="str">
        <x:f>IF(E95&gt;=0,"positive","negative")</x:f>
        <x:v>negative</x:v>
      </x:c>
      <x:c r="E95" s="30" t="n">
        <x:v>-0.03259132189627406</x:v>
      </x:c>
      <x:c r="F95" s="30" t="n">
        <x:f>ABS(E95)</x:f>
        <x:v>0.03259132189627406</x:v>
      </x:c>
      <x:c r="G95" s="30" t="n">
        <x:v>0.06245861936286806</x:v>
      </x:c>
      <x:c r="H95" s="30" t="n">
        <x:v>-0.5218066333955783</x:v>
      </x:c>
      <x:c r="I95" s="30" t="n">
        <x:f>ABS(H95)</x:f>
        <x:v>0.5218066333955783</x:v>
      </x:c>
      <x:c r="J95" s="30" t="n">
        <x:v>0.27833500501504516</x:v>
      </x:c>
      <x:c r="K95" s="30" t="n">
        <x:v>-0.020376322863388287</x:v>
      </x:c>
      <x:c r="L95" s="30" t="n">
        <x:v>-0.34948546641607026</x:v>
      </x:c>
      <x:c r="M95" s="30" t="n">
        <x:v>0.3440320962888666</x:v>
      </x:c>
      <x:c r="N95" s="19" t="n">
        <x:v>1994</x:v>
      </x:c>
      <x:c r="O95" t="b">
        <x:f>P95="legacy_common_sample_8902245"</x:f>
        <x:v>1</x:v>
      </x:c>
      <x:c r="P95" t="str">
        <x:v>legacy_common_sample_8902245</x:v>
      </x:c>
      <x:c r="Q95" s="74" t="n">
        <x:v>46210.941301631945</x:v>
      </x:c>
      <x:c r="R95" s="19" t="n">
        <x:v>8902245</x:v>
      </x:c>
      <x:c r="S95" t="str">
        <x:v>40355b29bce094aef0e99358bdfd4011b92e72a54440a67760de4afae4883c33</x:v>
      </x:c>
      <x:c r="T95" t="str">
        <x:v>factor_report/gtja191_batch/gtja_179/ic_summary.csv</x:v>
      </x:c>
    </x:row>
    <x:row r="96">
      <x:c r="A96" s="50" t="n">
        <x:f>IF($P96="legacy_common_sample_8902245",1+COUNTIFS($C$5:$C$546,$C96,$P$5:$P$546,"legacy_common_sample_8902245",$I$5:$I$546,"&gt;"&amp;$I96),"")</x:f>
        <x:v>7</x:v>
      </x:c>
      <x:c r="B96" t="str">
        <x:v>gtja_095</x:v>
      </x:c>
      <x:c r="C96" s="50" t="n">
        <x:v>5</x:v>
      </x:c>
      <x:c r="D96" t="str">
        <x:f>IF(E96&gt;=0,"positive","negative")</x:f>
        <x:v>negative</x:v>
      </x:c>
      <x:c r="E96" s="30" t="n">
        <x:v>-0.07331536821708363</x:v>
      </x:c>
      <x:c r="F96" s="30" t="n">
        <x:f>ABS(E96)</x:f>
        <x:v>0.07331536821708363</x:v>
      </x:c>
      <x:c r="G96" s="30" t="n">
        <x:v>0.14077378962152806</x:v>
      </x:c>
      <x:c r="H96" s="30" t="n">
        <x:v>-0.5208026892945969</x:v>
      </x:c>
      <x:c r="I96" s="30" t="n">
        <x:f>ABS(H96)</x:f>
        <x:v>0.5208026892945969</x:v>
      </x:c>
      <x:c r="J96" s="30" t="n">
        <x:v>0.30060120240480964</x:v>
      </x:c>
      <x:c r="K96" s="30" t="n">
        <x:v>-0.024208314408942333</x:v>
      </x:c>
      <x:c r="L96" s="30" t="n">
        <x:v>-0.2572881309042293</x:v>
      </x:c>
      <x:c r="M96" s="30" t="n">
        <x:v>0.38527054108216435</x:v>
      </x:c>
      <x:c r="N96" s="19" t="n">
        <x:v>1996</x:v>
      </x:c>
      <x:c r="O96" t="b">
        <x:f>P96="legacy_common_sample_8902245"</x:f>
        <x:v>1</x:v>
      </x:c>
      <x:c r="P96" t="str">
        <x:v>legacy_common_sample_8902245</x:v>
      </x:c>
      <x:c r="Q96" s="74" t="n">
        <x:v>46210.552701967594</x:v>
      </x:c>
      <x:c r="R96" s="19" t="n">
        <x:v>8902245</x:v>
      </x:c>
      <x:c r="S96" t="str">
        <x:v>40355b29bce094aef0e99358bdfd4011b92e72a54440a67760de4afae4883c33</x:v>
      </x:c>
      <x:c r="T96" t="str">
        <x:v>factor_report/gtja191_batch/gtja_095/ic_summary.csv</x:v>
      </x:c>
    </x:row>
    <x:row r="97">
      <x:c r="A97" s="50" t="n">
        <x:f>IF($P97="legacy_common_sample_8902245",1+COUNTIFS($C$5:$C$546,$C97,$P$5:$P$546,"legacy_common_sample_8902245",$I$5:$I$546,"&gt;"&amp;$I97),"")</x:f>
        <x:v>8</x:v>
      </x:c>
      <x:c r="B97" t="str">
        <x:v>gtja_097</x:v>
      </x:c>
      <x:c r="C97" s="50" t="n">
        <x:v>5</x:v>
      </x:c>
      <x:c r="D97" t="str">
        <x:f>IF(E97&gt;=0,"positive","negative")</x:f>
        <x:v>negative</x:v>
      </x:c>
      <x:c r="E97" s="30" t="n">
        <x:v>-0.05356832684070194</x:v>
      </x:c>
      <x:c r="F97" s="30" t="n">
        <x:f>ABS(E97)</x:f>
        <x:v>0.05356832684070194</x:v>
      </x:c>
      <x:c r="G97" s="30" t="n">
        <x:v>0.11532928119474124</x:v>
      </x:c>
      <x:c r="H97" s="30" t="n">
        <x:v>-0.4644815807899489</x:v>
      </x:c>
      <x:c r="I97" s="30" t="n">
        <x:f>ABS(H97)</x:f>
        <x:v>0.4644815807899489</x:v>
      </x:c>
      <x:c r="J97" s="30" t="n">
        <x:v>0.3046092184368738</x:v>
      </x:c>
      <x:c r="K97" s="30" t="n">
        <x:v>-0.02325302910022705</x:v>
      </x:c>
      <x:c r="L97" s="30" t="n">
        <x:v>-0.3186145680396801</x:v>
      </x:c>
      <x:c r="M97" s="30" t="n">
        <x:v>0.36172344689378755</x:v>
      </x:c>
      <x:c r="N97" s="19" t="n">
        <x:v>1996</x:v>
      </x:c>
      <x:c r="O97" t="b">
        <x:f>P97="legacy_common_sample_8902245"</x:f>
        <x:v>1</x:v>
      </x:c>
      <x:c r="P97" t="str">
        <x:v>legacy_common_sample_8902245</x:v>
      </x:c>
      <x:c r="Q97" s="74" t="n">
        <x:v>46210.56247660879</x:v>
      </x:c>
      <x:c r="R97" s="19" t="n">
        <x:v>8902245</x:v>
      </x:c>
      <x:c r="S97" t="str">
        <x:v>40355b29bce094aef0e99358bdfd4011b92e72a54440a67760de4afae4883c33</x:v>
      </x:c>
      <x:c r="T97" t="str">
        <x:v>factor_report/gtja191_batch/gtja_097/ic_summary.csv</x:v>
      </x:c>
    </x:row>
    <x:row r="98">
      <x:c r="A98" s="50" t="n">
        <x:f>IF($P98="legacy_common_sample_8902245",1+COUNTIFS($C$5:$C$546,$C98,$P$5:$P$546,"legacy_common_sample_8902245",$I$5:$I$546,"&gt;"&amp;$I98),"")</x:f>
        <x:v>9</x:v>
      </x:c>
      <x:c r="B98" t="str">
        <x:v>gtja_118</x:v>
      </x:c>
      <x:c r="C98" s="50" t="n">
        <x:v>5</x:v>
      </x:c>
      <x:c r="D98" t="str">
        <x:f>IF(E98&gt;=0,"positive","negative")</x:f>
        <x:v>negative</x:v>
      </x:c>
      <x:c r="E98" s="30" t="n">
        <x:v>-0.04965633935073342</x:v>
      </x:c>
      <x:c r="F98" s="30" t="n">
        <x:f>ABS(E98)</x:f>
        <x:v>0.04965633935073342</x:v>
      </x:c>
      <x:c r="G98" s="30" t="n">
        <x:v>0.11379580319430964</x:v>
      </x:c>
      <x:c r="H98" s="30" t="n">
        <x:v>-0.43636353852122106</x:v>
      </x:c>
      <x:c r="I98" s="30" t="n">
        <x:f>ABS(H98)</x:f>
        <x:v>0.43636353852122106</x:v>
      </x:c>
      <x:c r="J98" s="30" t="n">
        <x:v>0.3191382765531062</x:v>
      </x:c>
      <x:c r="K98" s="30" t="n">
        <x:v>-0.02302955398630403</x:v>
      </x:c>
      <x:c r="L98" s="30" t="n">
        <x:v>-0.2201010606747516</x:v>
      </x:c>
      <x:c r="M98" s="30" t="n">
        <x:v>0.4148296593186373</x:v>
      </x:c>
      <x:c r="N98" s="19" t="n">
        <x:v>1996</x:v>
      </x:c>
      <x:c r="O98" t="b">
        <x:f>P98="legacy_common_sample_8902245"</x:f>
        <x:v>1</x:v>
      </x:c>
      <x:c r="P98" t="str">
        <x:v>legacy_common_sample_8902245</x:v>
      </x:c>
      <x:c r="Q98" s="74" t="n">
        <x:v>46210.66222452546</x:v>
      </x:c>
      <x:c r="R98" s="19" t="n">
        <x:v>8902245</x:v>
      </x:c>
      <x:c r="S98" t="str">
        <x:v>40355b29bce094aef0e99358bdfd4011b92e72a54440a67760de4afae4883c33</x:v>
      </x:c>
      <x:c r="T98" t="str">
        <x:v>factor_report/gtja191_batch/gtja_118/ic_summary.csv</x:v>
      </x:c>
    </x:row>
    <x:row r="99">
      <x:c r="A99" s="50" t="n">
        <x:f>IF($P99="legacy_common_sample_8902245",1+COUNTIFS($C$5:$C$546,$C99,$P$5:$P$546,"legacy_common_sample_8902245",$I$5:$I$546,"&gt;"&amp;$I99),"")</x:f>
        <x:v>10</x:v>
      </x:c>
      <x:c r="B99" t="str">
        <x:v>gtja_158</x:v>
      </x:c>
      <x:c r="C99" s="50" t="n">
        <x:v>5</x:v>
      </x:c>
      <x:c r="D99" t="str">
        <x:f>IF(E99&gt;=0,"positive","negative")</x:f>
        <x:v>negative</x:v>
      </x:c>
      <x:c r="E99" s="30" t="n">
        <x:v>-0.0622115405429208</x:v>
      </x:c>
      <x:c r="F99" s="30" t="n">
        <x:f>ABS(E99)</x:f>
        <x:v>0.0622115405429208</x:v>
      </x:c>
      <x:c r="G99" s="30" t="n">
        <x:v>0.143263592454755</x:v>
      </x:c>
      <x:c r="H99" s="30" t="n">
        <x:v>-0.4342452920309689</x:v>
      </x:c>
      <x:c r="I99" s="30" t="n">
        <x:f>ABS(H99)</x:f>
        <x:v>0.4342452920309689</x:v>
      </x:c>
      <x:c r="J99" s="30" t="n">
        <x:v>0.3196392785571142</x:v>
      </x:c>
      <x:c r="K99" s="30" t="n">
        <x:v>-0.03171309748924288</x:v>
      </x:c>
      <x:c r="L99" s="30" t="n">
        <x:v>-0.26650587279182764</x:v>
      </x:c>
      <x:c r="M99" s="30" t="n">
        <x:v>0.3912825651302605</x:v>
      </x:c>
      <x:c r="N99" s="19" t="n">
        <x:v>1996</x:v>
      </x:c>
      <x:c r="O99" t="b">
        <x:f>P99="legacy_common_sample_8902245"</x:f>
        <x:v>1</x:v>
      </x:c>
      <x:c r="P99" t="str">
        <x:v>legacy_common_sample_8902245</x:v>
      </x:c>
      <x:c r="Q99" s="74" t="n">
        <x:v>46210.85092011574</x:v>
      </x:c>
      <x:c r="R99" s="19" t="n">
        <x:v>8902245</x:v>
      </x:c>
      <x:c r="S99" t="str">
        <x:v>40355b29bce094aef0e99358bdfd4011b92e72a54440a67760de4afae4883c33</x:v>
      </x:c>
      <x:c r="T99" t="str">
        <x:v>factor_report/gtja191_batch/gtja_158/ic_summary.csv</x:v>
      </x:c>
    </x:row>
    <x:row r="100">
      <x:c r="A100" s="50" t="n">
        <x:f>IF($P100="legacy_common_sample_8902245",1+COUNTIFS($C$5:$C$546,$C100,$P$5:$P$546,"legacy_common_sample_8902245",$I$5:$I$546,"&gt;"&amp;$I100),"")</x:f>
        <x:v>11</x:v>
      </x:c>
      <x:c r="B100" t="str">
        <x:v>gtja_100</x:v>
      </x:c>
      <x:c r="C100" s="50" t="n">
        <x:v>5</x:v>
      </x:c>
      <x:c r="D100" t="str">
        <x:f>IF(E100&gt;=0,"positive","negative")</x:f>
        <x:v>negative</x:v>
      </x:c>
      <x:c r="E100" s="30" t="n">
        <x:v>-0.04902324119801506</x:v>
      </x:c>
      <x:c r="F100" s="30" t="n">
        <x:f>ABS(E100)</x:f>
        <x:v>0.04902324119801506</x:v>
      </x:c>
      <x:c r="G100" s="30" t="n">
        <x:v>0.11593442760293625</x:v>
      </x:c>
      <x:c r="H100" s="30" t="n">
        <x:v>-0.42285317840111075</x:v>
      </x:c>
      <x:c r="I100" s="30" t="n">
        <x:f>ABS(H100)</x:f>
        <x:v>0.42285317840111075</x:v>
      </x:c>
      <x:c r="J100" s="30" t="n">
        <x:v>0.32615230460921846</x:v>
      </x:c>
      <x:c r="K100" s="30" t="n">
        <x:v>-0.02193543976541335</x:v>
      </x:c>
      <x:c r="L100" s="30" t="n">
        <x:v>-0.30086761805430046</x:v>
      </x:c>
      <x:c r="M100" s="30" t="n">
        <x:v>0.3772545090180361</x:v>
      </x:c>
      <x:c r="N100" s="19" t="n">
        <x:v>1996</x:v>
      </x:c>
      <x:c r="O100" t="b">
        <x:f>P100="legacy_common_sample_8902245"</x:f>
        <x:v>1</x:v>
      </x:c>
      <x:c r="P100" t="str">
        <x:v>legacy_common_sample_8902245</x:v>
      </x:c>
      <x:c r="Q100" s="74" t="n">
        <x:v>46210.57471123843</x:v>
      </x:c>
      <x:c r="R100" s="19" t="n">
        <x:v>8902245</x:v>
      </x:c>
      <x:c r="S100" t="str">
        <x:v>40355b29bce094aef0e99358bdfd4011b92e72a54440a67760de4afae4883c33</x:v>
      </x:c>
      <x:c r="T100" t="str">
        <x:v>factor_report/gtja191_batch/gtja_100/ic_summary.csv</x:v>
      </x:c>
    </x:row>
    <x:row r="101">
      <x:c r="A101" s="50" t="n">
        <x:f>IF($P101="legacy_common_sample_8902245",1+COUNTIFS($C$5:$C$546,$C101,$P$5:$P$546,"legacy_common_sample_8902245",$I$5:$I$546,"&gt;"&amp;$I101),"")</x:f>
        <x:v>12</x:v>
      </x:c>
      <x:c r="B101" t="str">
        <x:v>gtja_159</x:v>
      </x:c>
      <x:c r="C101" s="50" t="n">
        <x:v>5</x:v>
      </x:c>
      <x:c r="D101" t="str">
        <x:f>IF(E101&gt;=0,"positive","negative")</x:f>
        <x:v>negative</x:v>
      </x:c>
      <x:c r="E101" s="30" t="n">
        <x:v>-0.07569628027837899</x:v>
      </x:c>
      <x:c r="F101" s="30" t="n">
        <x:f>ABS(E101)</x:f>
        <x:v>0.07569628027837899</x:v>
      </x:c>
      <x:c r="G101" s="30" t="n">
        <x:v>0.17996308082224172</x:v>
      </x:c>
      <x:c r="H101" s="30" t="n">
        <x:v>-0.42062116258805266</x:v>
      </x:c>
      <x:c r="I101" s="30" t="n">
        <x:f>ABS(H101)</x:f>
        <x:v>0.42062116258805266</x:v>
      </x:c>
      <x:c r="J101" s="30" t="n">
        <x:v>0.33216432865731466</x:v>
      </x:c>
      <x:c r="K101" s="30" t="n">
        <x:v>-0.014288588658110188</x:v>
      </x:c>
      <x:c r="L101" s="30" t="n">
        <x:v>-0.09943811422836248</x:v>
      </x:c>
      <x:c r="M101" s="30" t="n">
        <x:v>0.4774549098196393</x:v>
      </x:c>
      <x:c r="N101" s="19" t="n">
        <x:v>1996</x:v>
      </x:c>
      <x:c r="O101" t="b">
        <x:f>P101="legacy_common_sample_8902245"</x:f>
        <x:v>1</x:v>
      </x:c>
      <x:c r="P101" t="str">
        <x:v>legacy_common_sample_8902245</x:v>
      </x:c>
      <x:c r="Q101" s="74" t="n">
        <x:v>46210.85484907407</x:v>
      </x:c>
      <x:c r="R101" s="19" t="n">
        <x:v>8902245</x:v>
      </x:c>
      <x:c r="S101" t="str">
        <x:v>40355b29bce094aef0e99358bdfd4011b92e72a54440a67760de4afae4883c33</x:v>
      </x:c>
      <x:c r="T101" t="str">
        <x:v>factor_report/gtja191_batch/gtja_159/ic_summary.csv</x:v>
      </x:c>
    </x:row>
    <x:row r="102">
      <x:c r="A102" s="50" t="n">
        <x:f>IF($P102="legacy_common_sample_8902245",1+COUNTIFS($C$5:$C$546,$C102,$P$5:$P$546,"legacy_common_sample_8902245",$I$5:$I$546,"&gt;"&amp;$I102),"")</x:f>
        <x:v>13</x:v>
      </x:c>
      <x:c r="B102" t="str">
        <x:v>gtja_132</x:v>
      </x:c>
      <x:c r="C102" s="50" t="n">
        <x:v>5</x:v>
      </x:c>
      <x:c r="D102" t="str">
        <x:f>IF(E102&gt;=0,"positive","negative")</x:f>
        <x:v>negative</x:v>
      </x:c>
      <x:c r="E102" s="30" t="n">
        <x:v>-0.06364398186868406</x:v>
      </x:c>
      <x:c r="F102" s="30" t="n">
        <x:f>ABS(E102)</x:f>
        <x:v>0.06364398186868406</x:v>
      </x:c>
      <x:c r="G102" s="30" t="n">
        <x:v>0.15174736895427485</x:v>
      </x:c>
      <x:c r="H102" s="30" t="n">
        <x:v>-0.419407481706398</x:v>
      </x:c>
      <x:c r="I102" s="30" t="n">
        <x:f>ABS(H102)</x:f>
        <x:v>0.419407481706398</x:v>
      </x:c>
      <x:c r="J102" s="30" t="n">
        <x:v>0.3271543086172345</x:v>
      </x:c>
      <x:c r="K102" s="30" t="n">
        <x:v>-0.016229769982105808</x:v>
      </x:c>
      <x:c r="L102" s="30" t="n">
        <x:v>-0.1667331502656394</x:v>
      </x:c>
      <x:c r="M102" s="30" t="n">
        <x:v>0.4248496993987976</x:v>
      </x:c>
      <x:c r="N102" s="19" t="n">
        <x:v>1996</x:v>
      </x:c>
      <x:c r="O102" t="b">
        <x:f>P102="legacy_common_sample_8902245"</x:f>
        <x:v>1</x:v>
      </x:c>
      <x:c r="P102" t="str">
        <x:v>legacy_common_sample_8902245</x:v>
      </x:c>
      <x:c r="Q102" s="74" t="n">
        <x:v>46210.73378372685</x:v>
      </x:c>
      <x:c r="R102" s="19" t="n">
        <x:v>8902245</x:v>
      </x:c>
      <x:c r="S102" t="str">
        <x:v>40355b29bce094aef0e99358bdfd4011b92e72a54440a67760de4afae4883c33</x:v>
      </x:c>
      <x:c r="T102" t="str">
        <x:v>factor_report/gtja191_batch/gtja_132/ic_summary.csv</x:v>
      </x:c>
    </x:row>
    <x:row r="103">
      <x:c r="A103" s="50" t="n">
        <x:f>IF($P103="legacy_common_sample_8902245",1+COUNTIFS($C$5:$C$546,$C103,$P$5:$P$546,"legacy_common_sample_8902245",$I$5:$I$546,"&gt;"&amp;$I103),"")</x:f>
        <x:v>14</x:v>
      </x:c>
      <x:c r="B103" t="str">
        <x:v>gtja_094</x:v>
      </x:c>
      <x:c r="C103" s="50" t="n">
        <x:v>5</x:v>
      </x:c>
      <x:c r="D103" t="str">
        <x:f>IF(E103&gt;=0,"positive","negative")</x:f>
        <x:v>negative</x:v>
      </x:c>
      <x:c r="E103" s="30" t="n">
        <x:v>-0.03766305454647896</x:v>
      </x:c>
      <x:c r="F103" s="30" t="n">
        <x:f>ABS(E103)</x:f>
        <x:v>0.03766305454647896</x:v>
      </x:c>
      <x:c r="G103" s="30" t="n">
        <x:v>0.09930146596483377</x:v>
      </x:c>
      <x:c r="H103" s="30" t="n">
        <x:v>-0.3792799449689575</x:v>
      </x:c>
      <x:c r="I103" s="30" t="n">
        <x:f>ABS(H103)</x:f>
        <x:v>0.3792799449689575</x:v>
      </x:c>
      <x:c r="J103" s="30" t="n">
        <x:v>0.3652304609218437</x:v>
      </x:c>
      <x:c r="K103" s="30" t="n">
        <x:v>-0.015683228910040377</x:v>
      </x:c>
      <x:c r="L103" s="30" t="n">
        <x:v>-0.2308310977950485</x:v>
      </x:c>
      <x:c r="M103" s="30" t="n">
        <x:v>0.3997995991983968</x:v>
      </x:c>
      <x:c r="N103" s="19" t="n">
        <x:v>1996</x:v>
      </x:c>
      <x:c r="O103" t="b">
        <x:f>P103="legacy_common_sample_8902245"</x:f>
        <x:v>1</x:v>
      </x:c>
      <x:c r="P103" t="str">
        <x:v>legacy_common_sample_8902245</x:v>
      </x:c>
      <x:c r="Q103" s="74" t="n">
        <x:v>46210.54834915509</x:v>
      </x:c>
      <x:c r="R103" s="19" t="n">
        <x:v>8902245</x:v>
      </x:c>
      <x:c r="S103" t="str">
        <x:v>40355b29bce094aef0e99358bdfd4011b92e72a54440a67760de4afae4883c33</x:v>
      </x:c>
      <x:c r="T103" t="str">
        <x:v>factor_report/gtja191_batch/gtja_094/ic_summary.csv</x:v>
      </x:c>
    </x:row>
    <x:row r="104">
      <x:c r="A104" s="50" t="n">
        <x:f>IF($P104="legacy_common_sample_8902245",1+COUNTIFS($C$5:$C$546,$C104,$P$5:$P$546,"legacy_common_sample_8902245",$I$5:$I$546,"&gt;"&amp;$I104),"")</x:f>
        <x:v>15</x:v>
      </x:c>
      <x:c r="B104" t="str">
        <x:v>gtja_167</x:v>
      </x:c>
      <x:c r="C104" s="50" t="n">
        <x:v>5</x:v>
      </x:c>
      <x:c r="D104" t="str">
        <x:f>IF(E104&gt;=0,"positive","negative")</x:f>
        <x:v>negative</x:v>
      </x:c>
      <x:c r="E104" s="30" t="n">
        <x:v>-0.06424370984943072</x:v>
      </x:c>
      <x:c r="F104" s="30" t="n">
        <x:f>ABS(E104)</x:f>
        <x:v>0.06424370984943072</x:v>
      </x:c>
      <x:c r="G104" s="30" t="n">
        <x:v>0.17534525394503353</x:v>
      </x:c>
      <x:c r="H104" s="30" t="n">
        <x:v>-0.366384081713267</x:v>
      </x:c>
      <x:c r="I104" s="30" t="n">
        <x:f>ABS(H104)</x:f>
        <x:v>0.366384081713267</x:v>
      </x:c>
      <x:c r="J104" s="30" t="n">
        <x:v>0.3807615230460922</x:v>
      </x:c>
      <x:c r="K104" s="30" t="n">
        <x:v>-0.021587589667776852</x:v>
      </x:c>
      <x:c r="L104" s="30" t="n">
        <x:v>-0.20012435398679915</x:v>
      </x:c>
      <x:c r="M104" s="30" t="n">
        <x:v>0.41783567134268534</x:v>
      </x:c>
      <x:c r="N104" s="19" t="n">
        <x:v>1996</x:v>
      </x:c>
      <x:c r="O104" t="b">
        <x:f>P104="legacy_common_sample_8902245"</x:f>
        <x:v>1</x:v>
      </x:c>
      <x:c r="P104" t="str">
        <x:v>legacy_common_sample_8902245</x:v>
      </x:c>
      <x:c r="Q104" s="74" t="n">
        <x:v>46210.888780636575</x:v>
      </x:c>
      <x:c r="R104" s="19" t="n">
        <x:v>8902245</x:v>
      </x:c>
      <x:c r="S104" t="str">
        <x:v>40355b29bce094aef0e99358bdfd4011b92e72a54440a67760de4afae4883c33</x:v>
      </x:c>
      <x:c r="T104" t="str">
        <x:v>factor_report/gtja191_batch/gtja_167/ic_summary.csv</x:v>
      </x:c>
    </x:row>
    <x:row r="105">
      <x:c r="A105" s="50" t="n">
        <x:f>IF($P105="legacy_common_sample_8902245",1+COUNTIFS($C$5:$C$546,$C105,$P$5:$P$546,"legacy_common_sample_8902245",$I$5:$I$546,"&gt;"&amp;$I105),"")</x:f>
        <x:v>16</x:v>
      </x:c>
      <x:c r="B105" t="str">
        <x:v>gtja_069</x:v>
      </x:c>
      <x:c r="C105" s="50" t="n">
        <x:v>5</x:v>
      </x:c>
      <x:c r="D105" t="str">
        <x:f>IF(E105&gt;=0,"positive","negative")</x:f>
        <x:v>negative</x:v>
      </x:c>
      <x:c r="E105" s="30" t="n">
        <x:v>-0.04225570397810014</x:v>
      </x:c>
      <x:c r="F105" s="30" t="n">
        <x:f>ABS(E105)</x:f>
        <x:v>0.04225570397810014</x:v>
      </x:c>
      <x:c r="G105" s="30" t="n">
        <x:v>0.11561111157059835</x:v>
      </x:c>
      <x:c r="H105" s="30" t="n">
        <x:v>-0.36549863939589006</x:v>
      </x:c>
      <x:c r="I105" s="30" t="n">
        <x:f>ABS(H105)</x:f>
        <x:v>0.36549863939589006</x:v>
      </x:c>
      <x:c r="J105" s="30" t="n">
        <x:v>0.34468937875751504</x:v>
      </x:c>
      <x:c r="K105" s="30" t="n">
        <x:v>-0.013967111353959118</x:v>
      </x:c>
      <x:c r="L105" s="30" t="n">
        <x:v>-0.13978501928968445</x:v>
      </x:c>
      <x:c r="M105" s="30" t="n">
        <x:v>0.44589178356713427</x:v>
      </x:c>
      <x:c r="N105" s="19" t="n">
        <x:v>1996</x:v>
      </x:c>
      <x:c r="O105" t="b">
        <x:f>P105="legacy_common_sample_8902245"</x:f>
        <x:v>1</x:v>
      </x:c>
      <x:c r="P105" t="str">
        <x:v>legacy_common_sample_8902245</x:v>
      </x:c>
      <x:c r="Q105" s="74" t="n">
        <x:v>46210.41218387731</x:v>
      </x:c>
      <x:c r="R105" s="19" t="n">
        <x:v>8902245</x:v>
      </x:c>
      <x:c r="S105" t="str">
        <x:v>40355b29bce094aef0e99358bdfd4011b92e72a54440a67760de4afae4883c33</x:v>
      </x:c>
      <x:c r="T105" t="str">
        <x:v>factor_report/gtja191_batch/gtja_069/ic_summary.csv</x:v>
      </x:c>
    </x:row>
    <x:row r="106">
      <x:c r="A106" s="50" t="n">
        <x:f>IF($P106="legacy_common_sample_8902245",1+COUNTIFS($C$5:$C$546,$C106,$P$5:$P$546,"legacy_common_sample_8902245",$I$5:$I$546,"&gt;"&amp;$I106),"")</x:f>
        <x:v>17</x:v>
      </x:c>
      <x:c r="B106" t="str">
        <x:v>gtja_059</x:v>
      </x:c>
      <x:c r="C106" s="50" t="n">
        <x:v>5</x:v>
      </x:c>
      <x:c r="D106" t="str">
        <x:f>IF(E106&gt;=0,"positive","negative")</x:f>
        <x:v>negative</x:v>
      </x:c>
      <x:c r="E106" s="30" t="n">
        <x:v>-0.04765092063494312</x:v>
      </x:c>
      <x:c r="F106" s="30" t="n">
        <x:f>ABS(E106)</x:f>
        <x:v>0.04765092063494312</x:v>
      </x:c>
      <x:c r="G106" s="30" t="n">
        <x:v>0.13113632070671788</x:v>
      </x:c>
      <x:c r="H106" s="30" t="n">
        <x:v>-0.3633693577655946</x:v>
      </x:c>
      <x:c r="I106" s="30" t="n">
        <x:f>ABS(H106)</x:f>
        <x:v>0.3633693577655946</x:v>
      </x:c>
      <x:c r="J106" s="30" t="n">
        <x:v>0.3486973947895792</x:v>
      </x:c>
      <x:c r="K106" s="30" t="n">
        <x:v>-0.02078227807110975</x:v>
      </x:c>
      <x:c r="L106" s="30" t="n">
        <x:v>-0.24110579516042083</x:v>
      </x:c>
      <x:c r="M106" s="30" t="n">
        <x:v>0.39929859719438876</x:v>
      </x:c>
      <x:c r="N106" s="19" t="n">
        <x:v>1996</x:v>
      </x:c>
      <x:c r="O106" t="b">
        <x:f>P106="legacy_common_sample_8902245"</x:f>
        <x:v>1</x:v>
      </x:c>
      <x:c r="P106" t="str">
        <x:v>legacy_common_sample_8902245</x:v>
      </x:c>
      <x:c r="Q106" s="74" t="n">
        <x:v>46210.36786096065</x:v>
      </x:c>
      <x:c r="R106" s="19" t="n">
        <x:v>8902245</x:v>
      </x:c>
      <x:c r="S106" t="str">
        <x:v>40355b29bce094aef0e99358bdfd4011b92e72a54440a67760de4afae4883c33</x:v>
      </x:c>
      <x:c r="T106" t="str">
        <x:v>factor_report/gtja191_batch/gtja_059/ic_summary.csv</x:v>
      </x:c>
    </x:row>
    <x:row r="107">
      <x:c r="A107" s="50" t="n">
        <x:f>IF($P107="legacy_common_sample_8902245",1+COUNTIFS($C$5:$C$546,$C107,$P$5:$P$546,"legacy_common_sample_8902245",$I$5:$I$546,"&gt;"&amp;$I107),"")</x:f>
        <x:v>18</x:v>
      </x:c>
      <x:c r="B107" t="str">
        <x:v>gtja_145</x:v>
      </x:c>
      <x:c r="C107" s="50" t="n">
        <x:v>5</x:v>
      </x:c>
      <x:c r="D107" t="str">
        <x:f>IF(E107&gt;=0,"positive","negative")</x:f>
        <x:v>negative</x:v>
      </x:c>
      <x:c r="E107" s="30" t="n">
        <x:v>-0.03327745526293577</x:v>
      </x:c>
      <x:c r="F107" s="30" t="n">
        <x:f>ABS(E107)</x:f>
        <x:v>0.03327745526293577</x:v>
      </x:c>
      <x:c r="G107" s="30" t="n">
        <x:v>0.09203490541372429</x:v>
      </x:c>
      <x:c r="H107" s="30" t="n">
        <x:v>-0.3615742865529519</x:v>
      </x:c>
      <x:c r="I107" s="30" t="n">
        <x:f>ABS(H107)</x:f>
        <x:v>0.3615742865529519</x:v>
      </x:c>
      <x:c r="J107" s="30" t="n">
        <x:v>0.3466933867735471</x:v>
      </x:c>
      <x:c r="K107" s="30" t="n">
        <x:v>-0.0172174229531754</x:v>
      </x:c>
      <x:c r="L107" s="30" t="n">
        <x:v>-0.2221110330608622</x:v>
      </x:c>
      <x:c r="M107" s="30" t="n">
        <x:v>0.39478957915831664</x:v>
      </x:c>
      <x:c r="N107" s="19" t="n">
        <x:v>1996</x:v>
      </x:c>
      <x:c r="O107" t="b">
        <x:f>P107="legacy_common_sample_8902245"</x:f>
        <x:v>1</x:v>
      </x:c>
      <x:c r="P107" t="str">
        <x:v>legacy_common_sample_8902245</x:v>
      </x:c>
      <x:c r="Q107" s="74" t="n">
        <x:v>46210.79587657408</x:v>
      </x:c>
      <x:c r="R107" s="19" t="n">
        <x:v>8902245</x:v>
      </x:c>
      <x:c r="S107" t="str">
        <x:v>40355b29bce094aef0e99358bdfd4011b92e72a54440a67760de4afae4883c33</x:v>
      </x:c>
      <x:c r="T107" t="str">
        <x:v>factor_report/gtja191_batch/gtja_145/ic_summary.csv</x:v>
      </x:c>
    </x:row>
    <x:row r="108">
      <x:c r="A108" s="50" t="n">
        <x:f>IF($P108="legacy_common_sample_8902245",1+COUNTIFS($C$5:$C$546,$C108,$P$5:$P$546,"legacy_common_sample_8902245",$I$5:$I$546,"&gt;"&amp;$I108),"")</x:f>
        <x:v>19</x:v>
      </x:c>
      <x:c r="B108" t="str">
        <x:v>gtja_084</x:v>
      </x:c>
      <x:c r="C108" s="50" t="n">
        <x:v>5</x:v>
      </x:c>
      <x:c r="D108" t="str">
        <x:f>IF(E108&gt;=0,"positive","negative")</x:f>
        <x:v>negative</x:v>
      </x:c>
      <x:c r="E108" s="30" t="n">
        <x:v>-0.03447758590742363</x:v>
      </x:c>
      <x:c r="F108" s="30" t="n">
        <x:f>ABS(E108)</x:f>
        <x:v>0.03447758590742363</x:v>
      </x:c>
      <x:c r="G108" s="30" t="n">
        <x:v>0.09810025639328906</x:v>
      </x:c>
      <x:c r="H108" s="30" t="n">
        <x:v>-0.3514525565478767</x:v>
      </x:c>
      <x:c r="I108" s="30" t="n">
        <x:f>ABS(H108)</x:f>
        <x:v>0.3514525565478767</x:v>
      </x:c>
      <x:c r="J108" s="30" t="n">
        <x:v>0.36172344689378755</x:v>
      </x:c>
      <x:c r="K108" s="30" t="n">
        <x:v>-0.015704180032995146</x:v>
      </x:c>
      <x:c r="L108" s="30" t="n">
        <x:v>-0.23554614129757706</x:v>
      </x:c>
      <x:c r="M108" s="30" t="n">
        <x:v>0.39178356713426854</x:v>
      </x:c>
      <x:c r="N108" s="19" t="n">
        <x:v>1996</x:v>
      </x:c>
      <x:c r="O108" t="b">
        <x:f>P108="legacy_common_sample_8902245"</x:f>
        <x:v>1</x:v>
      </x:c>
      <x:c r="P108" t="str">
        <x:v>legacy_common_sample_8902245</x:v>
      </x:c>
      <x:c r="Q108" s="74" t="n">
        <x:v>46210.493655</x:v>
      </x:c>
      <x:c r="R108" s="19" t="n">
        <x:v>8902245</x:v>
      </x:c>
      <x:c r="S108" t="str">
        <x:v>40355b29bce094aef0e99358bdfd4011b92e72a54440a67760de4afae4883c33</x:v>
      </x:c>
      <x:c r="T108" t="str">
        <x:v>factor_report/gtja191_batch/gtja_084/ic_summary.csv</x:v>
      </x:c>
    </x:row>
    <x:row r="109">
      <x:c r="A109" s="50" t="n">
        <x:f>IF($P109="legacy_common_sample_8902245",1+COUNTIFS($C$5:$C$546,$C109,$P$5:$P$546,"legacy_common_sample_8902245",$I$5:$I$546,"&gt;"&amp;$I109),"")</x:f>
        <x:v>20</x:v>
      </x:c>
      <x:c r="B109" t="str">
        <x:v>gtja_088</x:v>
      </x:c>
      <x:c r="C109" s="50" t="n">
        <x:v>5</x:v>
      </x:c>
      <x:c r="D109" t="str">
        <x:f>IF(E109&gt;=0,"positive","negative")</x:f>
        <x:v>negative</x:v>
      </x:c>
      <x:c r="E109" s="30" t="n">
        <x:v>-0.05050240146215423</x:v>
      </x:c>
      <x:c r="F109" s="30" t="n">
        <x:f>ABS(E109)</x:f>
        <x:v>0.05050240146215423</x:v>
      </x:c>
      <x:c r="G109" s="30" t="n">
        <x:v>0.14482287381422465</x:v>
      </x:c>
      <x:c r="H109" s="30" t="n">
        <x:v>-0.3487184042966687</x:v>
      </x:c>
      <x:c r="I109" s="30" t="n">
        <x:f>ABS(H109)</x:f>
        <x:v>0.3487184042966687</x:v>
      </x:c>
      <x:c r="J109" s="30" t="n">
        <x:v>0.3627254509018036</x:v>
      </x:c>
      <x:c r="K109" s="30" t="n">
        <x:v>-0.036258365917317195</x:v>
      </x:c>
      <x:c r="L109" s="30" t="n">
        <x:v>-0.2803442122433319</x:v>
      </x:c>
      <x:c r="M109" s="30" t="n">
        <x:v>0.39879759519038077</x:v>
      </x:c>
      <x:c r="N109" s="19" t="n">
        <x:v>1996</x:v>
      </x:c>
      <x:c r="O109" t="b">
        <x:f>P109="legacy_common_sample_8902245"</x:f>
        <x:v>1</x:v>
      </x:c>
      <x:c r="P109" t="str">
        <x:v>legacy_common_sample_8902245</x:v>
      </x:c>
      <x:c r="Q109" s="74" t="n">
        <x:v>46210.51801505787</x:v>
      </x:c>
      <x:c r="R109" s="19" t="n">
        <x:v>8902245</x:v>
      </x:c>
      <x:c r="S109" t="str">
        <x:v>40355b29bce094aef0e99358bdfd4011b92e72a54440a67760de4afae4883c33</x:v>
      </x:c>
      <x:c r="T109" t="str">
        <x:v>factor_report/gtja191_batch/gtja_088/ic_summary.csv</x:v>
      </x:c>
    </x:row>
    <x:row r="110">
      <x:c r="A110" s="50" t="n">
        <x:f>IF($P110="legacy_common_sample_8902245",1+COUNTIFS($C$5:$C$546,$C110,$P$5:$P$546,"legacy_common_sample_8902245",$I$5:$I$546,"&gt;"&amp;$I110),"")</x:f>
        <x:v>21</x:v>
      </x:c>
      <x:c r="B110" t="str">
        <x:v>gtja_081</x:v>
      </x:c>
      <x:c r="C110" s="50" t="n">
        <x:v>5</x:v>
      </x:c>
      <x:c r="D110" t="str">
        <x:f>IF(E110&gt;=0,"positive","negative")</x:f>
        <x:v>negative</x:v>
      </x:c>
      <x:c r="E110" s="30" t="n">
        <x:v>-0.04183927953457015</x:v>
      </x:c>
      <x:c r="F110" s="30" t="n">
        <x:f>ABS(E110)</x:f>
        <x:v>0.04183927953457015</x:v>
      </x:c>
      <x:c r="G110" s="30" t="n">
        <x:v>0.12005694806538143</x:v>
      </x:c>
      <x:c r="H110" s="30" t="n">
        <x:v>-0.3484952783556103</x:v>
      </x:c>
      <x:c r="I110" s="30" t="n">
        <x:f>ABS(H110)</x:f>
        <x:v>0.3484952783556103</x:v>
      </x:c>
      <x:c r="J110" s="30" t="n">
        <x:v>0.34769539078156314</x:v>
      </x:c>
      <x:c r="K110" s="30" t="n">
        <x:v>-0.01828061048577746</x:v>
      </x:c>
      <x:c r="L110" s="30" t="n">
        <x:v>-0.24071299979247485</x:v>
      </x:c>
      <x:c r="M110" s="30" t="n">
        <x:v>0.38877755511022044</x:v>
      </x:c>
      <x:c r="N110" s="19" t="n">
        <x:v>1996</x:v>
      </x:c>
      <x:c r="O110" t="b">
        <x:f>P110="legacy_common_sample_8902245"</x:f>
        <x:v>1</x:v>
      </x:c>
      <x:c r="P110" t="str">
        <x:v>legacy_common_sample_8902245</x:v>
      </x:c>
      <x:c r="Q110" s="74" t="n">
        <x:v>46210.48091090278</x:v>
      </x:c>
      <x:c r="R110" s="19" t="n">
        <x:v>8902245</x:v>
      </x:c>
      <x:c r="S110" t="str">
        <x:v>40355b29bce094aef0e99358bdfd4011b92e72a54440a67760de4afae4883c33</x:v>
      </x:c>
      <x:c r="T110" t="str">
        <x:v>factor_report/gtja191_batch/gtja_081/ic_summary.csv</x:v>
      </x:c>
    </x:row>
    <x:row r="111">
      <x:c r="A111" s="50" t="n">
        <x:f>IF($P111="legacy_common_sample_8902245",1+COUNTIFS($C$5:$C$546,$C111,$P$5:$P$546,"legacy_common_sample_8902245",$I$5:$I$546,"&gt;"&amp;$I111),"")</x:f>
        <x:v>22</x:v>
      </x:c>
      <x:c r="B111" t="str">
        <x:v>gtja_040</x:v>
      </x:c>
      <x:c r="C111" s="50" t="n">
        <x:v>5</x:v>
      </x:c>
      <x:c r="D111" t="str">
        <x:f>IF(E111&gt;=0,"positive","negative")</x:f>
        <x:v>negative</x:v>
      </x:c>
      <x:c r="E111" s="30" t="n">
        <x:v>-0.03642274414130226</x:v>
      </x:c>
      <x:c r="F111" s="30" t="n">
        <x:f>ABS(E111)</x:f>
        <x:v>0.03642274414130226</x:v>
      </x:c>
      <x:c r="G111" s="30" t="n">
        <x:v>0.10560166620648556</x:v>
      </x:c>
      <x:c r="H111" s="30" t="n">
        <x:v>-0.3449069077194669</x:v>
      </x:c>
      <x:c r="I111" s="30" t="n">
        <x:f>ABS(H111)</x:f>
        <x:v>0.3449069077194669</x:v>
      </x:c>
      <x:c r="J111" s="30" t="n">
        <x:v>0.3717434869739479</x:v>
      </x:c>
      <x:c r="K111" s="30" t="n">
        <x:v>-0.020198525613578315</x:v>
      </x:c>
      <x:c r="L111" s="30" t="n">
        <x:v>-0.21382530960940924</x:v>
      </x:c>
      <x:c r="M111" s="30" t="n">
        <x:v>0.4213426853707415</x:v>
      </x:c>
      <x:c r="N111" s="19" t="n">
        <x:v>1996</x:v>
      </x:c>
      <x:c r="O111" t="b">
        <x:f>P111="legacy_common_sample_8902245"</x:f>
        <x:v>1</x:v>
      </x:c>
      <x:c r="P111" t="str">
        <x:v>legacy_common_sample_8902245</x:v>
      </x:c>
      <x:c r="Q111" s="74" t="n">
        <x:v>46210.279919872686</x:v>
      </x:c>
      <x:c r="R111" s="19" t="n">
        <x:v>8902245</x:v>
      </x:c>
      <x:c r="S111" t="str">
        <x:v>40355b29bce094aef0e99358bdfd4011b92e72a54440a67760de4afae4883c33</x:v>
      </x:c>
      <x:c r="T111" t="str">
        <x:v>factor_report/gtja191_batch/gtja_040/ic_summary.csv</x:v>
      </x:c>
    </x:row>
    <x:row r="112">
      <x:c r="A112" s="50" t="n">
        <x:f>IF($P112="legacy_common_sample_8902245",1+COUNTIFS($C$5:$C$546,$C112,$P$5:$P$546,"legacy_common_sample_8902245",$I$5:$I$546,"&gt;"&amp;$I112),"")</x:f>
        <x:v>23</x:v>
      </x:c>
      <x:c r="B112" t="str">
        <x:v>gtja_106</x:v>
      </x:c>
      <x:c r="C112" s="50" t="n">
        <x:v>5</x:v>
      </x:c>
      <x:c r="D112" t="str">
        <x:f>IF(E112&gt;=0,"positive","negative")</x:f>
        <x:v>negative</x:v>
      </x:c>
      <x:c r="E112" s="30" t="n">
        <x:v>-0.04773475370395385</x:v>
      </x:c>
      <x:c r="F112" s="30" t="n">
        <x:f>ABS(E112)</x:f>
        <x:v>0.04773475370395385</x:v>
      </x:c>
      <x:c r="G112" s="30" t="n">
        <x:v>0.1395649126330913</x:v>
      </x:c>
      <x:c r="H112" s="30" t="n">
        <x:v>-0.342025461868385</x:v>
      </x:c>
      <x:c r="I112" s="30" t="n">
        <x:f>ABS(H112)</x:f>
        <x:v>0.342025461868385</x:v>
      </x:c>
      <x:c r="J112" s="30" t="n">
        <x:v>0.36122244488977956</x:v>
      </x:c>
      <x:c r="K112" s="30" t="n">
        <x:v>-0.01787729215532497</x:v>
      </x:c>
      <x:c r="L112" s="30" t="n">
        <x:v>-0.20159184414391554</x:v>
      </x:c>
      <x:c r="M112" s="30" t="n">
        <x:v>0.4248496993987976</x:v>
      </x:c>
      <x:c r="N112" s="19" t="n">
        <x:v>1996</x:v>
      </x:c>
      <x:c r="O112" t="b">
        <x:f>P112="legacy_common_sample_8902245"</x:f>
        <x:v>1</x:v>
      </x:c>
      <x:c r="P112" t="str">
        <x:v>legacy_common_sample_8902245</x:v>
      </x:c>
      <x:c r="Q112" s="74" t="n">
        <x:v>46210.59962833333</x:v>
      </x:c>
      <x:c r="R112" s="19" t="n">
        <x:v>8902245</x:v>
      </x:c>
      <x:c r="S112" t="str">
        <x:v>40355b29bce094aef0e99358bdfd4011b92e72a54440a67760de4afae4883c33</x:v>
      </x:c>
      <x:c r="T112" t="str">
        <x:v>factor_report/gtja191_batch/gtja_106/ic_summary.csv</x:v>
      </x:c>
    </x:row>
    <x:row r="113">
      <x:c r="A113" s="50" t="n">
        <x:f>IF($P113="legacy_common_sample_8902245",1+COUNTIFS($C$5:$C$546,$C113,$P$5:$P$546,"legacy_common_sample_8902245",$I$5:$I$546,"&gt;"&amp;$I113),"")</x:f>
        <x:v>24</x:v>
      </x:c>
      <x:c r="B113" t="str">
        <x:v>gtja_055</x:v>
      </x:c>
      <x:c r="C113" s="50" t="n">
        <x:v>5</x:v>
      </x:c>
      <x:c r="D113" t="str">
        <x:f>IF(E113&gt;=0,"positive","negative")</x:f>
        <x:v>negative</x:v>
      </x:c>
      <x:c r="E113" s="30" t="n">
        <x:v>-0.04728572378762499</x:v>
      </x:c>
      <x:c r="F113" s="30" t="n">
        <x:f>ABS(E113)</x:f>
        <x:v>0.04728572378762499</x:v>
      </x:c>
      <x:c r="G113" s="30" t="n">
        <x:v>0.13826884605174547</x:v>
      </x:c>
      <x:c r="H113" s="30" t="n">
        <x:v>-0.3419839330251506</x:v>
      </x:c>
      <x:c r="I113" s="30" t="n">
        <x:f>ABS(H113)</x:f>
        <x:v>0.3419839330251506</x:v>
      </x:c>
      <x:c r="J113" s="30" t="n">
        <x:v>0.35470941883767537</x:v>
      </x:c>
      <x:c r="K113" s="30" t="n">
        <x:v>-0.01715798585399391</x:v>
      </x:c>
      <x:c r="L113" s="30" t="n">
        <x:v>-0.19528867425013205</x:v>
      </x:c>
      <x:c r="M113" s="30" t="n">
        <x:v>0.4163326653306613</x:v>
      </x:c>
      <x:c r="N113" s="19" t="n">
        <x:v>1996</x:v>
      </x:c>
      <x:c r="O113" t="b">
        <x:f>P113="legacy_common_sample_8902245"</x:f>
        <x:v>1</x:v>
      </x:c>
      <x:c r="P113" t="str">
        <x:v>legacy_common_sample_8902245</x:v>
      </x:c>
      <x:c r="Q113" s="74" t="n">
        <x:v>46210.34754746528</x:v>
      </x:c>
      <x:c r="R113" s="19" t="n">
        <x:v>8902245</x:v>
      </x:c>
      <x:c r="S113" t="str">
        <x:v>40355b29bce094aef0e99358bdfd4011b92e72a54440a67760de4afae4883c33</x:v>
      </x:c>
      <x:c r="T113" t="str">
        <x:v>factor_report/gtja191_batch/gtja_055/ic_summary.csv</x:v>
      </x:c>
    </x:row>
    <x:row r="114">
      <x:c r="A114" s="50" t="n">
        <x:f>IF($P114="legacy_common_sample_8902245",1+COUNTIFS($C$5:$C$546,$C114,$P$5:$P$546,"legacy_common_sample_8902245",$I$5:$I$546,"&gt;"&amp;$I114),"")</x:f>
        <x:v>25</x:v>
      </x:c>
      <x:c r="B114" t="str">
        <x:v>gtja_052</x:v>
      </x:c>
      <x:c r="C114" s="50" t="n">
        <x:v>5</x:v>
      </x:c>
      <x:c r="D114" t="str">
        <x:f>IF(E114&gt;=0,"positive","negative")</x:f>
        <x:v>negative</x:v>
      </x:c>
      <x:c r="E114" s="30" t="n">
        <x:v>-0.04605223865343787</x:v>
      </x:c>
      <x:c r="F114" s="30" t="n">
        <x:f>ABS(E114)</x:f>
        <x:v>0.04605223865343787</x:v>
      </x:c>
      <x:c r="G114" s="30" t="n">
        <x:v>0.1346785739853705</x:v>
      </x:c>
      <x:c r="H114" s="30" t="n">
        <x:v>-0.3419418344779943</x:v>
      </x:c>
      <x:c r="I114" s="30" t="n">
        <x:f>ABS(H114)</x:f>
        <x:v>0.3419418344779943</x:v>
      </x:c>
      <x:c r="J114" s="30" t="n">
        <x:v>0.37324649298597196</x:v>
      </x:c>
      <x:c r="K114" s="30" t="n">
        <x:v>-0.02253951337386516</x:v>
      </x:c>
      <x:c r="L114" s="30" t="n">
        <x:v>-0.18475675263763533</x:v>
      </x:c>
      <x:c r="M114" s="30" t="n">
        <x:v>0.4308617234468938</x:v>
      </x:c>
      <x:c r="N114" s="19" t="n">
        <x:v>1996</x:v>
      </x:c>
      <x:c r="O114" t="b">
        <x:f>P114="legacy_common_sample_8902245"</x:f>
        <x:v>1</x:v>
      </x:c>
      <x:c r="P114" t="str">
        <x:v>legacy_common_sample_8902245</x:v>
      </x:c>
      <x:c r="Q114" s="74" t="n">
        <x:v>46210.3353965162</x:v>
      </x:c>
      <x:c r="R114" s="19" t="n">
        <x:v>8902245</x:v>
      </x:c>
      <x:c r="S114" t="str">
        <x:v>40355b29bce094aef0e99358bdfd4011b92e72a54440a67760de4afae4883c33</x:v>
      </x:c>
      <x:c r="T114" t="str">
        <x:v>factor_report/gtja191_batch/gtja_052/ic_summary.csv</x:v>
      </x:c>
    </x:row>
    <x:row r="115">
      <x:c r="A115" s="50" t="n">
        <x:f>IF($P115="legacy_common_sample_8902245",1+COUNTIFS($C$5:$C$546,$C115,$P$5:$P$546,"legacy_common_sample_8902245",$I$5:$I$546,"&gt;"&amp;$I115),"")</x:f>
        <x:v>26</x:v>
      </x:c>
      <x:c r="B115" t="str">
        <x:v>gtja_067</x:v>
      </x:c>
      <x:c r="C115" s="50" t="n">
        <x:v>5</x:v>
      </x:c>
      <x:c r="D115" t="str">
        <x:f>IF(E115&gt;=0,"positive","negative")</x:f>
        <x:v>negative</x:v>
      </x:c>
      <x:c r="E115" s="30" t="n">
        <x:v>-0.04705781725656033</x:v>
      </x:c>
      <x:c r="F115" s="30" t="n">
        <x:f>ABS(E115)</x:f>
        <x:v>0.04705781725656033</x:v>
      </x:c>
      <x:c r="G115" s="30" t="n">
        <x:v>0.13790718960376744</x:v>
      </x:c>
      <x:c r="H115" s="30" t="n">
        <x:v>-0.34122816505626746</x:v>
      </x:c>
      <x:c r="I115" s="30" t="n">
        <x:f>ABS(H115)</x:f>
        <x:v>0.34122816505626746</x:v>
      </x:c>
      <x:c r="J115" s="30" t="n">
        <x:v>0.36472945891783565</x:v>
      </x:c>
      <x:c r="K115" s="30" t="n">
        <x:v>-0.019188153260497744</x:v>
      </x:c>
      <x:c r="L115" s="30" t="n">
        <x:v>-0.16619166577186997</x:v>
      </x:c>
      <x:c r="M115" s="30" t="n">
        <x:v>0.44639278557114226</x:v>
      </x:c>
      <x:c r="N115" s="19" t="n">
        <x:v>1996</x:v>
      </x:c>
      <x:c r="O115" t="b">
        <x:f>P115="legacy_common_sample_8902245"</x:f>
        <x:v>1</x:v>
      </x:c>
      <x:c r="P115" t="str">
        <x:v>legacy_common_sample_8902245</x:v>
      </x:c>
      <x:c r="Q115" s="74" t="n">
        <x:v>46210.40343721065</x:v>
      </x:c>
      <x:c r="R115" s="19" t="n">
        <x:v>8902245</x:v>
      </x:c>
      <x:c r="S115" t="str">
        <x:v>40355b29bce094aef0e99358bdfd4011b92e72a54440a67760de4afae4883c33</x:v>
      </x:c>
      <x:c r="T115" t="str">
        <x:v>factor_report/gtja191_batch/gtja_067/ic_summary.csv</x:v>
      </x:c>
    </x:row>
    <x:row r="116">
      <x:c r="A116" s="50" t="n">
        <x:f>IF($P116="legacy_common_sample_8902245",1+COUNTIFS($C$5:$C$546,$C116,$P$5:$P$546,"legacy_common_sample_8902245",$I$5:$I$546,"&gt;"&amp;$I116),"")</x:f>
        <x:v>27</x:v>
      </x:c>
      <x:c r="B116" t="str">
        <x:v>gtja_134</x:v>
      </x:c>
      <x:c r="C116" s="50" t="n">
        <x:v>5</x:v>
      </x:c>
      <x:c r="D116" t="str">
        <x:f>IF(E116&gt;=0,"positive","negative")</x:f>
        <x:v>negative</x:v>
      </x:c>
      <x:c r="E116" s="30" t="n">
        <x:v>-0.03918308328877937</x:v>
      </x:c>
      <x:c r="F116" s="30" t="n">
        <x:f>ABS(E116)</x:f>
        <x:v>0.03918308328877937</x:v>
      </x:c>
      <x:c r="G116" s="30" t="n">
        <x:v>0.11489045156386428</x:v>
      </x:c>
      <x:c r="H116" s="30" t="n">
        <x:v>-0.3410473434078081</x:v>
      </x:c>
      <x:c r="I116" s="30" t="n">
        <x:f>ABS(H116)</x:f>
        <x:v>0.3410473434078081</x:v>
      </x:c>
      <x:c r="J116" s="30" t="n">
        <x:v>0.3692384769539078</x:v>
      </x:c>
      <x:c r="K116" s="30" t="n">
        <x:v>-0.029122360950264457</x:v>
      </x:c>
      <x:c r="L116" s="30" t="n">
        <x:v>-0.39533667907617664</x:v>
      </x:c>
      <x:c r="M116" s="30" t="n">
        <x:v>0.3376753507014028</x:v>
      </x:c>
      <x:c r="N116" s="19" t="n">
        <x:v>1996</x:v>
      </x:c>
      <x:c r="O116" t="b">
        <x:f>P116="legacy_common_sample_8902245"</x:f>
        <x:v>1</x:v>
      </x:c>
      <x:c r="P116" t="str">
        <x:v>legacy_common_sample_8902245</x:v>
      </x:c>
      <x:c r="Q116" s="74" t="n">
        <x:v>46210.74197935185</x:v>
      </x:c>
      <x:c r="R116" s="19" t="n">
        <x:v>8902245</x:v>
      </x:c>
      <x:c r="S116" t="str">
        <x:v>40355b29bce094aef0e99358bdfd4011b92e72a54440a67760de4afae4883c33</x:v>
      </x:c>
      <x:c r="T116" t="str">
        <x:v>factor_report/gtja191_batch/gtja_134/ic_summary.csv</x:v>
      </x:c>
    </x:row>
    <x:row r="117">
      <x:c r="A117" s="50" t="n">
        <x:f>IF($P117="legacy_common_sample_8902245",1+COUNTIFS($C$5:$C$546,$C117,$P$5:$P$546,"legacy_common_sample_8902245",$I$5:$I$546,"&gt;"&amp;$I117),"")</x:f>
        <x:v>28</x:v>
      </x:c>
      <x:c r="B117" t="str">
        <x:v>gtja_110</x:v>
      </x:c>
      <x:c r="C117" s="50" t="n">
        <x:v>5</x:v>
      </x:c>
      <x:c r="D117" t="str">
        <x:f>IF(E117&gt;=0,"positive","negative")</x:f>
        <x:v>negative</x:v>
      </x:c>
      <x:c r="E117" s="30" t="n">
        <x:v>-0.03999776918303655</x:v>
      </x:c>
      <x:c r="F117" s="30" t="n">
        <x:f>ABS(E117)</x:f>
        <x:v>0.03999776918303655</x:v>
      </x:c>
      <x:c r="G117" s="30" t="n">
        <x:v>0.1180851782269463</x:v>
      </x:c>
      <x:c r="H117" s="30" t="n">
        <x:v>-0.33871964105575875</x:v>
      </x:c>
      <x:c r="I117" s="30" t="n">
        <x:f>ABS(H117)</x:f>
        <x:v>0.33871964105575875</x:v>
      </x:c>
      <x:c r="J117" s="30" t="n">
        <x:v>0.3652304609218437</x:v>
      </x:c>
      <x:c r="K117" s="30" t="n">
        <x:v>-0.01594200363319705</x:v>
      </x:c>
      <x:c r="L117" s="30" t="n">
        <x:v>-0.1478037435200101</x:v>
      </x:c>
      <x:c r="M117" s="30" t="n">
        <x:v>0.4473947895791583</x:v>
      </x:c>
      <x:c r="N117" s="19" t="n">
        <x:v>1996</x:v>
      </x:c>
      <x:c r="O117" t="b">
        <x:f>P117="legacy_common_sample_8902245"</x:f>
        <x:v>1</x:v>
      </x:c>
      <x:c r="P117" t="str">
        <x:v>legacy_common_sample_8902245</x:v>
      </x:c>
      <x:c r="Q117" s="74" t="n">
        <x:v>46210.616483287034</x:v>
      </x:c>
      <x:c r="R117" s="19" t="n">
        <x:v>8902245</x:v>
      </x:c>
      <x:c r="S117" t="str">
        <x:v>40355b29bce094aef0e99358bdfd4011b92e72a54440a67760de4afae4883c33</x:v>
      </x:c>
      <x:c r="T117" t="str">
        <x:v>factor_report/gtja191_batch/gtja_110/ic_summary.csv</x:v>
      </x:c>
    </x:row>
    <x:row r="118">
      <x:c r="A118" s="50" t="n">
        <x:f>IF($P118="legacy_common_sample_8902245",1+COUNTIFS($C$5:$C$546,$C118,$P$5:$P$546,"legacy_common_sample_8902245",$I$5:$I$546,"&gt;"&amp;$I118),"")</x:f>
        <x:v>29</x:v>
      </x:c>
      <x:c r="B118" t="str">
        <x:v>gtja_109</x:v>
      </x:c>
      <x:c r="C118" s="50" t="n">
        <x:v>5</x:v>
      </x:c>
      <x:c r="D118" t="str">
        <x:f>IF(E118&gt;=0,"positive","negative")</x:f>
        <x:v>negative</x:v>
      </x:c>
      <x:c r="E118" s="30" t="n">
        <x:v>-0.031379071152616365</x:v>
      </x:c>
      <x:c r="F118" s="30" t="n">
        <x:f>ABS(E118)</x:f>
        <x:v>0.031379071152616365</x:v>
      </x:c>
      <x:c r="G118" s="30" t="n">
        <x:v>0.093247062144085</x:v>
      </x:c>
      <x:c r="H118" s="30" t="n">
        <x:v>-0.336515386448632</x:v>
      </x:c>
      <x:c r="I118" s="30" t="n">
        <x:f>ABS(H118)</x:f>
        <x:v>0.336515386448632</x:v>
      </x:c>
      <x:c r="J118" s="30" t="n">
        <x:v>0.37625250501002006</x:v>
      </x:c>
      <x:c r="K118" s="30" t="n">
        <x:v>-0.02571860473555216</x:v>
      </x:c>
      <x:c r="L118" s="30" t="n">
        <x:v>-0.3316922032680048</x:v>
      </x:c>
      <x:c r="M118" s="30" t="n">
        <x:v>0.3622244488977956</x:v>
      </x:c>
      <x:c r="N118" s="19" t="n">
        <x:v>1996</x:v>
      </x:c>
      <x:c r="O118" t="b">
        <x:f>P118="legacy_common_sample_8902245"</x:f>
        <x:v>1</x:v>
      </x:c>
      <x:c r="P118" t="str">
        <x:v>legacy_common_sample_8902245</x:v>
      </x:c>
      <x:c r="Q118" s="74" t="n">
        <x:v>46210.612487280094</x:v>
      </x:c>
      <x:c r="R118" s="19" t="n">
        <x:v>8902245</x:v>
      </x:c>
      <x:c r="S118" t="str">
        <x:v>40355b29bce094aef0e99358bdfd4011b92e72a54440a67760de4afae4883c33</x:v>
      </x:c>
      <x:c r="T118" t="str">
        <x:v>factor_report/gtja191_batch/gtja_109/ic_summary.csv</x:v>
      </x:c>
    </x:row>
    <x:row r="119">
      <x:c r="A119" s="50" t="n">
        <x:f>IF($P119="legacy_common_sample_8902245",1+COUNTIFS($C$5:$C$546,$C119,$P$5:$P$546,"legacy_common_sample_8902245",$I$5:$I$546,"&gt;"&amp;$I119),"")</x:f>
        <x:v>30</x:v>
      </x:c>
      <x:c r="B119" t="str">
        <x:v>gtja_071</x:v>
      </x:c>
      <x:c r="C119" s="50" t="n">
        <x:v>5</x:v>
      </x:c>
      <x:c r="D119" t="str">
        <x:f>IF(E119&gt;=0,"positive","negative")</x:f>
        <x:v>negative</x:v>
      </x:c>
      <x:c r="E119" s="30" t="n">
        <x:v>-0.04854451973527362</x:v>
      </x:c>
      <x:c r="F119" s="30" t="n">
        <x:f>ABS(E119)</x:f>
        <x:v>0.04854451973527362</x:v>
      </x:c>
      <x:c r="G119" s="30" t="n">
        <x:v>0.14541380560211137</x:v>
      </x:c>
      <x:c r="H119" s="30" t="n">
        <x:v>-0.33383707643346877</x:v>
      </x:c>
      <x:c r="I119" s="30" t="n">
        <x:f>ABS(H119)</x:f>
        <x:v>0.33383707643346877</x:v>
      </x:c>
      <x:c r="J119" s="30" t="n">
        <x:v>0.36422845691382766</x:v>
      </x:c>
      <x:c r="K119" s="30" t="n">
        <x:v>-0.039272895049389</x:v>
      </x:c>
      <x:c r="L119" s="30" t="n">
        <x:v>-0.3029437697833295</x:v>
      </x:c>
      <x:c r="M119" s="30" t="n">
        <x:v>0.37324649298597196</x:v>
      </x:c>
      <x:c r="N119" s="19" t="n">
        <x:v>1996</x:v>
      </x:c>
      <x:c r="O119" t="b">
        <x:f>P119="legacy_common_sample_8902245"</x:f>
        <x:v>1</x:v>
      </x:c>
      <x:c r="P119" t="str">
        <x:v>legacy_common_sample_8902245</x:v>
      </x:c>
      <x:c r="Q119" s="74" t="n">
        <x:v>46210.420358854164</x:v>
      </x:c>
      <x:c r="R119" s="19" t="n">
        <x:v>8902245</x:v>
      </x:c>
      <x:c r="S119" t="str">
        <x:v>40355b29bce094aef0e99358bdfd4011b92e72a54440a67760de4afae4883c33</x:v>
      </x:c>
      <x:c r="T119" t="str">
        <x:v>factor_report/gtja191_batch/gtja_071/ic_summary.csv</x:v>
      </x:c>
    </x:row>
    <x:row r="120">
      <x:c r="A120" s="50" t="n">
        <x:f>IF($P120="legacy_common_sample_8902245",1+COUNTIFS($C$5:$C$546,$C120,$P$5:$P$546,"legacy_common_sample_8902245",$I$5:$I$546,"&gt;"&amp;$I120),"")</x:f>
        <x:v>31</x:v>
      </x:c>
      <x:c r="B120" t="str">
        <x:v>gtja_187</x:v>
      </x:c>
      <x:c r="C120" s="50" t="n">
        <x:v>5</x:v>
      </x:c>
      <x:c r="D120" t="str">
        <x:f>IF(E120&gt;=0,"positive","negative")</x:f>
        <x:v>negative</x:v>
      </x:c>
      <x:c r="E120" s="30" t="n">
        <x:v>-0.05934867361119837</x:v>
      </x:c>
      <x:c r="F120" s="30" t="n">
        <x:f>ABS(E120)</x:f>
        <x:v>0.05934867361119837</x:v>
      </x:c>
      <x:c r="G120" s="30" t="n">
        <x:v>0.18108932960212376</x:v>
      </x:c>
      <x:c r="H120" s="30" t="n">
        <x:v>-0.3277314778380092</x:v>
      </x:c>
      <x:c r="I120" s="30" t="n">
        <x:f>ABS(H120)</x:f>
        <x:v>0.3277314778380092</x:v>
      </x:c>
      <x:c r="J120" s="30" t="n">
        <x:v>0.39228456913827653</x:v>
      </x:c>
      <x:c r="K120" s="30" t="n">
        <x:v>-0.0174219635127603</x:v>
      </x:c>
      <x:c r="L120" s="30" t="n">
        <x:v>-0.15519641791535055</x:v>
      </x:c>
      <x:c r="M120" s="30" t="n">
        <x:v>0.4253507014028056</x:v>
      </x:c>
      <x:c r="N120" s="19" t="n">
        <x:v>1996</x:v>
      </x:c>
      <x:c r="O120" t="b">
        <x:f>P120="legacy_common_sample_8902245"</x:f>
        <x:v>1</x:v>
      </x:c>
      <x:c r="P120" t="str">
        <x:v>legacy_common_sample_8902245</x:v>
      </x:c>
      <x:c r="Q120" s="74" t="n">
        <x:v>46210.96675238426</x:v>
      </x:c>
      <x:c r="R120" s="19" t="n">
        <x:v>8902245</x:v>
      </x:c>
      <x:c r="S120" t="str">
        <x:v>40355b29bce094aef0e99358bdfd4011b92e72a54440a67760de4afae4883c33</x:v>
      </x:c>
      <x:c r="T120" t="str">
        <x:v>factor_report/gtja191_batch/gtja_187/ic_summary.csv</x:v>
      </x:c>
    </x:row>
    <x:row r="121">
      <x:c r="A121" s="50" t="n">
        <x:f>IF($P121="legacy_common_sample_8902245",1+COUNTIFS($C$5:$C$546,$C121,$P$5:$P$546,"legacy_common_sample_8902245",$I$5:$I$546,"&gt;"&amp;$I121),"")</x:f>
        <x:v>32</x:v>
      </x:c>
      <x:c r="B121" t="str">
        <x:v>gtja_116</x:v>
      </x:c>
      <x:c r="C121" s="50" t="n">
        <x:v>5</x:v>
      </x:c>
      <x:c r="D121" t="str">
        <x:f>IF(E121&gt;=0,"positive","negative")</x:f>
        <x:v>negative</x:v>
      </x:c>
      <x:c r="E121" s="30" t="n">
        <x:v>-0.04277419174351928</x:v>
      </x:c>
      <x:c r="F121" s="30" t="n">
        <x:f>ABS(E121)</x:f>
        <x:v>0.04277419174351928</x:v>
      </x:c>
      <x:c r="G121" s="30" t="n">
        <x:v>0.13411963971571836</x:v>
      </x:c>
      <x:c r="H121" s="30" t="n">
        <x:v>-0.3189256385879352</x:v>
      </x:c>
      <x:c r="I121" s="30" t="n">
        <x:f>ABS(H121)</x:f>
        <x:v>0.3189256385879352</x:v>
      </x:c>
      <x:c r="J121" s="30" t="n">
        <x:v>0.36773547094188375</x:v>
      </x:c>
      <x:c r="K121" s="30" t="n">
        <x:v>-0.016269891531622453</x:v>
      </x:c>
      <x:c r="L121" s="30" t="n">
        <x:v>-0.19034864129722978</x:v>
      </x:c>
      <x:c r="M121" s="30" t="n">
        <x:v>0.4278557114228457</x:v>
      </x:c>
      <x:c r="N121" s="19" t="n">
        <x:v>1996</x:v>
      </x:c>
      <x:c r="O121" t="b">
        <x:f>P121="legacy_common_sample_8902245"</x:f>
        <x:v>1</x:v>
      </x:c>
      <x:c r="P121" t="str">
        <x:v>legacy_common_sample_8902245</x:v>
      </x:c>
      <x:c r="Q121" s="74" t="n">
        <x:v>46210.64638673611</x:v>
      </x:c>
      <x:c r="R121" s="19" t="n">
        <x:v>8902245</x:v>
      </x:c>
      <x:c r="S121" t="str">
        <x:v>40355b29bce094aef0e99358bdfd4011b92e72a54440a67760de4afae4883c33</x:v>
      </x:c>
      <x:c r="T121" t="str">
        <x:v>factor_report/gtja191_batch/gtja_116/ic_summary.csv</x:v>
      </x:c>
    </x:row>
    <x:row r="122">
      <x:c r="A122" s="50" t="n">
        <x:f>IF($P122="legacy_common_sample_8902245",1+COUNTIFS($C$5:$C$546,$C122,$P$5:$P$546,"legacy_common_sample_8902245",$I$5:$I$546,"&gt;"&amp;$I122),"")</x:f>
        <x:v>33</x:v>
      </x:c>
      <x:c r="B122" t="str">
        <x:v>gtja_133</x:v>
      </x:c>
      <x:c r="C122" s="50" t="n">
        <x:v>5</x:v>
      </x:c>
      <x:c r="D122" t="str">
        <x:f>IF(E122&gt;=0,"positive","negative")</x:f>
        <x:v>negative</x:v>
      </x:c>
      <x:c r="E122" s="30" t="n">
        <x:v>-0.03565714629846609</x:v>
      </x:c>
      <x:c r="F122" s="30" t="n">
        <x:f>ABS(E122)</x:f>
        <x:v>0.03565714629846609</x:v>
      </x:c>
      <x:c r="G122" s="30" t="n">
        <x:v>0.11301392384298777</x:v>
      </x:c>
      <x:c r="H122" s="30" t="n">
        <x:v>-0.31551109001405164</x:v>
      </x:c>
      <x:c r="I122" s="30" t="n">
        <x:f>ABS(H122)</x:f>
        <x:v>0.31551109001405164</x:v>
      </x:c>
      <x:c r="J122" s="30" t="n">
        <x:v>0.375751503006012</x:v>
      </x:c>
      <x:c r="K122" s="30" t="n">
        <x:v>-0.017181223311087495</x:v>
      </x:c>
      <x:c r="L122" s="30" t="n">
        <x:v>-0.17130626832754164</x:v>
      </x:c>
      <x:c r="M122" s="30" t="n">
        <x:v>0.4393787575150301</x:v>
      </x:c>
      <x:c r="N122" s="19" t="n">
        <x:v>1996</x:v>
      </x:c>
      <x:c r="O122" t="b">
        <x:f>P122="legacy_common_sample_8902245"</x:f>
        <x:v>1</x:v>
      </x:c>
      <x:c r="P122" t="str">
        <x:v>legacy_common_sample_8902245</x:v>
      </x:c>
      <x:c r="Q122" s="74" t="n">
        <x:v>46210.73796425926</x:v>
      </x:c>
      <x:c r="R122" s="19" t="n">
        <x:v>8902245</x:v>
      </x:c>
      <x:c r="S122" t="str">
        <x:v>40355b29bce094aef0e99358bdfd4011b92e72a54440a67760de4afae4883c33</x:v>
      </x:c>
      <x:c r="T122" t="str">
        <x:v>factor_report/gtja191_batch/gtja_133/ic_summary.csv</x:v>
      </x:c>
    </x:row>
    <x:row r="123">
      <x:c r="A123" s="50" t="n">
        <x:f>IF($P123="legacy_common_sample_8902245",1+COUNTIFS($C$5:$C$546,$C123,$P$5:$P$546,"legacy_common_sample_8902245",$I$5:$I$546,"&gt;"&amp;$I123),"")</x:f>
        <x:v>34</x:v>
      </x:c>
      <x:c r="B123" t="str">
        <x:v>gtja_175</x:v>
      </x:c>
      <x:c r="C123" s="50" t="n">
        <x:v>5</x:v>
      </x:c>
      <x:c r="D123" t="str">
        <x:f>IF(E123&gt;=0,"positive","negative")</x:f>
        <x:v>negative</x:v>
      </x:c>
      <x:c r="E123" s="30" t="n">
        <x:v>-0.058075668845902644</x:v>
      </x:c>
      <x:c r="F123" s="30" t="n">
        <x:f>ABS(E123)</x:f>
        <x:v>0.058075668845902644</x:v>
      </x:c>
      <x:c r="G123" s="30" t="n">
        <x:v>0.18528352093487885</x:v>
      </x:c>
      <x:c r="H123" s="30" t="n">
        <x:v>-0.3134421698857631</x:v>
      </x:c>
      <x:c r="I123" s="30" t="n">
        <x:f>ABS(H123)</x:f>
        <x:v>0.3134421698857631</x:v>
      </x:c>
      <x:c r="J123" s="30" t="n">
        <x:v>0.4003006012024048</x:v>
      </x:c>
      <x:c r="K123" s="30" t="n">
        <x:v>-0.01665040409173456</x:v>
      </x:c>
      <x:c r="L123" s="30" t="n">
        <x:v>-0.14608354456891723</x:v>
      </x:c>
      <x:c r="M123" s="30" t="n">
        <x:v>0.437374749498998</x:v>
      </x:c>
      <x:c r="N123" s="19" t="n">
        <x:v>1996</x:v>
      </x:c>
      <x:c r="O123" t="b">
        <x:f>P123="legacy_common_sample_8902245"</x:f>
        <x:v>1</x:v>
      </x:c>
      <x:c r="P123" t="str">
        <x:v>legacy_common_sample_8902245</x:v>
      </x:c>
      <x:c r="Q123" s="74" t="n">
        <x:v>46210.925217731485</x:v>
      </x:c>
      <x:c r="R123" s="19" t="n">
        <x:v>8902245</x:v>
      </x:c>
      <x:c r="S123" t="str">
        <x:v>40355b29bce094aef0e99358bdfd4011b92e72a54440a67760de4afae4883c33</x:v>
      </x:c>
      <x:c r="T123" t="str">
        <x:v>factor_report/gtja191_batch/gtja_175/ic_summary.csv</x:v>
      </x:c>
    </x:row>
    <x:row r="124">
      <x:c r="A124" s="50" t="n">
        <x:f>IF($P124="legacy_common_sample_8902245",1+COUNTIFS($C$5:$C$546,$C124,$P$5:$P$546,"legacy_common_sample_8902245",$I$5:$I$546,"&gt;"&amp;$I124),"")</x:f>
        <x:v>35</x:v>
      </x:c>
      <x:c r="B124" t="str">
        <x:v>gtja_177</x:v>
      </x:c>
      <x:c r="C124" s="50" t="n">
        <x:v>5</x:v>
      </x:c>
      <x:c r="D124" t="str">
        <x:f>IF(E124&gt;=0,"positive","negative")</x:f>
        <x:v>negative</x:v>
      </x:c>
      <x:c r="E124" s="30" t="n">
        <x:v>-0.032231683722138145</x:v>
      </x:c>
      <x:c r="F124" s="30" t="n">
        <x:f>ABS(E124)</x:f>
        <x:v>0.032231683722138145</x:v>
      </x:c>
      <x:c r="G124" s="30" t="n">
        <x:v>0.10321207654549351</x:v>
      </x:c>
      <x:c r="H124" s="30" t="n">
        <x:v>-0.31228597273625397</x:v>
      </x:c>
      <x:c r="I124" s="30" t="n">
        <x:f>ABS(H124)</x:f>
        <x:v>0.31228597273625397</x:v>
      </x:c>
      <x:c r="J124" s="30" t="n">
        <x:v>0.3712424849699399</x:v>
      </x:c>
      <x:c r="K124" s="30" t="n">
        <x:v>-0.016321348650792333</x:v>
      </x:c>
      <x:c r="L124" s="30" t="n">
        <x:v>-0.17829409865860676</x:v>
      </x:c>
      <x:c r="M124" s="30" t="n">
        <x:v>0.42935871743486975</x:v>
      </x:c>
      <x:c r="N124" s="19" t="n">
        <x:v>1996</x:v>
      </x:c>
      <x:c r="O124" t="b">
        <x:f>P124="legacy_common_sample_8902245"</x:f>
        <x:v>1</x:v>
      </x:c>
      <x:c r="P124" t="str">
        <x:v>legacy_common_sample_8902245</x:v>
      </x:c>
      <x:c r="Q124" s="74" t="n">
        <x:v>46210.93332200232</x:v>
      </x:c>
      <x:c r="R124" s="19" t="n">
        <x:v>8902245</x:v>
      </x:c>
      <x:c r="S124" t="str">
        <x:v>40355b29bce094aef0e99358bdfd4011b92e72a54440a67760de4afae4883c33</x:v>
      </x:c>
      <x:c r="T124" t="str">
        <x:v>factor_report/gtja191_batch/gtja_177/ic_summary.csv</x:v>
      </x:c>
    </x:row>
    <x:row r="125">
      <x:c r="A125" s="50" t="n">
        <x:f>IF($P125="legacy_common_sample_8902245",1+COUNTIFS($C$5:$C$546,$C125,$P$5:$P$546,"legacy_common_sample_8902245",$I$5:$I$546,"&gt;"&amp;$I125),"")</x:f>
        <x:v>36</x:v>
      </x:c>
      <x:c r="B125" t="str">
        <x:v>gtja_122</x:v>
      </x:c>
      <x:c r="C125" s="50" t="n">
        <x:v>5</x:v>
      </x:c>
      <x:c r="D125" t="str">
        <x:f>IF(E125&gt;=0,"positive","negative")</x:f>
        <x:v>negative</x:v>
      </x:c>
      <x:c r="E125" s="30" t="n">
        <x:v>-0.0438131005715145</x:v>
      </x:c>
      <x:c r="F125" s="30" t="n">
        <x:f>ABS(E125)</x:f>
        <x:v>0.0438131005715145</x:v>
      </x:c>
      <x:c r="G125" s="30" t="n">
        <x:v>0.14336684303355327</x:v>
      </x:c>
      <x:c r="H125" s="30" t="n">
        <x:v>-0.3056013485716539</x:v>
      </x:c>
      <x:c r="I125" s="30" t="n">
        <x:f>ABS(H125)</x:f>
        <x:v>0.3056013485716539</x:v>
      </x:c>
      <x:c r="J125" s="30" t="n">
        <x:v>0.3907815631262525</x:v>
      </x:c>
      <x:c r="K125" s="30" t="n">
        <x:v>-0.01916637976853975</x:v>
      </x:c>
      <x:c r="L125" s="30" t="n">
        <x:v>-0.17842723010506098</x:v>
      </x:c>
      <x:c r="M125" s="30" t="n">
        <x:v>0.4343687374749499</x:v>
      </x:c>
      <x:c r="N125" s="19" t="n">
        <x:v>1996</x:v>
      </x:c>
      <x:c r="O125" t="b">
        <x:f>P125="legacy_common_sample_8902245"</x:f>
        <x:v>1</x:v>
      </x:c>
      <x:c r="P125" t="str">
        <x:v>legacy_common_sample_8902245</x:v>
      </x:c>
      <x:c r="Q125" s="74" t="n">
        <x:v>46210.69213701389</x:v>
      </x:c>
      <x:c r="R125" s="19" t="n">
        <x:v>8902245</x:v>
      </x:c>
      <x:c r="S125" t="str">
        <x:v>40355b29bce094aef0e99358bdfd4011b92e72a54440a67760de4afae4883c33</x:v>
      </x:c>
      <x:c r="T125" t="str">
        <x:v>factor_report/gtja191_batch/gtja_122/ic_summary.csv</x:v>
      </x:c>
    </x:row>
    <x:row r="126">
      <x:c r="A126" s="50" t="n">
        <x:f>IF($P126="legacy_common_sample_8902245",1+COUNTIFS($C$5:$C$546,$C126,$P$5:$P$546,"legacy_common_sample_8902245",$I$5:$I$546,"&gt;"&amp;$I126),"")</x:f>
        <x:v>37</x:v>
      </x:c>
      <x:c r="B126" t="str">
        <x:v>gtja_027</x:v>
      </x:c>
      <x:c r="C126" s="50" t="n">
        <x:v>5</x:v>
      </x:c>
      <x:c r="D126" t="str">
        <x:f>IF(E126&gt;=0,"positive","negative")</x:f>
        <x:v>negative</x:v>
      </x:c>
      <x:c r="E126" s="30" t="n">
        <x:v>-0.04258089304277106</x:v>
      </x:c>
      <x:c r="F126" s="30" t="n">
        <x:f>ABS(E126)</x:f>
        <x:v>0.04258089304277106</x:v>
      </x:c>
      <x:c r="G126" s="30" t="n">
        <x:v>0.13959532134726346</x:v>
      </x:c>
      <x:c r="H126" s="30" t="n">
        <x:v>-0.30503094682410564</x:v>
      </x:c>
      <x:c r="I126" s="30" t="n">
        <x:f>ABS(H126)</x:f>
        <x:v>0.30503094682410564</x:v>
      </x:c>
      <x:c r="J126" s="30" t="n">
        <x:v>0.3837675350701403</x:v>
      </x:c>
      <x:c r="K126" s="30" t="n">
        <x:v>-0.03352854253035088</x:v>
      </x:c>
      <x:c r="L126" s="30" t="n">
        <x:v>-0.27352712974741655</x:v>
      </x:c>
      <x:c r="M126" s="30" t="n">
        <x:v>0.3867735470941884</x:v>
      </x:c>
      <x:c r="N126" s="19" t="n">
        <x:v>1996</x:v>
      </x:c>
      <x:c r="O126" t="b">
        <x:f>P126="legacy_common_sample_8902245"</x:f>
        <x:v>1</x:v>
      </x:c>
      <x:c r="P126" t="str">
        <x:v>legacy_common_sample_8902245</x:v>
      </x:c>
      <x:c r="Q126" s="74" t="n">
        <x:v>46210.22519262732</x:v>
      </x:c>
      <x:c r="R126" s="19" t="n">
        <x:v>8902245</x:v>
      </x:c>
      <x:c r="S126" t="str">
        <x:v>40355b29bce094aef0e99358bdfd4011b92e72a54440a67760de4afae4883c33</x:v>
      </x:c>
      <x:c r="T126" t="str">
        <x:v>factor_report/gtja191_batch/gtja_027/ic_summary.csv</x:v>
      </x:c>
    </x:row>
    <x:row r="127">
      <x:c r="A127" s="50" t="n">
        <x:f>IF($P127="legacy_common_sample_8902245",1+COUNTIFS($C$5:$C$546,$C127,$P$5:$P$546,"legacy_common_sample_8902245",$I$5:$I$546,"&gt;"&amp;$I127),"")</x:f>
        <x:v>38</x:v>
      </x:c>
      <x:c r="B127" t="str">
        <x:v>gtja_135</x:v>
      </x:c>
      <x:c r="C127" s="50" t="n">
        <x:v>5</x:v>
      </x:c>
      <x:c r="D127" t="str">
        <x:f>IF(E127&gt;=0,"positive","negative")</x:f>
        <x:v>negative</x:v>
      </x:c>
      <x:c r="E127" s="30" t="n">
        <x:v>-0.0456536266840207</x:v>
      </x:c>
      <x:c r="F127" s="30" t="n">
        <x:f>ABS(E127)</x:f>
        <x:v>0.0456536266840207</x:v>
      </x:c>
      <x:c r="G127" s="30" t="n">
        <x:v>0.1502153548533713</x:v>
      </x:c>
      <x:c r="H127" s="30" t="n">
        <x:v>-0.303921171897402</x:v>
      </x:c>
      <x:c r="I127" s="30" t="n">
        <x:f>ABS(H127)</x:f>
        <x:v>0.303921171897402</x:v>
      </x:c>
      <x:c r="J127" s="30" t="n">
        <x:v>0.39629258517034066</x:v>
      </x:c>
      <x:c r="K127" s="30" t="n">
        <x:v>-0.023898148126934606</x:v>
      </x:c>
      <x:c r="L127" s="30" t="n">
        <x:v>-0.18145943506799161</x:v>
      </x:c>
      <x:c r="M127" s="30" t="n">
        <x:v>0.43286573146292584</x:v>
      </x:c>
      <x:c r="N127" s="19" t="n">
        <x:v>1996</x:v>
      </x:c>
      <x:c r="O127" t="b">
        <x:f>P127="legacy_common_sample_8902245"</x:f>
        <x:v>1</x:v>
      </x:c>
      <x:c r="P127" t="str">
        <x:v>legacy_common_sample_8902245</x:v>
      </x:c>
      <x:c r="Q127" s="74" t="n">
        <x:v>46210.7465330787</x:v>
      </x:c>
      <x:c r="R127" s="19" t="n">
        <x:v>8902245</x:v>
      </x:c>
      <x:c r="S127" t="str">
        <x:v>40355b29bce094aef0e99358bdfd4011b92e72a54440a67760de4afae4883c33</x:v>
      </x:c>
      <x:c r="T127" t="str">
        <x:v>factor_report/gtja191_batch/gtja_135/ic_summary.csv</x:v>
      </x:c>
    </x:row>
    <x:row r="128">
      <x:c r="A128" s="50" t="n">
        <x:f>IF($P128="legacy_common_sample_8902245",1+COUNTIFS($C$5:$C$546,$C128,$P$5:$P$546,"legacy_common_sample_8902245",$I$5:$I$546,"&gt;"&amp;$I128),"")</x:f>
        <x:v>39</x:v>
      </x:c>
      <x:c r="B128" t="str">
        <x:v>gtja_079</x:v>
      </x:c>
      <x:c r="C128" s="50" t="n">
        <x:v>5</x:v>
      </x:c>
      <x:c r="D128" t="str">
        <x:f>IF(E128&gt;=0,"positive","negative")</x:f>
        <x:v>negative</x:v>
      </x:c>
      <x:c r="E128" s="30" t="n">
        <x:v>-0.04118816438031043</x:v>
      </x:c>
      <x:c r="F128" s="30" t="n">
        <x:f>ABS(E128)</x:f>
        <x:v>0.04118816438031043</x:v>
      </x:c>
      <x:c r="G128" s="30" t="n">
        <x:v>0.13608980568141407</x:v>
      </x:c>
      <x:c r="H128" s="30" t="n">
        <x:v>-0.30265429636024194</x:v>
      </x:c>
      <x:c r="I128" s="30" t="n">
        <x:f>ABS(H128)</x:f>
        <x:v>0.30265429636024194</x:v>
      </x:c>
      <x:c r="J128" s="30" t="n">
        <x:v>0.3717434869739479</x:v>
      </x:c>
      <x:c r="K128" s="30" t="n">
        <x:v>-0.019009864498706477</x:v>
      </x:c>
      <x:c r="L128" s="30" t="n">
        <x:v>-0.16139426776831173</x:v>
      </x:c>
      <x:c r="M128" s="30" t="n">
        <x:v>0.43587174348697394</x:v>
      </x:c>
      <x:c r="N128" s="19" t="n">
        <x:v>1996</x:v>
      </x:c>
      <x:c r="O128" t="b">
        <x:f>P128="legacy_common_sample_8902245"</x:f>
        <x:v>1</x:v>
      </x:c>
      <x:c r="P128" t="str">
        <x:v>legacy_common_sample_8902245</x:v>
      </x:c>
      <x:c r="Q128" s="74" t="n">
        <x:v>46210.47234655092</x:v>
      </x:c>
      <x:c r="R128" s="19" t="n">
        <x:v>8902245</x:v>
      </x:c>
      <x:c r="S128" t="str">
        <x:v>40355b29bce094aef0e99358bdfd4011b92e72a54440a67760de4afae4883c33</x:v>
      </x:c>
      <x:c r="T128" t="str">
        <x:v>factor_report/gtja191_batch/gtja_079/ic_summary.csv</x:v>
      </x:c>
    </x:row>
    <x:row r="129">
      <x:c r="A129" s="50" t="n">
        <x:f>IF($P129="legacy_common_sample_8902245",1+COUNTIFS($C$5:$C$546,$C129,$P$5:$P$546,"legacy_common_sample_8902245",$I$5:$I$546,"&gt;"&amp;$I129),"")</x:f>
        <x:v>40</x:v>
      </x:c>
      <x:c r="B129" t="str">
        <x:v>gtja_147</x:v>
      </x:c>
      <x:c r="C129" s="50" t="n">
        <x:v>5</x:v>
      </x:c>
      <x:c r="D129" t="str">
        <x:f>IF(E129&gt;=0,"positive","negative")</x:f>
        <x:v>negative</x:v>
      </x:c>
      <x:c r="E129" s="30" t="n">
        <x:v>-0.03906630126821493</x:v>
      </x:c>
      <x:c r="F129" s="30" t="n">
        <x:f>ABS(E129)</x:f>
        <x:v>0.03906630126821493</x:v>
      </x:c>
      <x:c r="G129" s="30" t="n">
        <x:v>0.13191076342078709</x:v>
      </x:c>
      <x:c r="H129" s="30" t="n">
        <x:v>-0.29615704022268347</x:v>
      </x:c>
      <x:c r="I129" s="30" t="n">
        <x:f>ABS(H129)</x:f>
        <x:v>0.29615704022268347</x:v>
      </x:c>
      <x:c r="J129" s="30" t="n">
        <x:v>0.38877755511022044</x:v>
      </x:c>
      <x:c r="K129" s="30" t="n">
        <x:v>-0.014199698753487661</x:v>
      </x:c>
      <x:c r="L129" s="30" t="n">
        <x:v>-0.1680586352955211</x:v>
      </x:c>
      <x:c r="M129" s="30" t="n">
        <x:v>0.4308617234468938</x:v>
      </x:c>
      <x:c r="N129" s="19" t="n">
        <x:v>1996</x:v>
      </x:c>
      <x:c r="O129" t="b">
        <x:f>P129="legacy_common_sample_8902245"</x:f>
        <x:v>1</x:v>
      </x:c>
      <x:c r="P129" t="str">
        <x:v>legacy_common_sample_8902245</x:v>
      </x:c>
      <x:c r="Q129" s="74" t="n">
        <x:v>46210.805681736114</x:v>
      </x:c>
      <x:c r="R129" s="19" t="n">
        <x:v>8902245</x:v>
      </x:c>
      <x:c r="S129" t="str">
        <x:v>40355b29bce094aef0e99358bdfd4011b92e72a54440a67760de4afae4883c33</x:v>
      </x:c>
      <x:c r="T129" t="str">
        <x:v>factor_report/gtja191_batch/gtja_147/ic_summary.csv</x:v>
      </x:c>
    </x:row>
    <x:row r="130">
      <x:c r="A130" s="50" t="n">
        <x:f>IF($P130="legacy_common_sample_8902245",1+COUNTIFS($C$5:$C$546,$C130,$P$5:$P$546,"legacy_common_sample_8902245",$I$5:$I$546,"&gt;"&amp;$I130),"")</x:f>
        <x:v>41</x:v>
      </x:c>
      <x:c r="B130" t="str">
        <x:v>gtja_161</x:v>
      </x:c>
      <x:c r="C130" s="50" t="n">
        <x:v>5</x:v>
      </x:c>
      <x:c r="D130" t="str">
        <x:f>IF(E130&gt;=0,"positive","negative")</x:f>
        <x:v>negative</x:v>
      </x:c>
      <x:c r="E130" s="30" t="n">
        <x:v>-0.05466940533677726</x:v>
      </x:c>
      <x:c r="F130" s="30" t="n">
        <x:f>ABS(E130)</x:f>
        <x:v>0.05466940533677726</x:v>
      </x:c>
      <x:c r="G130" s="30" t="n">
        <x:v>0.18794128064135981</x:v>
      </x:c>
      <x:c r="H130" s="30" t="n">
        <x:v>-0.29088556356652967</x:v>
      </x:c>
      <x:c r="I130" s="30" t="n">
        <x:f>ABS(H130)</x:f>
        <x:v>0.29088556356652967</x:v>
      </x:c>
      <x:c r="J130" s="30" t="n">
        <x:v>0.4088176352705411</x:v>
      </x:c>
      <x:c r="K130" s="30" t="n">
        <x:v>-0.014412155182972865</x:v>
      </x:c>
      <x:c r="L130" s="30" t="n">
        <x:v>-0.1254456447486801</x:v>
      </x:c>
      <x:c r="M130" s="30" t="n">
        <x:v>0.44639278557114226</x:v>
      </x:c>
      <x:c r="N130" s="19" t="n">
        <x:v>1996</x:v>
      </x:c>
      <x:c r="O130" t="b">
        <x:f>P130="legacy_common_sample_8902245"</x:f>
        <x:v>1</x:v>
      </x:c>
      <x:c r="P130" t="str">
        <x:v>legacy_common_sample_8902245</x:v>
      </x:c>
      <x:c r="Q130" s="74" t="n">
        <x:v>46210.86347449074</x:v>
      </x:c>
      <x:c r="R130" s="19" t="n">
        <x:v>8902245</x:v>
      </x:c>
      <x:c r="S130" t="str">
        <x:v>40355b29bce094aef0e99358bdfd4011b92e72a54440a67760de4afae4883c33</x:v>
      </x:c>
      <x:c r="T130" t="str">
        <x:v>factor_report/gtja191_batch/gtja_161/ic_summary.csv</x:v>
      </x:c>
    </x:row>
    <x:row r="131">
      <x:c r="A131" s="50" t="n">
        <x:f>IF($P131="legacy_common_sample_8902245",1+COUNTIFS($C$5:$C$546,$C131,$P$5:$P$546,"legacy_common_sample_8902245",$I$5:$I$546,"&gt;"&amp;$I131),"")</x:f>
        <x:v>42</x:v>
      </x:c>
      <x:c r="B131" t="str">
        <x:v>gtja_189</x:v>
      </x:c>
      <x:c r="C131" s="50" t="n">
        <x:v>5</x:v>
      </x:c>
      <x:c r="D131" t="str">
        <x:f>IF(E131&gt;=0,"positive","negative")</x:f>
        <x:v>negative</x:v>
      </x:c>
      <x:c r="E131" s="30" t="n">
        <x:v>-0.0510339383526854</x:v>
      </x:c>
      <x:c r="F131" s="30" t="n">
        <x:f>ABS(E131)</x:f>
        <x:v>0.0510339383526854</x:v>
      </x:c>
      <x:c r="G131" s="30" t="n">
        <x:v>0.17935051995957327</x:v>
      </x:c>
      <x:c r="H131" s="30" t="n">
        <x:v>-0.2845485943625297</x:v>
      </x:c>
      <x:c r="I131" s="30" t="n">
        <x:f>ABS(H131)</x:f>
        <x:v>0.2845485943625297</x:v>
      </x:c>
      <x:c r="J131" s="30" t="n">
        <x:v>0.406312625250501</x:v>
      </x:c>
      <x:c r="K131" s="30" t="n">
        <x:v>-0.01453633568425552</x:v>
      </x:c>
      <x:c r="L131" s="30" t="n">
        <x:v>-0.14031036544759617</x:v>
      </x:c>
      <x:c r="M131" s="30" t="n">
        <x:v>0.4393787575150301</x:v>
      </x:c>
      <x:c r="N131" s="19" t="n">
        <x:v>1996</x:v>
      </x:c>
      <x:c r="O131" t="b">
        <x:f>P131="legacy_common_sample_8902245"</x:f>
        <x:v>1</x:v>
      </x:c>
      <x:c r="P131" t="str">
        <x:v>legacy_common_sample_8902245</x:v>
      </x:c>
      <x:c r="Q131" s="74" t="n">
        <x:v>46210.9753753125</x:v>
      </x:c>
      <x:c r="R131" s="19" t="n">
        <x:v>8902245</x:v>
      </x:c>
      <x:c r="S131" t="str">
        <x:v>40355b29bce094aef0e99358bdfd4011b92e72a54440a67760de4afae4883c33</x:v>
      </x:c>
      <x:c r="T131" t="str">
        <x:v>factor_report/gtja191_batch/gtja_189/ic_summary.csv</x:v>
      </x:c>
    </x:row>
    <x:row r="132">
      <x:c r="A132" s="50" t="n">
        <x:f>IF($P132="legacy_common_sample_8902245",1+COUNTIFS($C$5:$C$546,$C132,$P$5:$P$546,"legacy_common_sample_8902245",$I$5:$I$546,"&gt;"&amp;$I132),"")</x:f>
        <x:v>43</x:v>
      </x:c>
      <x:c r="B132" t="str">
        <x:v>gtja_024</x:v>
      </x:c>
      <x:c r="C132" s="50" t="n">
        <x:v>5</x:v>
      </x:c>
      <x:c r="D132" t="str">
        <x:f>IF(E132&gt;=0,"positive","negative")</x:f>
        <x:v>negative</x:v>
      </x:c>
      <x:c r="E132" s="30" t="n">
        <x:v>-0.037843747955581354</x:v>
      </x:c>
      <x:c r="F132" s="30" t="n">
        <x:f>ABS(E132)</x:f>
        <x:v>0.037843747955581354</x:v>
      </x:c>
      <x:c r="G132" s="30" t="n">
        <x:v>0.13573258025744142</x:v>
      </x:c>
      <x:c r="H132" s="30" t="n">
        <x:v>-0.2788110848832597</x:v>
      </x:c>
      <x:c r="I132" s="30" t="n">
        <x:f>ABS(H132)</x:f>
        <x:v>0.2788110848832597</x:v>
      </x:c>
      <x:c r="J132" s="30" t="n">
        <x:v>0.38527054108216435</x:v>
      </x:c>
      <x:c r="K132" s="30" t="n">
        <x:v>-0.01636082945572149</x:v>
      </x:c>
      <x:c r="L132" s="30" t="n">
        <x:v>-0.19456518433625258</x:v>
      </x:c>
      <x:c r="M132" s="30" t="n">
        <x:v>0.406312625250501</x:v>
      </x:c>
      <x:c r="N132" s="19" t="n">
        <x:v>1996</x:v>
      </x:c>
      <x:c r="O132" t="b">
        <x:f>P132="legacy_common_sample_8902245"</x:f>
        <x:v>1</x:v>
      </x:c>
      <x:c r="P132" t="str">
        <x:v>legacy_common_sample_8902245</x:v>
      </x:c>
      <x:c r="Q132" s="74" t="n">
        <x:v>46210.21420491898</x:v>
      </x:c>
      <x:c r="R132" s="19" t="n">
        <x:v>8902245</x:v>
      </x:c>
      <x:c r="S132" t="str">
        <x:v>40355b29bce094aef0e99358bdfd4011b92e72a54440a67760de4afae4883c33</x:v>
      </x:c>
      <x:c r="T132" t="str">
        <x:v>factor_report/gtja191_batch/gtja_024/ic_summary.csv</x:v>
      </x:c>
    </x:row>
    <x:row r="133">
      <x:c r="A133" s="50" t="n">
        <x:f>IF($P133="legacy_common_sample_8902245",1+COUNTIFS($C$5:$C$546,$C133,$P$5:$P$546,"legacy_common_sample_8902245",$I$5:$I$546,"&gt;"&amp;$I133),"")</x:f>
        <x:v>44</x:v>
      </x:c>
      <x:c r="B133" t="str">
        <x:v>gtja_029</x:v>
      </x:c>
      <x:c r="C133" s="50" t="n">
        <x:v>5</x:v>
      </x:c>
      <x:c r="D133" t="str">
        <x:f>IF(E133&gt;=0,"positive","negative")</x:f>
        <x:v>negative</x:v>
      </x:c>
      <x:c r="E133" s="30" t="n">
        <x:v>-0.030787904669802236</x:v>
      </x:c>
      <x:c r="F133" s="30" t="n">
        <x:f>ABS(E133)</x:f>
        <x:v>0.030787904669802236</x:v>
      </x:c>
      <x:c r="G133" s="30" t="n">
        <x:v>0.11363257415051845</x:v>
      </x:c>
      <x:c r="H133" s="30" t="n">
        <x:v>-0.27094259634583634</x:v>
      </x:c>
      <x:c r="I133" s="30" t="n">
        <x:f>ABS(H133)</x:f>
        <x:v>0.27094259634583634</x:v>
      </x:c>
      <x:c r="J133" s="30" t="n">
        <x:v>0.3927855711422846</x:v>
      </x:c>
      <x:c r="K133" s="30" t="n">
        <x:v>-0.027442891017260232</x:v>
      </x:c>
      <x:c r="L133" s="30" t="n">
        <x:v>-0.39913021681568156</x:v>
      </x:c>
      <x:c r="M133" s="30" t="n">
        <x:v>0.3221442885771543</x:v>
      </x:c>
      <x:c r="N133" s="19" t="n">
        <x:v>1996</x:v>
      </x:c>
      <x:c r="O133" t="b">
        <x:f>P133="legacy_common_sample_8902245"</x:f>
        <x:v>1</x:v>
      </x:c>
      <x:c r="P133" t="str">
        <x:v>legacy_common_sample_8902245</x:v>
      </x:c>
      <x:c r="Q133" s="74" t="n">
        <x:v>46210.234402939815</x:v>
      </x:c>
      <x:c r="R133" s="19" t="n">
        <x:v>8902245</x:v>
      </x:c>
      <x:c r="S133" t="str">
        <x:v>40355b29bce094aef0e99358bdfd4011b92e72a54440a67760de4afae4883c33</x:v>
      </x:c>
      <x:c r="T133" t="str">
        <x:v>factor_report/gtja191_batch/gtja_029/ic_summary.csv</x:v>
      </x:c>
    </x:row>
    <x:row r="134">
      <x:c r="A134" s="50" t="n">
        <x:f>IF($P134="legacy_common_sample_8902245",1+COUNTIFS($C$5:$C$546,$C134,$P$5:$P$546,"legacy_common_sample_8902245",$I$5:$I$546,"&gt;"&amp;$I134),"")</x:f>
        <x:v>45</x:v>
      </x:c>
      <x:c r="B134" t="str">
        <x:v>gtja_102</x:v>
      </x:c>
      <x:c r="C134" s="50" t="n">
        <x:v>5</x:v>
      </x:c>
      <x:c r="D134" t="str">
        <x:f>IF(E134&gt;=0,"positive","negative")</x:f>
        <x:v>negative</x:v>
      </x:c>
      <x:c r="E134" s="30" t="n">
        <x:v>-0.02261074637807211</x:v>
      </x:c>
      <x:c r="F134" s="30" t="n">
        <x:f>ABS(E134)</x:f>
        <x:v>0.02261074637807211</x:v>
      </x:c>
      <x:c r="G134" s="30" t="n">
        <x:v>0.08383631979732782</x:v>
      </x:c>
      <x:c r="H134" s="30" t="n">
        <x:v>-0.2697010845983342</x:v>
      </x:c>
      <x:c r="I134" s="30" t="n">
        <x:f>ABS(H134)</x:f>
        <x:v>0.2697010845983342</x:v>
      </x:c>
      <x:c r="J134" s="30" t="n">
        <x:v>0.3787575150300601</x:v>
      </x:c>
      <x:c r="K134" s="30" t="n">
        <x:v>-0.021192900436921402</x:v>
      </x:c>
      <x:c r="L134" s="30" t="n">
        <x:v>-0.294328100497922</x:v>
      </x:c>
      <x:c r="M134" s="30" t="n">
        <x:v>0.3667334669338677</x:v>
      </x:c>
      <x:c r="N134" s="19" t="n">
        <x:v>1996</x:v>
      </x:c>
      <x:c r="O134" t="b">
        <x:f>P134="legacy_common_sample_8902245"</x:f>
        <x:v>1</x:v>
      </x:c>
      <x:c r="P134" t="str">
        <x:v>legacy_common_sample_8902245</x:v>
      </x:c>
      <x:c r="Q134" s="74" t="n">
        <x:v>46210.58357934028</x:v>
      </x:c>
      <x:c r="R134" s="19" t="n">
        <x:v>8902245</x:v>
      </x:c>
      <x:c r="S134" t="str">
        <x:v>40355b29bce094aef0e99358bdfd4011b92e72a54440a67760de4afae4883c33</x:v>
      </x:c>
      <x:c r="T134" t="str">
        <x:v>factor_report/gtja191_batch/gtja_102/ic_summary.csv</x:v>
      </x:c>
    </x:row>
    <x:row r="135">
      <x:c r="A135" s="50" t="n">
        <x:f>IF($P135="legacy_common_sample_8902245",1+COUNTIFS($C$5:$C$546,$C135,$P$5:$P$546,"legacy_common_sample_8902245",$I$5:$I$546,"&gt;"&amp;$I135),"")</x:f>
        <x:v>46</x:v>
      </x:c>
      <x:c r="B135" t="str">
        <x:v>gtja_128</x:v>
      </x:c>
      <x:c r="C135" s="50" t="n">
        <x:v>5</x:v>
      </x:c>
      <x:c r="D135" t="str">
        <x:f>IF(E135&gt;=0,"positive","negative")</x:f>
        <x:v>negative</x:v>
      </x:c>
      <x:c r="E135" s="30" t="n">
        <x:v>-0.029563258856496376</x:v>
      </x:c>
      <x:c r="F135" s="30" t="n">
        <x:f>ABS(E135)</x:f>
        <x:v>0.029563258856496376</x:v>
      </x:c>
      <x:c r="G135" s="30" t="n">
        <x:v>0.11044285158799962</x:v>
      </x:c>
      <x:c r="H135" s="30" t="n">
        <x:v>-0.2676792425351378</x:v>
      </x:c>
      <x:c r="I135" s="30" t="n">
        <x:f>ABS(H135)</x:f>
        <x:v>0.2676792425351378</x:v>
      </x:c>
      <x:c r="J135" s="30" t="n">
        <x:v>0.38927855711422843</x:v>
      </x:c>
      <x:c r="K135" s="30" t="n">
        <x:v>-0.011354219416152864</x:v>
      </x:c>
      <x:c r="L135" s="30" t="n">
        <x:v>-0.11873708578224827</x:v>
      </x:c>
      <x:c r="M135" s="30" t="n">
        <x:v>0.4529058116232465</x:v>
      </x:c>
      <x:c r="N135" s="19" t="n">
        <x:v>1996</x:v>
      </x:c>
      <x:c r="O135" t="b">
        <x:f>P135="legacy_common_sample_8902245"</x:f>
        <x:v>1</x:v>
      </x:c>
      <x:c r="P135" t="str">
        <x:v>legacy_common_sample_8902245</x:v>
      </x:c>
      <x:c r="Q135" s="74" t="n">
        <x:v>46210.71593150463</x:v>
      </x:c>
      <x:c r="R135" s="19" t="n">
        <x:v>8902245</x:v>
      </x:c>
      <x:c r="S135" t="str">
        <x:v>40355b29bce094aef0e99358bdfd4011b92e72a54440a67760de4afae4883c33</x:v>
      </x:c>
      <x:c r="T135" t="str">
        <x:v>factor_report/gtja191_batch/gtja_128/ic_summary.csv</x:v>
      </x:c>
    </x:row>
    <x:row r="136">
      <x:c r="A136" s="50" t="n">
        <x:f>IF($P136="legacy_common_sample_8902245",1+COUNTIFS($C$5:$C$546,$C136,$P$5:$P$546,"legacy_common_sample_8902245",$I$5:$I$546,"&gt;"&amp;$I136),"")</x:f>
        <x:v>47</x:v>
      </x:c>
      <x:c r="B136" t="str">
        <x:v>gtja_031</x:v>
      </x:c>
      <x:c r="C136" s="50" t="n">
        <x:v>5</x:v>
      </x:c>
      <x:c r="D136" t="str">
        <x:f>IF(E136&gt;=0,"positive","negative")</x:f>
        <x:v>negative</x:v>
      </x:c>
      <x:c r="E136" s="30" t="n">
        <x:v>-0.036798000064215984</x:v>
      </x:c>
      <x:c r="F136" s="30" t="n">
        <x:f>ABS(E136)</x:f>
        <x:v>0.036798000064215984</x:v>
      </x:c>
      <x:c r="G136" s="30" t="n">
        <x:v>0.13779258485631646</x:v>
      </x:c>
      <x:c r="H136" s="30" t="n">
        <x:v>-0.26705355808940795</x:v>
      </x:c>
      <x:c r="I136" s="30" t="n">
        <x:f>ABS(H136)</x:f>
        <x:v>0.26705355808940795</x:v>
      </x:c>
      <x:c r="J136" s="30" t="n">
        <x:v>0.3897795591182365</x:v>
      </x:c>
      <x:c r="K136" s="30" t="n">
        <x:v>-0.03464532959773875</x:v>
      </x:c>
      <x:c r="L136" s="30" t="n">
        <x:v>-0.2912691030650861</x:v>
      </x:c>
      <x:c r="M136" s="30" t="n">
        <x:v>0.3657314629258517</x:v>
      </x:c>
      <x:c r="N136" s="19" t="n">
        <x:v>1996</x:v>
      </x:c>
      <x:c r="O136" t="b">
        <x:f>P136="legacy_common_sample_8902245"</x:f>
        <x:v>1</x:v>
      </x:c>
      <x:c r="P136" t="str">
        <x:v>legacy_common_sample_8902245</x:v>
      </x:c>
      <x:c r="Q136" s="74" t="n">
        <x:v>46210.23892871528</x:v>
      </x:c>
      <x:c r="R136" s="19" t="n">
        <x:v>8902245</x:v>
      </x:c>
      <x:c r="S136" t="str">
        <x:v>40355b29bce094aef0e99358bdfd4011b92e72a54440a67760de4afae4883c33</x:v>
      </x:c>
      <x:c r="T136" t="str">
        <x:v>factor_report/gtja191_batch/gtja_031/ic_summary.csv</x:v>
      </x:c>
    </x:row>
    <x:row r="137">
      <x:c r="A137" s="50" t="n">
        <x:f>IF($P137="legacy_common_sample_8902245",1+COUNTIFS($C$5:$C$546,$C137,$P$5:$P$546,"legacy_common_sample_8902245",$I$5:$I$546,"&gt;"&amp;$I137),"")</x:f>
        <x:v>48</x:v>
      </x:c>
      <x:c r="B137" t="str">
        <x:v>gtja_051</x:v>
      </x:c>
      <x:c r="C137" s="50" t="n">
        <x:v>5</x:v>
      </x:c>
      <x:c r="D137" t="str">
        <x:f>IF(E137&gt;=0,"positive","negative")</x:f>
        <x:v>negative</x:v>
      </x:c>
      <x:c r="E137" s="30" t="n">
        <x:v>-0.03304907547879243</x:v>
      </x:c>
      <x:c r="F137" s="30" t="n">
        <x:f>ABS(E137)</x:f>
        <x:v>0.03304907547879243</x:v>
      </x:c>
      <x:c r="G137" s="30" t="n">
        <x:v>0.12376971467721183</x:v>
      </x:c>
      <x:c r="H137" s="30" t="n">
        <x:v>-0.2670206969853938</x:v>
      </x:c>
      <x:c r="I137" s="30" t="n">
        <x:f>ABS(H137)</x:f>
        <x:v>0.2670206969853938</x:v>
      </x:c>
      <x:c r="J137" s="30" t="n">
        <x:v>0.3877755511022044</x:v>
      </x:c>
      <x:c r="K137" s="30" t="n">
        <x:v>-0.01383949519679582</x:v>
      </x:c>
      <x:c r="L137" s="30" t="n">
        <x:v>-0.1301366989537495</x:v>
      </x:c>
      <x:c r="M137" s="30" t="n">
        <x:v>0.44288577154308617</x:v>
      </x:c>
      <x:c r="N137" s="19" t="n">
        <x:v>1996</x:v>
      </x:c>
      <x:c r="O137" t="b">
        <x:f>P137="legacy_common_sample_8902245"</x:f>
        <x:v>1</x:v>
      </x:c>
      <x:c r="P137" t="str">
        <x:v>legacy_common_sample_8902245</x:v>
      </x:c>
      <x:c r="Q137" s="74" t="n">
        <x:v>46210.33137918982</x:v>
      </x:c>
      <x:c r="R137" s="19" t="n">
        <x:v>8902245</x:v>
      </x:c>
      <x:c r="S137" t="str">
        <x:v>40355b29bce094aef0e99358bdfd4011b92e72a54440a67760de4afae4883c33</x:v>
      </x:c>
      <x:c r="T137" t="str">
        <x:v>factor_report/gtja191_batch/gtja_051/ic_summary.csv</x:v>
      </x:c>
    </x:row>
    <x:row r="138">
      <x:c r="A138" s="50" t="n">
        <x:f>IF($P138="legacy_common_sample_8902245",1+COUNTIFS($C$5:$C$546,$C138,$P$5:$P$546,"legacy_common_sample_8902245",$I$5:$I$546,"&gt;"&amp;$I138),"")</x:f>
        <x:v>49</x:v>
      </x:c>
      <x:c r="B138" t="str">
        <x:v>gtja_050</x:v>
      </x:c>
      <x:c r="C138" s="50" t="n">
        <x:v>5</x:v>
      </x:c>
      <x:c r="D138" t="str">
        <x:f>IF(E138&gt;=0,"positive","negative")</x:f>
        <x:v>negative</x:v>
      </x:c>
      <x:c r="E138" s="30" t="n">
        <x:v>-0.0330490573207341</x:v>
      </x:c>
      <x:c r="F138" s="30" t="n">
        <x:f>ABS(E138)</x:f>
        <x:v>0.0330490573207341</x:v>
      </x:c>
      <x:c r="G138" s="30" t="n">
        <x:v>0.1237697017647765</x:v>
      </x:c>
      <x:c r="H138" s="30" t="n">
        <x:v>-0.2670205781342482</x:v>
      </x:c>
      <x:c r="I138" s="30" t="n">
        <x:f>ABS(H138)</x:f>
        <x:v>0.2670205781342482</x:v>
      </x:c>
      <x:c r="J138" s="30" t="n">
        <x:v>0.3877755511022044</x:v>
      </x:c>
      <x:c r="K138" s="30" t="n">
        <x:v>-0.01383949519679582</x:v>
      </x:c>
      <x:c r="L138" s="30" t="n">
        <x:v>-0.1301366989537495</x:v>
      </x:c>
      <x:c r="M138" s="30" t="n">
        <x:v>0.44288577154308617</x:v>
      </x:c>
      <x:c r="N138" s="19" t="n">
        <x:v>1996</x:v>
      </x:c>
      <x:c r="O138" t="b">
        <x:f>P138="legacy_common_sample_8902245"</x:f>
        <x:v>1</x:v>
      </x:c>
      <x:c r="P138" t="str">
        <x:v>legacy_common_sample_8902245</x:v>
      </x:c>
      <x:c r="Q138" s="74" t="n">
        <x:v>46210.32673208333</x:v>
      </x:c>
      <x:c r="R138" s="19" t="n">
        <x:v>8902245</x:v>
      </x:c>
      <x:c r="S138" t="str">
        <x:v>40355b29bce094aef0e99358bdfd4011b92e72a54440a67760de4afae4883c33</x:v>
      </x:c>
      <x:c r="T138" t="str">
        <x:v>factor_report/gtja191_batch/gtja_050/ic_summary.csv</x:v>
      </x:c>
    </x:row>
    <x:row r="139">
      <x:c r="A139" s="50" t="n">
        <x:f>IF($P139="legacy_common_sample_8902245",1+COUNTIFS($C$5:$C$546,$C139,$P$5:$P$546,"legacy_common_sample_8902245",$I$5:$I$546,"&gt;"&amp;$I139),"")</x:f>
        <x:v>50</x:v>
      </x:c>
      <x:c r="B139" t="str">
        <x:v>gtja_151</x:v>
      </x:c>
      <x:c r="C139" s="50" t="n">
        <x:v>5</x:v>
      </x:c>
      <x:c r="D139" t="str">
        <x:f>IF(E139&gt;=0,"positive","negative")</x:f>
        <x:v>negative</x:v>
      </x:c>
      <x:c r="E139" s="30" t="n">
        <x:v>-0.03830023224214012</x:v>
      </x:c>
      <x:c r="F139" s="30" t="n">
        <x:f>ABS(E139)</x:f>
        <x:v>0.03830023224214012</x:v>
      </x:c>
      <x:c r="G139" s="30" t="n">
        <x:v>0.14583026771426402</x:v>
      </x:c>
      <x:c r="H139" s="30" t="n">
        <x:v>-0.2626356849127136</x:v>
      </x:c>
      <x:c r="I139" s="30" t="n">
        <x:f>ABS(H139)</x:f>
        <x:v>0.2626356849127136</x:v>
      </x:c>
      <x:c r="J139" s="30" t="n">
        <x:v>0.407314629258517</x:v>
      </x:c>
      <x:c r="K139" s="30" t="n">
        <x:v>-0.009289330054914894</x:v>
      </x:c>
      <x:c r="L139" s="30" t="n">
        <x:v>-0.09887500773007998</x:v>
      </x:c>
      <x:c r="M139" s="30" t="n">
        <x:v>0.46593186372745493</x:v>
      </x:c>
      <x:c r="N139" s="19" t="n">
        <x:v>1996</x:v>
      </x:c>
      <x:c r="O139" t="b">
        <x:f>P139="legacy_common_sample_8902245"</x:f>
        <x:v>1</x:v>
      </x:c>
      <x:c r="P139" t="str">
        <x:v>legacy_common_sample_8902245</x:v>
      </x:c>
      <x:c r="Q139" s="74" t="n">
        <x:v>46210.81806668981</x:v>
      </x:c>
      <x:c r="R139" s="19" t="n">
        <x:v>8902245</x:v>
      </x:c>
      <x:c r="S139" t="str">
        <x:v>40355b29bce094aef0e99358bdfd4011b92e72a54440a67760de4afae4883c33</x:v>
      </x:c>
      <x:c r="T139" t="str">
        <x:v>factor_report/gtja191_batch/gtja_151/ic_summary.csv</x:v>
      </x:c>
    </x:row>
    <x:row r="140">
      <x:c r="A140" s="50" t="n">
        <x:f>IF($P140="legacy_common_sample_8902245",1+COUNTIFS($C$5:$C$546,$C140,$P$5:$P$546,"legacy_common_sample_8902245",$I$5:$I$546,"&gt;"&amp;$I140),"")</x:f>
        <x:v>51</x:v>
      </x:c>
      <x:c r="B140" t="str">
        <x:v>gtja_043</x:v>
      </x:c>
      <x:c r="C140" s="50" t="n">
        <x:v>5</x:v>
      </x:c>
      <x:c r="D140" t="str">
        <x:f>IF(E140&gt;=0,"positive","negative")</x:f>
        <x:v>negative</x:v>
      </x:c>
      <x:c r="E140" s="30" t="n">
        <x:v>-0.024491701496502382</x:v>
      </x:c>
      <x:c r="F140" s="30" t="n">
        <x:f>ABS(E140)</x:f>
        <x:v>0.024491701496502382</x:v>
      </x:c>
      <x:c r="G140" s="30" t="n">
        <x:v>0.09367134727069783</x:v>
      </x:c>
      <x:c r="H140" s="30" t="n">
        <x:v>-0.2614641745861154</x:v>
      </x:c>
      <x:c r="I140" s="30" t="n">
        <x:f>ABS(H140)</x:f>
        <x:v>0.2614641745861154</x:v>
      </x:c>
      <x:c r="J140" s="30" t="n">
        <x:v>0.39028056112224446</x:v>
      </x:c>
      <x:c r="K140" s="30" t="n">
        <x:v>-0.012012497847316988</x:v>
      </x:c>
      <x:c r="L140" s="30" t="n">
        <x:v>-0.20170076527719505</x:v>
      </x:c>
      <x:c r="M140" s="30" t="n">
        <x:v>0.39478957915831664</x:v>
      </x:c>
      <x:c r="N140" s="19" t="n">
        <x:v>1996</x:v>
      </x:c>
      <x:c r="O140" t="b">
        <x:f>P140="legacy_common_sample_8902245"</x:f>
        <x:v>1</x:v>
      </x:c>
      <x:c r="P140" t="str">
        <x:v>legacy_common_sample_8902245</x:v>
      </x:c>
      <x:c r="Q140" s="74" t="n">
        <x:v>46210.29250166666</x:v>
      </x:c>
      <x:c r="R140" s="19" t="n">
        <x:v>8902245</x:v>
      </x:c>
      <x:c r="S140" t="str">
        <x:v>40355b29bce094aef0e99358bdfd4011b92e72a54440a67760de4afae4883c33</x:v>
      </x:c>
      <x:c r="T140" t="str">
        <x:v>factor_report/gtja191_batch/gtja_043/ic_summary.csv</x:v>
      </x:c>
    </x:row>
    <x:row r="141">
      <x:c r="A141" s="50" t="n">
        <x:f>IF($P141="legacy_common_sample_8902245",1+COUNTIFS($C$5:$C$546,$C141,$P$5:$P$546,"legacy_common_sample_8902245",$I$5:$I$546,"&gt;"&amp;$I141),"")</x:f>
        <x:v>52</x:v>
      </x:c>
      <x:c r="B141" t="str">
        <x:v>gtja_078</x:v>
      </x:c>
      <x:c r="C141" s="50" t="n">
        <x:v>5</x:v>
      </x:c>
      <x:c r="D141" t="str">
        <x:f>IF(E141&gt;=0,"positive","negative")</x:f>
        <x:v>negative</x:v>
      </x:c>
      <x:c r="E141" s="30" t="n">
        <x:v>-0.03206752056763256</x:v>
      </x:c>
      <x:c r="F141" s="30" t="n">
        <x:f>ABS(E141)</x:f>
        <x:v>0.03206752056763256</x:v>
      </x:c>
      <x:c r="G141" s="30" t="n">
        <x:v>0.12463252011510793</x:v>
      </x:c>
      <x:c r="H141" s="30" t="n">
        <x:v>-0.2572965750673715</x:v>
      </x:c>
      <x:c r="I141" s="30" t="n">
        <x:f>ABS(H141)</x:f>
        <x:v>0.2572965750673715</x:v>
      </x:c>
      <x:c r="J141" s="30" t="n">
        <x:v>0.3972945891783567</x:v>
      </x:c>
      <x:c r="K141" s="30" t="n">
        <x:v>-0.019709874112280083</x:v>
      </x:c>
      <x:c r="L141" s="30" t="n">
        <x:v>-0.1856735270407613</x:v>
      </x:c>
      <x:c r="M141" s="30" t="n">
        <x:v>0.41282565130260523</x:v>
      </x:c>
      <x:c r="N141" s="19" t="n">
        <x:v>1996</x:v>
      </x:c>
      <x:c r="O141" t="b">
        <x:f>P141="legacy_common_sample_8902245"</x:f>
        <x:v>1</x:v>
      </x:c>
      <x:c r="P141" t="str">
        <x:v>legacy_common_sample_8902245</x:v>
      </x:c>
      <x:c r="Q141" s="74" t="n">
        <x:v>46210.46714320602</x:v>
      </x:c>
      <x:c r="R141" s="19" t="n">
        <x:v>8902245</x:v>
      </x:c>
      <x:c r="S141" t="str">
        <x:v>40355b29bce094aef0e99358bdfd4011b92e72a54440a67760de4afae4883c33</x:v>
      </x:c>
      <x:c r="T141" t="str">
        <x:v>factor_report/gtja191_batch/gtja_078/ic_summary.csv</x:v>
      </x:c>
    </x:row>
    <x:row r="142">
      <x:c r="A142" s="50" t="n">
        <x:f>IF($P142="legacy_common_sample_8902245",1+COUNTIFS($C$5:$C$546,$C142,$P$5:$P$546,"legacy_common_sample_8902245",$I$5:$I$546,"&gt;"&amp;$I142),"")</x:f>
        <x:v>53</x:v>
      </x:c>
      <x:c r="B142" t="str">
        <x:v>gtja_112</x:v>
      </x:c>
      <x:c r="C142" s="50" t="n">
        <x:v>5</x:v>
      </x:c>
      <x:c r="D142" t="str">
        <x:f>IF(E142&gt;=0,"positive","negative")</x:f>
        <x:v>negative</x:v>
      </x:c>
      <x:c r="E142" s="30" t="n">
        <x:v>-0.032204877514276226</x:v>
      </x:c>
      <x:c r="F142" s="30" t="n">
        <x:f>ABS(E142)</x:f>
        <x:v>0.032204877514276226</x:v>
      </x:c>
      <x:c r="G142" s="30" t="n">
        <x:v>0.12866584858977353</x:v>
      </x:c>
      <x:c r="H142" s="30" t="n">
        <x:v>-0.25029856692551977</x:v>
      </x:c>
      <x:c r="I142" s="30" t="n">
        <x:f>ABS(H142)</x:f>
        <x:v>0.25029856692551977</x:v>
      </x:c>
      <x:c r="J142" s="30" t="n">
        <x:v>0.3997995991983968</x:v>
      </x:c>
      <x:c r="K142" s="30" t="n">
        <x:v>-0.014697537729523553</x:v>
      </x:c>
      <x:c r="L142" s="30" t="n">
        <x:v>-0.13296281697467457</x:v>
      </x:c>
      <x:c r="M142" s="30" t="n">
        <x:v>0.44939879759519036</x:v>
      </x:c>
      <x:c r="N142" s="19" t="n">
        <x:v>1996</x:v>
      </x:c>
      <x:c r="O142" t="b">
        <x:f>P142="legacy_common_sample_8902245"</x:f>
        <x:v>1</x:v>
      </x:c>
      <x:c r="P142" t="str">
        <x:v>legacy_common_sample_8902245</x:v>
      </x:c>
      <x:c r="Q142" s="74" t="n">
        <x:v>46210.62560251157</x:v>
      </x:c>
      <x:c r="R142" s="19" t="n">
        <x:v>8902245</x:v>
      </x:c>
      <x:c r="S142" t="str">
        <x:v>40355b29bce094aef0e99358bdfd4011b92e72a54440a67760de4afae4883c33</x:v>
      </x:c>
      <x:c r="T142" t="str">
        <x:v>factor_report/gtja191_batch/gtja_112/ic_summary.csv</x:v>
      </x:c>
    </x:row>
    <x:row r="143">
      <x:c r="A143" s="50" t="n">
        <x:f>IF($P143="legacy_common_sample_8902245",1+COUNTIFS($C$5:$C$546,$C143,$P$5:$P$546,"legacy_common_sample_8902245",$I$5:$I$546,"&gt;"&amp;$I143),"")</x:f>
        <x:v>54</x:v>
      </x:c>
      <x:c r="B143" t="str">
        <x:v>gtja_003</x:v>
      </x:c>
      <x:c r="C143" s="50" t="n">
        <x:v>5</x:v>
      </x:c>
      <x:c r="D143" t="str">
        <x:f>IF(E143&gt;=0,"positive","negative")</x:f>
        <x:v>negative</x:v>
      </x:c>
      <x:c r="E143" s="30" t="n">
        <x:v>-0.03133043162517747</x:v>
      </x:c>
      <x:c r="F143" s="30" t="n">
        <x:f>ABS(E143)</x:f>
        <x:v>0.03133043162517747</x:v>
      </x:c>
      <x:c r="G143" s="30" t="n">
        <x:v>0.1251919600465916</x:v>
      </x:c>
      <x:c r="H143" s="30" t="n">
        <x:v>-0.25025913495976493</x:v>
      </x:c>
      <x:c r="I143" s="30" t="n">
        <x:f>ABS(H143)</x:f>
        <x:v>0.25025913495976493</x:v>
      </x:c>
      <x:c r="J143" s="30" t="n">
        <x:v>0.39228456913827653</x:v>
      </x:c>
      <x:c r="K143" s="30" t="n">
        <x:v>-0.01716055979461611</x:v>
      </x:c>
      <x:c r="L143" s="30" t="n">
        <x:v>-0.21535346671260033</x:v>
      </x:c>
      <x:c r="M143" s="30" t="n">
        <x:v>0.41432865731462926</x:v>
      </x:c>
      <x:c r="N143" s="19" t="n">
        <x:v>1996</x:v>
      </x:c>
      <x:c r="O143" t="b">
        <x:f>P143="legacy_common_sample_8902245"</x:f>
        <x:v>1</x:v>
      </x:c>
      <x:c r="P143" t="str">
        <x:v>legacy_common_sample_8902245</x:v>
      </x:c>
      <x:c r="Q143" s="74" t="n">
        <x:v>46210.119879363425</x:v>
      </x:c>
      <x:c r="R143" s="19" t="n">
        <x:v>8902245</x:v>
      </x:c>
      <x:c r="S143" t="str">
        <x:v>40355b29bce094aef0e99358bdfd4011b92e72a54440a67760de4afae4883c33</x:v>
      </x:c>
      <x:c r="T143" t="str">
        <x:v>factor_report/gtja191_batch/gtja_003/ic_summary.csv</x:v>
      </x:c>
    </x:row>
    <x:row r="144">
      <x:c r="A144" s="50" t="n">
        <x:f>IF($P144="legacy_common_sample_8902245",1+COUNTIFS($C$5:$C$546,$C144,$P$5:$P$546,"legacy_common_sample_8902245",$I$5:$I$546,"&gt;"&amp;$I144),"")</x:f>
        <x:v>55</x:v>
      </x:c>
      <x:c r="B144" t="str">
        <x:v>gtja_068</x:v>
      </x:c>
      <x:c r="C144" s="50" t="n">
        <x:v>5</x:v>
      </x:c>
      <x:c r="D144" t="str">
        <x:f>IF(E144&gt;=0,"positive","negative")</x:f>
        <x:v>negative</x:v>
      </x:c>
      <x:c r="E144" s="30" t="n">
        <x:v>-0.03204459119223425</x:v>
      </x:c>
      <x:c r="F144" s="30" t="n">
        <x:f>ABS(E144)</x:f>
        <x:v>0.03204459119223425</x:v>
      </x:c>
      <x:c r="G144" s="30" t="n">
        <x:v>0.12882212497196566</x:v>
      </x:c>
      <x:c r="H144" s="30" t="n">
        <x:v>-0.24875068004978035</x:v>
      </x:c>
      <x:c r="I144" s="30" t="n">
        <x:f>ABS(H144)</x:f>
        <x:v>0.24875068004978035</x:v>
      </x:c>
      <x:c r="J144" s="30" t="n">
        <x:v>0.39529058116232463</x:v>
      </x:c>
      <x:c r="K144" s="30" t="n">
        <x:v>-0.0032553915390374686</x:v>
      </x:c>
      <x:c r="L144" s="30" t="n">
        <x:v>-0.1081194301593705</x:v>
      </x:c>
      <x:c r="M144" s="30" t="n">
        <x:v>0.44438877755511025</x:v>
      </x:c>
      <x:c r="N144" s="19" t="n">
        <x:v>1996</x:v>
      </x:c>
      <x:c r="O144" t="b">
        <x:f>P144="legacy_common_sample_8902245"</x:f>
        <x:v>1</x:v>
      </x:c>
      <x:c r="P144" t="str">
        <x:v>legacy_common_sample_8902245</x:v>
      </x:c>
      <x:c r="Q144" s="74" t="n">
        <x:v>46210.407986018516</x:v>
      </x:c>
      <x:c r="R144" s="19" t="n">
        <x:v>8902245</x:v>
      </x:c>
      <x:c r="S144" t="str">
        <x:v>40355b29bce094aef0e99358bdfd4011b92e72a54440a67760de4afae4883c33</x:v>
      </x:c>
      <x:c r="T144" t="str">
        <x:v>factor_report/gtja191_batch/gtja_068/ic_summary.csv</x:v>
      </x:c>
    </x:row>
    <x:row r="145">
      <x:c r="A145" s="50" t="n">
        <x:f>IF($P145="legacy_common_sample_8902245",1+COUNTIFS($C$5:$C$546,$C145,$P$5:$P$546,"legacy_common_sample_8902245",$I$5:$I$546,"&gt;"&amp;$I145),"")</x:f>
        <x:v>56</x:v>
      </x:c>
      <x:c r="B145" t="str">
        <x:v>gtja_020</x:v>
      </x:c>
      <x:c r="C145" s="50" t="n">
        <x:v>5</x:v>
      </x:c>
      <x:c r="D145" t="str">
        <x:f>IF(E145&gt;=0,"positive","negative")</x:f>
        <x:v>negative</x:v>
      </x:c>
      <x:c r="E145" s="30" t="n">
        <x:v>-0.03330528187721423</x:v>
      </x:c>
      <x:c r="F145" s="30" t="n">
        <x:f>ABS(E145)</x:f>
        <x:v>0.03330528187721423</x:v>
      </x:c>
      <x:c r="G145" s="30" t="n">
        <x:v>0.134119650239328</x:v>
      </x:c>
      <x:c r="H145" s="30" t="n">
        <x:v>-0.2483251471188828</x:v>
      </x:c>
      <x:c r="I145" s="30" t="n">
        <x:f>ABS(H145)</x:f>
        <x:v>0.2483251471188828</x:v>
      </x:c>
      <x:c r="J145" s="30" t="n">
        <x:v>0.3927855711422846</x:v>
      </x:c>
      <x:c r="K145" s="30" t="n">
        <x:v>-0.0312865839527883</x:v>
      </x:c>
      <x:c r="L145" s="30" t="n">
        <x:v>-0.2741676595332555</x:v>
      </x:c>
      <x:c r="M145" s="30" t="n">
        <x:v>0.38226452905811625</x:v>
      </x:c>
      <x:c r="N145" s="19" t="n">
        <x:v>1996</x:v>
      </x:c>
      <x:c r="O145" t="b">
        <x:f>P145="legacy_common_sample_8902245"</x:f>
        <x:v>1</x:v>
      </x:c>
      <x:c r="P145" t="str">
        <x:v>legacy_common_sample_8902245</x:v>
      </x:c>
      <x:c r="Q145" s="74" t="n">
        <x:v>46210.19493413194</x:v>
      </x:c>
      <x:c r="R145" s="19" t="n">
        <x:v>8902245</x:v>
      </x:c>
      <x:c r="S145" t="str">
        <x:v>40355b29bce094aef0e99358bdfd4011b92e72a54440a67760de4afae4883c33</x:v>
      </x:c>
      <x:c r="T145" t="str">
        <x:v>factor_report/gtja191_batch/gtja_020/ic_summary.csv</x:v>
      </x:c>
    </x:row>
    <x:row r="146">
      <x:c r="A146" s="50" t="n">
        <x:f>IF($P146="legacy_common_sample_8902245",1+COUNTIFS($C$5:$C$546,$C146,$P$5:$P$546,"legacy_common_sample_8902245",$I$5:$I$546,"&gt;"&amp;$I146),"")</x:f>
        <x:v>57</x:v>
      </x:c>
      <x:c r="B146" t="str">
        <x:v>gtja_169</x:v>
      </x:c>
      <x:c r="C146" s="50" t="n">
        <x:v>5</x:v>
      </x:c>
      <x:c r="D146" t="str">
        <x:f>IF(E146&gt;=0,"positive","negative")</x:f>
        <x:v>negative</x:v>
      </x:c>
      <x:c r="E146" s="30" t="n">
        <x:v>-0.029981264926010935</x:v>
      </x:c>
      <x:c r="F146" s="30" t="n">
        <x:f>ABS(E146)</x:f>
        <x:v>0.029981264926010935</x:v>
      </x:c>
      <x:c r="G146" s="30" t="n">
        <x:v>0.1234401233512225</x:v>
      </x:c>
      <x:c r="H146" s="30" t="n">
        <x:v>-0.2428810350481071</x:v>
      </x:c>
      <x:c r="I146" s="30" t="n">
        <x:f>ABS(H146)</x:f>
        <x:v>0.2428810350481071</x:v>
      </x:c>
      <x:c r="J146" s="30" t="n">
        <x:v>0.3967935871743487</x:v>
      </x:c>
      <x:c r="K146" s="30" t="n">
        <x:v>-0.010097874283100116</x:v>
      </x:c>
      <x:c r="L146" s="30" t="n">
        <x:v>-0.13218989539176046</x:v>
      </x:c>
      <x:c r="M146" s="30" t="n">
        <x:v>0.4504008016032064</x:v>
      </x:c>
      <x:c r="N146" s="19" t="n">
        <x:v>1996</x:v>
      </x:c>
      <x:c r="O146" t="b">
        <x:f>P146="legacy_common_sample_8902245"</x:f>
        <x:v>1</x:v>
      </x:c>
      <x:c r="P146" t="str">
        <x:v>legacy_common_sample_8902245</x:v>
      </x:c>
      <x:c r="Q146" s="74" t="n">
        <x:v>46210.89785068287</x:v>
      </x:c>
      <x:c r="R146" s="19" t="n">
        <x:v>8902245</x:v>
      </x:c>
      <x:c r="S146" t="str">
        <x:v>40355b29bce094aef0e99358bdfd4011b92e72a54440a67760de4afae4883c33</x:v>
      </x:c>
      <x:c r="T146" t="str">
        <x:v>factor_report/gtja191_batch/gtja_169/ic_summary.csv</x:v>
      </x:c>
    </x:row>
    <x:row r="147">
      <x:c r="A147" s="50" t="n">
        <x:f>IF($P147="legacy_common_sample_8902245",1+COUNTIFS($C$5:$C$546,$C147,$P$5:$P$546,"legacy_common_sample_8902245",$I$5:$I$546,"&gt;"&amp;$I147),"")</x:f>
        <x:v>58</x:v>
      </x:c>
      <x:c r="B147" t="str">
        <x:v>gtja_063</x:v>
      </x:c>
      <x:c r="C147" s="50" t="n">
        <x:v>5</x:v>
      </x:c>
      <x:c r="D147" t="str">
        <x:f>IF(E147&gt;=0,"positive","negative")</x:f>
        <x:v>negative</x:v>
      </x:c>
      <x:c r="E147" s="30" t="n">
        <x:v>-0.03165498417135638</x:v>
      </x:c>
      <x:c r="F147" s="30" t="n">
        <x:f>ABS(E147)</x:f>
        <x:v>0.03165498417135638</x:v>
      </x:c>
      <x:c r="G147" s="30" t="n">
        <x:v>0.13122461240273733</x:v>
      </x:c>
      <x:c r="H147" s="30" t="n">
        <x:v>-0.2412274922497394</x:v>
      </x:c>
      <x:c r="I147" s="30" t="n">
        <x:f>ABS(H147)</x:f>
        <x:v>0.2412274922497394</x:v>
      </x:c>
      <x:c r="J147" s="30" t="n">
        <x:v>0.39929859719438876</x:v>
      </x:c>
      <x:c r="K147" s="30" t="n">
        <x:v>-0.01573562574316474</x:v>
      </x:c>
      <x:c r="L147" s="30" t="n">
        <x:v>-0.13953774257341106</x:v>
      </x:c>
      <x:c r="M147" s="30" t="n">
        <x:v>0.437374749498998</x:v>
      </x:c>
      <x:c r="N147" s="19" t="n">
        <x:v>1996</x:v>
      </x:c>
      <x:c r="O147" t="b">
        <x:f>P147="legacy_common_sample_8902245"</x:f>
        <x:v>1</x:v>
      </x:c>
      <x:c r="P147" t="str">
        <x:v>legacy_common_sample_8902245</x:v>
      </x:c>
      <x:c r="Q147" s="74" t="n">
        <x:v>46210.385858483794</x:v>
      </x:c>
      <x:c r="R147" s="19" t="n">
        <x:v>8902245</x:v>
      </x:c>
      <x:c r="S147" t="str">
        <x:v>40355b29bce094aef0e99358bdfd4011b92e72a54440a67760de4afae4883c33</x:v>
      </x:c>
      <x:c r="T147" t="str">
        <x:v>factor_report/gtja191_batch/gtja_063/ic_summary.csv</x:v>
      </x:c>
    </x:row>
    <x:row r="148">
      <x:c r="A148" s="50" t="n">
        <x:f>IF($P148="legacy_common_sample_8902245",1+COUNTIFS($C$5:$C$546,$C148,$P$5:$P$546,"legacy_common_sample_8902245",$I$5:$I$546,"&gt;"&amp;$I148),"")</x:f>
        <x:v>59</x:v>
      </x:c>
      <x:c r="B148" t="str">
        <x:v>gtja_021</x:v>
      </x:c>
      <x:c r="C148" s="50" t="n">
        <x:v>5</x:v>
      </x:c>
      <x:c r="D148" t="str">
        <x:f>IF(E148&gt;=0,"positive","negative")</x:f>
        <x:v>negative</x:v>
      </x:c>
      <x:c r="E148" s="30" t="n">
        <x:v>-0.030601805557213892</x:v>
      </x:c>
      <x:c r="F148" s="30" t="n">
        <x:f>ABS(E148)</x:f>
        <x:v>0.030601805557213892</x:v>
      </x:c>
      <x:c r="G148" s="30" t="n">
        <x:v>0.12983488419240247</x:v>
      </x:c>
      <x:c r="H148" s="30" t="n">
        <x:v>-0.23569786924032712</x:v>
      </x:c>
      <x:c r="I148" s="30" t="n">
        <x:f>ABS(H148)</x:f>
        <x:v>0.23569786924032712</x:v>
      </x:c>
      <x:c r="J148" s="30" t="n">
        <x:v>0.40080160320641284</x:v>
      </x:c>
      <x:c r="K148" s="30" t="n">
        <x:v>-0.01322558907346899</x:v>
      </x:c>
      <x:c r="L148" s="30" t="n">
        <x:v>-0.16538222794530028</x:v>
      </x:c>
      <x:c r="M148" s="30" t="n">
        <x:v>0.41783567134268534</x:v>
      </x:c>
      <x:c r="N148" s="19" t="n">
        <x:v>1996</x:v>
      </x:c>
      <x:c r="O148" t="b">
        <x:f>P148="legacy_common_sample_8902245"</x:f>
        <x:v>1</x:v>
      </x:c>
      <x:c r="P148" t="str">
        <x:v>legacy_common_sample_8902245</x:v>
      </x:c>
      <x:c r="Q148" s="74" t="n">
        <x:v>46210.1997081713</x:v>
      </x:c>
      <x:c r="R148" s="19" t="n">
        <x:v>8902245</x:v>
      </x:c>
      <x:c r="S148" t="str">
        <x:v>40355b29bce094aef0e99358bdfd4011b92e72a54440a67760de4afae4883c33</x:v>
      </x:c>
      <x:c r="T148" t="str">
        <x:v>factor_report/gtja191_batch/gtja_021/ic_summary.csv</x:v>
      </x:c>
    </x:row>
    <x:row r="149">
      <x:c r="A149" s="50" t="n">
        <x:f>IF($P149="legacy_common_sample_8902245",1+COUNTIFS($C$5:$C$546,$C149,$P$5:$P$546,"legacy_common_sample_8902245",$I$5:$I$546,"&gt;"&amp;$I149),"")</x:f>
        <x:v>60</x:v>
      </x:c>
      <x:c r="B149" t="str">
        <x:v>gtja_018</x:v>
      </x:c>
      <x:c r="C149" s="50" t="n">
        <x:v>5</x:v>
      </x:c>
      <x:c r="D149" t="str">
        <x:f>IF(E149&gt;=0,"positive","negative")</x:f>
        <x:v>negative</x:v>
      </x:c>
      <x:c r="E149" s="30" t="n">
        <x:v>-0.031399670594069756</x:v>
      </x:c>
      <x:c r="F149" s="30" t="n">
        <x:f>ABS(E149)</x:f>
        <x:v>0.031399670594069756</x:v>
      </x:c>
      <x:c r="G149" s="30" t="n">
        <x:v>0.13420132622058759</x:v>
      </x:c>
      <x:c r="H149" s="30" t="n">
        <x:v>-0.23397436879616162</x:v>
      </x:c>
      <x:c r="I149" s="30" t="n">
        <x:f>ABS(H149)</x:f>
        <x:v>0.23397436879616162</x:v>
      </x:c>
      <x:c r="J149" s="30" t="n">
        <x:v>0.40180360721442887</x:v>
      </x:c>
      <x:c r="K149" s="30" t="n">
        <x:v>-0.030540818641317868</x:v>
      </x:c>
      <x:c r="L149" s="30" t="n">
        <x:v>-0.269580996275637</x:v>
      </x:c>
      <x:c r="M149" s="30" t="n">
        <x:v>0.38577154308617234</x:v>
      </x:c>
      <x:c r="N149" s="19" t="n">
        <x:v>1996</x:v>
      </x:c>
      <x:c r="O149" t="b">
        <x:f>P149="legacy_common_sample_8902245"</x:f>
        <x:v>1</x:v>
      </x:c>
      <x:c r="P149" t="str">
        <x:v>legacy_common_sample_8902245</x:v>
      </x:c>
      <x:c r="Q149" s="74" t="n">
        <x:v>46210.18674793981</x:v>
      </x:c>
      <x:c r="R149" s="19" t="n">
        <x:v>8902245</x:v>
      </x:c>
      <x:c r="S149" t="str">
        <x:v>40355b29bce094aef0e99358bdfd4011b92e72a54440a67760de4afae4883c33</x:v>
      </x:c>
      <x:c r="T149" t="str">
        <x:v>factor_report/gtja191_batch/gtja_018/ic_summary.csv</x:v>
      </x:c>
    </x:row>
    <x:row r="150">
      <x:c r="A150" s="50" t="n">
        <x:f>IF($P150="legacy_common_sample_8902245",1+COUNTIFS($C$5:$C$546,$C150,$P$5:$P$546,"legacy_common_sample_8902245",$I$5:$I$546,"&gt;"&amp;$I150),"")</x:f>
        <x:v>61</x:v>
      </x:c>
      <x:c r="B150" t="str">
        <x:v>gtja_019</x:v>
      </x:c>
      <x:c r="C150" s="50" t="n">
        <x:v>5</x:v>
      </x:c>
      <x:c r="D150" t="str">
        <x:f>IF(E150&gt;=0,"positive","negative")</x:f>
        <x:v>negative</x:v>
      </x:c>
      <x:c r="E150" s="30" t="n">
        <x:v>-0.03139965821397489</x:v>
      </x:c>
      <x:c r="F150" s="30" t="n">
        <x:f>ABS(E150)</x:f>
        <x:v>0.03139965821397489</x:v>
      </x:c>
      <x:c r="G150" s="30" t="n">
        <x:v>0.134201309354708</x:v>
      </x:c>
      <x:c r="H150" s="30" t="n">
        <x:v>-0.2339743059509377</x:v>
      </x:c>
      <x:c r="I150" s="30" t="n">
        <x:f>ABS(H150)</x:f>
        <x:v>0.2339743059509377</x:v>
      </x:c>
      <x:c r="J150" s="30" t="n">
        <x:v>0.40180360721442887</x:v>
      </x:c>
      <x:c r="K150" s="30" t="n">
        <x:v>-0.02737790602646979</x:v>
      </x:c>
      <x:c r="L150" s="30" t="n">
        <x:v>-0.23998087399122914</x:v>
      </x:c>
      <x:c r="M150" s="30" t="n">
        <x:v>0.3997995991983968</x:v>
      </x:c>
      <x:c r="N150" s="19" t="n">
        <x:v>1996</x:v>
      </x:c>
      <x:c r="O150" t="b">
        <x:f>P150="legacy_common_sample_8902245"</x:f>
        <x:v>1</x:v>
      </x:c>
      <x:c r="P150" t="str">
        <x:v>legacy_common_sample_8902245</x:v>
      </x:c>
      <x:c r="Q150" s="74" t="n">
        <x:v>46210.190837372684</x:v>
      </x:c>
      <x:c r="R150" s="19" t="n">
        <x:v>8902245</x:v>
      </x:c>
      <x:c r="S150" t="str">
        <x:v>40355b29bce094aef0e99358bdfd4011b92e72a54440a67760de4afae4883c33</x:v>
      </x:c>
      <x:c r="T150" t="str">
        <x:v>factor_report/gtja191_batch/gtja_019/ic_summary.csv</x:v>
      </x:c>
    </x:row>
    <x:row r="151">
      <x:c r="A151" s="50" t="n">
        <x:f>IF($P151="legacy_common_sample_8902245",1+COUNTIFS($C$5:$C$546,$C151,$P$5:$P$546,"legacy_common_sample_8902245",$I$5:$I$546,"&gt;"&amp;$I151),"")</x:f>
        <x:v>62</x:v>
      </x:c>
      <x:c r="B151" t="str">
        <x:v>gtja_014</x:v>
      </x:c>
      <x:c r="C151" s="50" t="n">
        <x:v>5</x:v>
      </x:c>
      <x:c r="D151" t="str">
        <x:f>IF(E151&gt;=0,"positive","negative")</x:f>
        <x:v>negative</x:v>
      </x:c>
      <x:c r="E151" s="30" t="n">
        <x:v>-0.03020372752716671</x:v>
      </x:c>
      <x:c r="F151" s="30" t="n">
        <x:f>ABS(E151)</x:f>
        <x:v>0.03020372752716671</x:v>
      </x:c>
      <x:c r="G151" s="30" t="n">
        <x:v>0.1337635891401238</x:v>
      </x:c>
      <x:c r="H151" s="30" t="n">
        <x:v>-0.22579932043784243</x:v>
      </x:c>
      <x:c r="I151" s="30" t="n">
        <x:f>ABS(H151)</x:f>
        <x:v>0.22579932043784243</x:v>
      </x:c>
      <x:c r="J151" s="30" t="n">
        <x:v>0.41282565130260523</x:v>
      </x:c>
      <x:c r="K151" s="30" t="n">
        <x:v>-0.016049956838129383</x:v>
      </x:c>
      <x:c r="L151" s="30" t="n">
        <x:v>-0.19419400653776792</x:v>
      </x:c>
      <x:c r="M151" s="30" t="n">
        <x:v>0.42635270541082165</x:v>
      </x:c>
      <x:c r="N151" s="19" t="n">
        <x:v>1996</x:v>
      </x:c>
      <x:c r="O151" t="b">
        <x:f>P151="legacy_common_sample_8902245"</x:f>
        <x:v>1</x:v>
      </x:c>
      <x:c r="P151" t="str">
        <x:v>legacy_common_sample_8902245</x:v>
      </x:c>
      <x:c r="Q151" s="74" t="n">
        <x:v>46210.170149652775</x:v>
      </x:c>
      <x:c r="R151" s="19" t="n">
        <x:v>8902245</x:v>
      </x:c>
      <x:c r="S151" t="str">
        <x:v>40355b29bce094aef0e99358bdfd4011b92e72a54440a67760de4afae4883c33</x:v>
      </x:c>
      <x:c r="T151" t="str">
        <x:v>factor_report/gtja191_batch/gtja_014/ic_summary.csv</x:v>
      </x:c>
    </x:row>
    <x:row r="152">
      <x:c r="A152" s="50" t="n">
        <x:f>IF($P152="legacy_common_sample_8902245",1+COUNTIFS($C$5:$C$546,$C152,$P$5:$P$546,"legacy_common_sample_8902245",$I$5:$I$546,"&gt;"&amp;$I152),"")</x:f>
        <x:v>63</x:v>
      </x:c>
      <x:c r="B152" t="str">
        <x:v>gtja_089</x:v>
      </x:c>
      <x:c r="C152" s="50" t="n">
        <x:v>5</x:v>
      </x:c>
      <x:c r="D152" t="str">
        <x:f>IF(E152&gt;=0,"positive","negative")</x:f>
        <x:v>negative</x:v>
      </x:c>
      <x:c r="E152" s="30" t="n">
        <x:v>-0.028234129735906065</x:v>
      </x:c>
      <x:c r="F152" s="30" t="n">
        <x:f>ABS(E152)</x:f>
        <x:v>0.028234129735906065</x:v>
      </x:c>
      <x:c r="G152" s="30" t="n">
        <x:v>0.1256898690360199</x:v>
      </x:c>
      <x:c r="H152" s="30" t="n">
        <x:v>-0.22463329743636537</x:v>
      </x:c>
      <x:c r="I152" s="30" t="n">
        <x:f>ABS(H152)</x:f>
        <x:v>0.22463329743636537</x:v>
      </x:c>
      <x:c r="J152" s="30" t="n">
        <x:v>0.406312625250501</x:v>
      </x:c>
      <x:c r="K152" s="30" t="n">
        <x:v>-0.014321294870440152</x:v>
      </x:c>
      <x:c r="L152" s="30" t="n">
        <x:v>-0.18336873012156157</x:v>
      </x:c>
      <x:c r="M152" s="30" t="n">
        <x:v>0.4228456913827655</x:v>
      </x:c>
      <x:c r="N152" s="19" t="n">
        <x:v>1996</x:v>
      </x:c>
      <x:c r="O152" t="b">
        <x:f>P152="legacy_common_sample_8902245"</x:f>
        <x:v>1</x:v>
      </x:c>
      <x:c r="P152" t="str">
        <x:v>legacy_common_sample_8902245</x:v>
      </x:c>
      <x:c r="Q152" s="74" t="n">
        <x:v>46210.52408989584</x:v>
      </x:c>
      <x:c r="R152" s="19" t="n">
        <x:v>8902245</x:v>
      </x:c>
      <x:c r="S152" t="str">
        <x:v>40355b29bce094aef0e99358bdfd4011b92e72a54440a67760de4afae4883c33</x:v>
      </x:c>
      <x:c r="T152" t="str">
        <x:v>factor_report/gtja191_batch/gtja_089/ic_summary.csv</x:v>
      </x:c>
    </x:row>
    <x:row r="153">
      <x:c r="A153" s="50" t="n">
        <x:f>IF($P153="legacy_common_sample_8902245",1+COUNTIFS($C$5:$C$546,$C153,$P$5:$P$546,"legacy_common_sample_8902245",$I$5:$I$546,"&gt;"&amp;$I153),"")</x:f>
        <x:v>64</x:v>
      </x:c>
      <x:c r="B153" t="str">
        <x:v>gtja_058</x:v>
      </x:c>
      <x:c r="C153" s="50" t="n">
        <x:v>5</x:v>
      </x:c>
      <x:c r="D153" t="str">
        <x:f>IF(E153&gt;=0,"positive","negative")</x:f>
        <x:v>negative</x:v>
      </x:c>
      <x:c r="E153" s="30" t="n">
        <x:v>-0.022578085737218086</x:v>
      </x:c>
      <x:c r="F153" s="30" t="n">
        <x:f>ABS(E153)</x:f>
        <x:v>0.022578085737218086</x:v>
      </x:c>
      <x:c r="G153" s="30" t="n">
        <x:v>0.10219846366877074</x:v>
      </x:c>
      <x:c r="H153" s="30" t="n">
        <x:v>-0.22092392514230502</x:v>
      </x:c>
      <x:c r="I153" s="30" t="n">
        <x:f>ABS(H153)</x:f>
        <x:v>0.22092392514230502</x:v>
      </x:c>
      <x:c r="J153" s="30" t="n">
        <x:v>0.41583166332665333</x:v>
      </x:c>
      <x:c r="K153" s="30" t="n">
        <x:v>-0.008415631215240976</x:v>
      </x:c>
      <x:c r="L153" s="30" t="n">
        <x:v>-0.09190677471912896</x:v>
      </x:c>
      <x:c r="M153" s="30" t="n">
        <x:v>0.4754509018036072</x:v>
      </x:c>
      <x:c r="N153" s="19" t="n">
        <x:v>1996</x:v>
      </x:c>
      <x:c r="O153" t="b">
        <x:f>P153="legacy_common_sample_8902245"</x:f>
        <x:v>1</x:v>
      </x:c>
      <x:c r="P153" t="str">
        <x:v>legacy_common_sample_8902245</x:v>
      </x:c>
      <x:c r="Q153" s="74" t="n">
        <x:v>46210.36385592593</x:v>
      </x:c>
      <x:c r="R153" s="19" t="n">
        <x:v>8902245</x:v>
      </x:c>
      <x:c r="S153" t="str">
        <x:v>40355b29bce094aef0e99358bdfd4011b92e72a54440a67760de4afae4883c33</x:v>
      </x:c>
      <x:c r="T153" t="str">
        <x:v>factor_report/gtja191_batch/gtja_058/ic_summary.csv</x:v>
      </x:c>
    </x:row>
    <x:row r="154">
      <x:c r="A154" s="50" t="n">
        <x:f>IF($P154="legacy_common_sample_8902245",1+COUNTIFS($C$5:$C$546,$C154,$P$5:$P$546,"legacy_common_sample_8902245",$I$5:$I$546,"&gt;"&amp;$I154),"")</x:f>
        <x:v>65</x:v>
      </x:c>
      <x:c r="B154" t="str">
        <x:v>gtja_174</x:v>
      </x:c>
      <x:c r="C154" s="50" t="n">
        <x:v>5</x:v>
      </x:c>
      <x:c r="D154" t="str">
        <x:f>IF(E154&gt;=0,"positive","negative")</x:f>
        <x:v>negative</x:v>
      </x:c>
      <x:c r="E154" s="30" t="n">
        <x:v>-0.04182333979945225</x:v>
      </x:c>
      <x:c r="F154" s="30" t="n">
        <x:f>ABS(E154)</x:f>
        <x:v>0.04182333979945225</x:v>
      </x:c>
      <x:c r="G154" s="30" t="n">
        <x:v>0.18958019341650842</x:v>
      </x:c>
      <x:c r="H154" s="30" t="n">
        <x:v>-0.2206102813048946</x:v>
      </x:c>
      <x:c r="I154" s="30" t="n">
        <x:f>ABS(H154)</x:f>
        <x:v>0.2206102813048946</x:v>
      </x:c>
      <x:c r="J154" s="30" t="n">
        <x:v>0.437374749498998</x:v>
      </x:c>
      <x:c r="K154" s="30" t="n">
        <x:v>-0.009793690478449841</x:v>
      </x:c>
      <x:c r="L154" s="30" t="n">
        <x:v>-0.08732302979296032</x:v>
      </x:c>
      <x:c r="M154" s="30" t="n">
        <x:v>0.46893787575150303</x:v>
      </x:c>
      <x:c r="N154" s="19" t="n">
        <x:v>1996</x:v>
      </x:c>
      <x:c r="O154" t="b">
        <x:f>P154="legacy_common_sample_8902245"</x:f>
        <x:v>1</x:v>
      </x:c>
      <x:c r="P154" t="str">
        <x:v>legacy_common_sample_8902245</x:v>
      </x:c>
      <x:c r="Q154" s="74" t="n">
        <x:v>46210.92118445602</x:v>
      </x:c>
      <x:c r="R154" s="19" t="n">
        <x:v>8902245</x:v>
      </x:c>
      <x:c r="S154" t="str">
        <x:v>40355b29bce094aef0e99358bdfd4011b92e72a54440a67760de4afae4883c33</x:v>
      </x:c>
      <x:c r="T154" t="str">
        <x:v>factor_report/gtja191_batch/gtja_174/ic_summary.csv</x:v>
      </x:c>
    </x:row>
    <x:row r="155">
      <x:c r="A155" s="50" t="n">
        <x:f>IF($P155="legacy_common_sample_8902245",1+COUNTIFS($C$5:$C$546,$C155,$P$5:$P$546,"legacy_common_sample_8902245",$I$5:$I$546,"&gt;"&amp;$I155),"")</x:f>
        <x:v>66</x:v>
      </x:c>
      <x:c r="B155" t="str">
        <x:v>gtja_129</x:v>
      </x:c>
      <x:c r="C155" s="50" t="n">
        <x:v>5</x:v>
      </x:c>
      <x:c r="D155" t="str">
        <x:f>IF(E155&gt;=0,"positive","negative")</x:f>
        <x:v>negative</x:v>
      </x:c>
      <x:c r="E155" s="30" t="n">
        <x:v>-0.040516662970927736</x:v>
      </x:c>
      <x:c r="F155" s="30" t="n">
        <x:f>ABS(E155)</x:f>
        <x:v>0.040516662970927736</x:v>
      </x:c>
      <x:c r="G155" s="30" t="n">
        <x:v>0.18741764953581602</x:v>
      </x:c>
      <x:c r="H155" s="30" t="n">
        <x:v>-0.21618381764618647</x:v>
      </x:c>
      <x:c r="I155" s="30" t="n">
        <x:f>ABS(H155)</x:f>
        <x:v>0.21618381764618647</x:v>
      </x:c>
      <x:c r="J155" s="30" t="n">
        <x:v>0.4283567134268537</x:v>
      </x:c>
      <x:c r="K155" s="30" t="n">
        <x:v>-0.00844209098426056</x:v>
      </x:c>
      <x:c r="L155" s="30" t="n">
        <x:v>-0.07848953253745342</x:v>
      </x:c>
      <x:c r="M155" s="30" t="n">
        <x:v>0.467935871743487</x:v>
      </x:c>
      <x:c r="N155" s="19" t="n">
        <x:v>1996</x:v>
      </x:c>
      <x:c r="O155" t="b">
        <x:f>P155="legacy_common_sample_8902245"</x:f>
        <x:v>1</x:v>
      </x:c>
      <x:c r="P155" t="str">
        <x:v>legacy_common_sample_8902245</x:v>
      </x:c>
      <x:c r="Q155" s="74" t="n">
        <x:v>46210.71993697916</x:v>
      </x:c>
      <x:c r="R155" s="19" t="n">
        <x:v>8902245</x:v>
      </x:c>
      <x:c r="S155" t="str">
        <x:v>40355b29bce094aef0e99358bdfd4011b92e72a54440a67760de4afae4883c33</x:v>
      </x:c>
      <x:c r="T155" t="str">
        <x:v>factor_report/gtja191_batch/gtja_129/ic_summary.csv</x:v>
      </x:c>
    </x:row>
    <x:row r="156">
      <x:c r="A156" s="50" t="n">
        <x:f>IF($P156="legacy_common_sample_8902245",1+COUNTIFS($C$5:$C$546,$C156,$P$5:$P$546,"legacy_common_sample_8902245",$I$5:$I$546,"&gt;"&amp;$I156),"")</x:f>
        <x:v>67</x:v>
      </x:c>
      <x:c r="B156" t="str">
        <x:v>gtja_066</x:v>
      </x:c>
      <x:c r="C156" s="50" t="n">
        <x:v>5</x:v>
      </x:c>
      <x:c r="D156" t="str">
        <x:f>IF(E156&gt;=0,"positive","negative")</x:f>
        <x:v>negative</x:v>
      </x:c>
      <x:c r="E156" s="30" t="n">
        <x:v>-0.02789052771250005</x:v>
      </x:c>
      <x:c r="F156" s="30" t="n">
        <x:f>ABS(E156)</x:f>
        <x:v>0.02789052771250005</x:v>
      </x:c>
      <x:c r="G156" s="30" t="n">
        <x:v>0.1338052820023897</x:v>
      </x:c>
      <x:c r="H156" s="30" t="n">
        <x:v>-0.20844115639621716</x:v>
      </x:c>
      <x:c r="I156" s="30" t="n">
        <x:f>ABS(H156)</x:f>
        <x:v>0.20844115639621716</x:v>
      </x:c>
      <x:c r="J156" s="30" t="n">
        <x:v>0.4288577154308617</x:v>
      </x:c>
      <x:c r="K156" s="30" t="n">
        <x:v>-0.02866433514459878</x:v>
      </x:c>
      <x:c r="L156" s="30" t="n">
        <x:v>-0.25543204880740933</x:v>
      </x:c>
      <x:c r="M156" s="30" t="n">
        <x:v>0.3972945891783567</x:v>
      </x:c>
      <x:c r="N156" s="19" t="n">
        <x:v>1996</x:v>
      </x:c>
      <x:c r="O156" t="b">
        <x:f>P156="legacy_common_sample_8902245"</x:f>
        <x:v>1</x:v>
      </x:c>
      <x:c r="P156" t="str">
        <x:v>legacy_common_sample_8902245</x:v>
      </x:c>
      <x:c r="Q156" s="74" t="n">
        <x:v>46210.39822400463</x:v>
      </x:c>
      <x:c r="R156" s="19" t="n">
        <x:v>8902245</x:v>
      </x:c>
      <x:c r="S156" t="str">
        <x:v>40355b29bce094aef0e99358bdfd4011b92e72a54440a67760de4afae4883c33</x:v>
      </x:c>
      <x:c r="T156" t="str">
        <x:v>factor_report/gtja191_batch/gtja_066/ic_summary.csv</x:v>
      </x:c>
    </x:row>
    <x:row r="157">
      <x:c r="A157" s="50" t="n">
        <x:f>IF($P157="legacy_common_sample_8902245",1+COUNTIFS($C$5:$C$546,$C157,$P$5:$P$546,"legacy_common_sample_8902245",$I$5:$I$546,"&gt;"&amp;$I157),"")</x:f>
        <x:v>68</x:v>
      </x:c>
      <x:c r="B157" t="str">
        <x:v>gtja_009</x:v>
      </x:c>
      <x:c r="C157" s="50" t="n">
        <x:v>5</x:v>
      </x:c>
      <x:c r="D157" t="str">
        <x:f>IF(E157&gt;=0,"positive","negative")</x:f>
        <x:v>negative</x:v>
      </x:c>
      <x:c r="E157" s="30" t="n">
        <x:v>-0.025800912829572056</x:v>
      </x:c>
      <x:c r="F157" s="30" t="n">
        <x:f>ABS(E157)</x:f>
        <x:v>0.025800912829572056</x:v>
      </x:c>
      <x:c r="G157" s="30" t="n">
        <x:v>0.12393879565729134</x:v>
      </x:c>
      <x:c r="H157" s="30" t="n">
        <x:v>-0.20817462920097518</x:v>
      </x:c>
      <x:c r="I157" s="30" t="n">
        <x:f>ABS(H157)</x:f>
        <x:v>0.20817462920097518</x:v>
      </x:c>
      <x:c r="J157" s="30" t="n">
        <x:v>0.4183366733466934</x:v>
      </x:c>
      <x:c r="K157" s="30" t="n">
        <x:v>-0.0033288101870322154</x:v>
      </x:c>
      <x:c r="L157" s="30" t="n">
        <x:v>-0.11225047364297346</x:v>
      </x:c>
      <x:c r="M157" s="30" t="n">
        <x:v>0.44188376753507014</x:v>
      </x:c>
      <x:c r="N157" s="19" t="n">
        <x:v>1996</x:v>
      </x:c>
      <x:c r="O157" t="b">
        <x:f>P157="legacy_common_sample_8902245"</x:f>
        <x:v>1</x:v>
      </x:c>
      <x:c r="P157" t="str">
        <x:v>legacy_common_sample_8902245</x:v>
      </x:c>
      <x:c r="Q157" s="74" t="n">
        <x:v>46210.14960534722</x:v>
      </x:c>
      <x:c r="R157" s="19" t="n">
        <x:v>8902245</x:v>
      </x:c>
      <x:c r="S157" t="str">
        <x:v>40355b29bce094aef0e99358bdfd4011b92e72a54440a67760de4afae4883c33</x:v>
      </x:c>
      <x:c r="T157" t="str">
        <x:v>factor_report/gtja191_batch/gtja_009/ic_summary.csv</x:v>
      </x:c>
    </x:row>
    <x:row r="158">
      <x:c r="A158" s="50" t="n">
        <x:f>IF($P158="legacy_common_sample_8902245",1+COUNTIFS($C$5:$C$546,$C158,$P$5:$P$546,"legacy_common_sample_8902245",$I$5:$I$546,"&gt;"&amp;$I158),"")</x:f>
        <x:v>69</x:v>
      </x:c>
      <x:c r="B158" t="str">
        <x:v>gtja_023</x:v>
      </x:c>
      <x:c r="C158" s="50" t="n">
        <x:v>5</x:v>
      </x:c>
      <x:c r="D158" t="str">
        <x:f>IF(E158&gt;=0,"positive","negative")</x:f>
        <x:v>negative</x:v>
      </x:c>
      <x:c r="E158" s="30" t="n">
        <x:v>-0.02044460346308605</x:v>
      </x:c>
      <x:c r="F158" s="30" t="n">
        <x:f>ABS(E158)</x:f>
        <x:v>0.02044460346308605</x:v>
      </x:c>
      <x:c r="G158" s="30" t="n">
        <x:v>0.10024216412162458</x:v>
      </x:c>
      <x:c r="H158" s="30" t="n">
        <x:v>-0.20395213573282853</x:v>
      </x:c>
      <x:c r="I158" s="30" t="n">
        <x:f>ABS(H158)</x:f>
        <x:v>0.20395213573282853</x:v>
      </x:c>
      <x:c r="J158" s="30" t="n">
        <x:v>0.4228456913827655</x:v>
      </x:c>
      <x:c r="K158" s="30" t="n">
        <x:v>-0.009909258225352281</x:v>
      </x:c>
      <x:c r="L158" s="30" t="n">
        <x:v>-0.11212171923569099</x:v>
      </x:c>
      <x:c r="M158" s="30" t="n">
        <x:v>0.4649298597194389</x:v>
      </x:c>
      <x:c r="N158" s="19" t="n">
        <x:v>1996</x:v>
      </x:c>
      <x:c r="O158" t="b">
        <x:f>P158="legacy_common_sample_8902245"</x:f>
        <x:v>1</x:v>
      </x:c>
      <x:c r="P158" t="str">
        <x:v>legacy_common_sample_8902245</x:v>
      </x:c>
      <x:c r="Q158" s="74" t="n">
        <x:v>46210.20966594907</x:v>
      </x:c>
      <x:c r="R158" s="19" t="n">
        <x:v>8902245</x:v>
      </x:c>
      <x:c r="S158" t="str">
        <x:v>40355b29bce094aef0e99358bdfd4011b92e72a54440a67760de4afae4883c33</x:v>
      </x:c>
      <x:c r="T158" t="str">
        <x:v>factor_report/gtja191_batch/gtja_023/ic_summary.csv</x:v>
      </x:c>
    </x:row>
    <x:row r="159">
      <x:c r="A159" s="50" t="n">
        <x:f>IF($P159="legacy_common_sample_8902245",1+COUNTIFS($C$5:$C$546,$C159,$P$5:$P$546,"legacy_common_sample_8902245",$I$5:$I$546,"&gt;"&amp;$I159),"")</x:f>
        <x:v>70</x:v>
      </x:c>
      <x:c r="B159" t="str">
        <x:v>gtja_053</x:v>
      </x:c>
      <x:c r="C159" s="50" t="n">
        <x:v>5</x:v>
      </x:c>
      <x:c r="D159" t="str">
        <x:f>IF(E159&gt;=0,"positive","negative")</x:f>
        <x:v>negative</x:v>
      </x:c>
      <x:c r="E159" s="30" t="n">
        <x:v>-0.019807683124837255</x:v>
      </x:c>
      <x:c r="F159" s="30" t="n">
        <x:f>ABS(E159)</x:f>
        <x:v>0.019807683124837255</x:v>
      </x:c>
      <x:c r="G159" s="30" t="n">
        <x:v>0.09811284201034182</x:v>
      </x:c>
      <x:c r="H159" s="30" t="n">
        <x:v>-0.2018867532422451</x:v>
      </x:c>
      <x:c r="I159" s="30" t="n">
        <x:f>ABS(H159)</x:f>
        <x:v>0.2018867532422451</x:v>
      </x:c>
      <x:c r="J159" s="30" t="n">
        <x:v>0.4123246492985972</x:v>
      </x:c>
      <x:c r="K159" s="30" t="n">
        <x:v>-0.00781606769170123</x:v>
      </x:c>
      <x:c r="L159" s="30" t="n">
        <x:v>-0.09028475495373624</x:v>
      </x:c>
      <x:c r="M159" s="30" t="n">
        <x:v>0.4624248496993988</x:v>
      </x:c>
      <x:c r="N159" s="19" t="n">
        <x:v>1996</x:v>
      </x:c>
      <x:c r="O159" t="b">
        <x:f>P159="legacy_common_sample_8902245"</x:f>
        <x:v>1</x:v>
      </x:c>
      <x:c r="P159" t="str">
        <x:v>legacy_common_sample_8902245</x:v>
      </x:c>
      <x:c r="Q159" s="74" t="n">
        <x:v>46210.33939799768</x:v>
      </x:c>
      <x:c r="R159" s="19" t="n">
        <x:v>8902245</x:v>
      </x:c>
      <x:c r="S159" t="str">
        <x:v>40355b29bce094aef0e99358bdfd4011b92e72a54440a67760de4afae4883c33</x:v>
      </x:c>
      <x:c r="T159" t="str">
        <x:v>factor_report/gtja191_batch/gtja_053/ic_summary.csv</x:v>
      </x:c>
    </x:row>
    <x:row r="160">
      <x:c r="A160" s="50" t="n">
        <x:f>IF($P160="legacy_common_sample_8902245",1+COUNTIFS($C$5:$C$546,$C160,$P$5:$P$546,"legacy_common_sample_8902245",$I$5:$I$546,"&gt;"&amp;$I160),"")</x:f>
        <x:v>71</x:v>
      </x:c>
      <x:c r="B160" t="str">
        <x:v>gtja_010</x:v>
      </x:c>
      <x:c r="C160" s="50" t="n">
        <x:v>5</x:v>
      </x:c>
      <x:c r="D160" t="str">
        <x:f>IF(E160&gt;=0,"positive","negative")</x:f>
        <x:v>negative</x:v>
      </x:c>
      <x:c r="E160" s="30" t="n">
        <x:v>-0.03356127152475525</x:v>
      </x:c>
      <x:c r="F160" s="30" t="n">
        <x:f>ABS(E160)</x:f>
        <x:v>0.03356127152475525</x:v>
      </x:c>
      <x:c r="G160" s="30" t="n">
        <x:v>0.16836870154616476</x:v>
      </x:c>
      <x:c r="H160" s="30" t="n">
        <x:v>-0.1993320089574554</x:v>
      </x:c>
      <x:c r="I160" s="30" t="n">
        <x:f>ABS(H160)</x:f>
        <x:v>0.1993320089574554</x:v>
      </x:c>
      <x:c r="J160" s="30" t="n">
        <x:v>0.45691382765531063</x:v>
      </x:c>
      <x:c r="K160" s="30" t="n">
        <x:v>-0.01803198546523343</x:v>
      </x:c>
      <x:c r="L160" s="30" t="n">
        <x:v>-0.1277811847022002</x:v>
      </x:c>
      <x:c r="M160" s="30" t="n">
        <x:v>0.4844689378757515</x:v>
      </x:c>
      <x:c r="N160" s="19" t="n">
        <x:v>1996</x:v>
      </x:c>
      <x:c r="O160" t="b">
        <x:f>P160="legacy_common_sample_8902245"</x:f>
        <x:v>1</x:v>
      </x:c>
      <x:c r="P160" t="str">
        <x:v>legacy_common_sample_8902245</x:v>
      </x:c>
      <x:c r="Q160" s="74" t="n">
        <x:v>46210.15392069444</x:v>
      </x:c>
      <x:c r="R160" s="19" t="n">
        <x:v>8902245</x:v>
      </x:c>
      <x:c r="S160" t="str">
        <x:v>40355b29bce094aef0e99358bdfd4011b92e72a54440a67760de4afae4883c33</x:v>
      </x:c>
      <x:c r="T160" t="str">
        <x:v>factor_report/gtja191_batch/gtja_010/ic_summary.csv</x:v>
      </x:c>
    </x:row>
    <x:row r="161">
      <x:c r="A161" s="50" t="n">
        <x:f>IF($P161="legacy_common_sample_8902245",1+COUNTIFS($C$5:$C$546,$C161,$P$5:$P$546,"legacy_common_sample_8902245",$I$5:$I$546,"&gt;"&amp;$I161),"")</x:f>
        <x:v>72</x:v>
      </x:c>
      <x:c r="B161" t="str">
        <x:v>gtja_137</x:v>
      </x:c>
      <x:c r="C161" s="50" t="n">
        <x:v>5</x:v>
      </x:c>
      <x:c r="D161" t="str">
        <x:f>IF(E161&gt;=0,"positive","negative")</x:f>
        <x:v>negative</x:v>
      </x:c>
      <x:c r="E161" s="30" t="n">
        <x:v>-0.024155270959396073</x:v>
      </x:c>
      <x:c r="F161" s="30" t="n">
        <x:f>ABS(E161)</x:f>
        <x:v>0.024155270959396073</x:v>
      </x:c>
      <x:c r="G161" s="30" t="n">
        <x:v>0.1250716136636533</x:v>
      </x:c>
      <x:c r="H161" s="30" t="n">
        <x:v>-0.1931315208289806</x:v>
      </x:c>
      <x:c r="I161" s="30" t="n">
        <x:f>ABS(H161)</x:f>
        <x:v>0.1931315208289806</x:v>
      </x:c>
      <x:c r="J161" s="30" t="n">
        <x:v>0.4273547094188377</x:v>
      </x:c>
      <x:c r="K161" s="30" t="n">
        <x:v>-0.01266051186797978</x:v>
      </x:c>
      <x:c r="L161" s="30" t="n">
        <x:v>-0.16646577707550841</x:v>
      </x:c>
      <x:c r="M161" s="30" t="n">
        <x:v>0.44138276553106215</x:v>
      </x:c>
      <x:c r="N161" s="19" t="n">
        <x:v>1996</x:v>
      </x:c>
      <x:c r="O161" t="b">
        <x:f>P161="legacy_common_sample_8902245"</x:f>
        <x:v>1</x:v>
      </x:c>
      <x:c r="P161" t="str">
        <x:v>legacy_common_sample_8902245</x:v>
      </x:c>
      <x:c r="Q161" s="74" t="n">
        <x:v>46210.75457434028</x:v>
      </x:c>
      <x:c r="R161" s="19" t="n">
        <x:v>8902245</x:v>
      </x:c>
      <x:c r="S161" t="str">
        <x:v>40355b29bce094aef0e99358bdfd4011b92e72a54440a67760de4afae4883c33</x:v>
      </x:c>
      <x:c r="T161" t="str">
        <x:v>factor_report/gtja191_batch/gtja_137/ic_summary.csv</x:v>
      </x:c>
    </x:row>
    <x:row r="162">
      <x:c r="A162" s="50" t="n">
        <x:f>IF($P162="legacy_common_sample_8902245",1+COUNTIFS($C$5:$C$546,$C162,$P$5:$P$546,"legacy_common_sample_8902245",$I$5:$I$546,"&gt;"&amp;$I162),"")</x:f>
        <x:v>73</x:v>
      </x:c>
      <x:c r="B162" t="str">
        <x:v>gtja_107</x:v>
      </x:c>
      <x:c r="C162" s="50" t="n">
        <x:v>5</x:v>
      </x:c>
      <x:c r="D162" t="str">
        <x:f>IF(E162&gt;=0,"positive","negative")</x:f>
        <x:v>negative</x:v>
      </x:c>
      <x:c r="E162" s="30" t="n">
        <x:v>-0.017552950821608838</x:v>
      </x:c>
      <x:c r="F162" s="30" t="n">
        <x:f>ABS(E162)</x:f>
        <x:v>0.017552950821608838</x:v>
      </x:c>
      <x:c r="G162" s="30" t="n">
        <x:v>0.09107505686524468</x:v>
      </x:c>
      <x:c r="H162" s="30" t="n">
        <x:v>-0.19273060512693735</x:v>
      </x:c>
      <x:c r="I162" s="30" t="n">
        <x:f>ABS(H162)</x:f>
        <x:v>0.19273060512693735</x:v>
      </x:c>
      <x:c r="J162" s="30" t="n">
        <x:v>0.3907815631262525</x:v>
      </x:c>
      <x:c r="K162" s="30" t="n">
        <x:v>0.004901579677995906</x:v>
      </x:c>
      <x:c r="L162" s="30" t="n">
        <x:v>0.07123642902141221</x:v>
      </x:c>
      <x:c r="M162" s="30" t="n">
        <x:v>0.5235470941883767</x:v>
      </x:c>
      <x:c r="N162" s="19" t="n">
        <x:v>1996</x:v>
      </x:c>
      <x:c r="O162" t="b">
        <x:f>P162="legacy_common_sample_8902245"</x:f>
        <x:v>1</x:v>
      </x:c>
      <x:c r="P162" t="str">
        <x:v>legacy_common_sample_8902245</x:v>
      </x:c>
      <x:c r="Q162" s="74" t="n">
        <x:v>46210.60368208333</x:v>
      </x:c>
      <x:c r="R162" s="19" t="n">
        <x:v>8902245</x:v>
      </x:c>
      <x:c r="S162" t="str">
        <x:v>40355b29bce094aef0e99358bdfd4011b92e72a54440a67760de4afae4883c33</x:v>
      </x:c>
      <x:c r="T162" t="str">
        <x:v>factor_report/gtja191_batch/gtja_107/ic_summary.csv</x:v>
      </x:c>
    </x:row>
    <x:row r="163">
      <x:c r="A163" s="50" t="n">
        <x:f>IF($P163="legacy_common_sample_8902245",1+COUNTIFS($C$5:$C$546,$C163,$P$5:$P$546,"legacy_common_sample_8902245",$I$5:$I$546,"&gt;"&amp;$I163),"")</x:f>
        <x:v>74</x:v>
      </x:c>
      <x:c r="B163" t="str">
        <x:v>gtja_173</x:v>
      </x:c>
      <x:c r="C163" s="50" t="n">
        <x:v>5</x:v>
      </x:c>
      <x:c r="D163" t="str">
        <x:f>IF(E163&gt;=0,"positive","negative")</x:f>
        <x:v>negative</x:v>
      </x:c>
      <x:c r="E163" s="30" t="n">
        <x:v>-0.033439889745327314</x:v>
      </x:c>
      <x:c r="F163" s="30" t="n">
        <x:f>ABS(E163)</x:f>
        <x:v>0.033439889745327314</x:v>
      </x:c>
      <x:c r="G163" s="30" t="n">
        <x:v>0.1754474138054183</x:v>
      </x:c>
      <x:c r="H163" s="30" t="n">
        <x:v>-0.19059779235283658</x:v>
      </x:c>
      <x:c r="I163" s="30" t="n">
        <x:f>ABS(H163)</x:f>
        <x:v>0.19059779235283658</x:v>
      </x:c>
      <x:c r="J163" s="30" t="n">
        <x:v>0.46292585170340683</x:v>
      </x:c>
      <x:c r="K163" s="30" t="n">
        <x:v>-0.008761905692747585</x:v>
      </x:c>
      <x:c r="L163" s="30" t="n">
        <x:v>-0.09715006219533893</x:v>
      </x:c>
      <x:c r="M163" s="30" t="n">
        <x:v>0.47044088176352705</x:v>
      </x:c>
      <x:c r="N163" s="19" t="n">
        <x:v>1996</x:v>
      </x:c>
      <x:c r="O163" t="b">
        <x:f>P163="legacy_common_sample_8902245"</x:f>
        <x:v>1</x:v>
      </x:c>
      <x:c r="P163" t="str">
        <x:v>legacy_common_sample_8902245</x:v>
      </x:c>
      <x:c r="Q163" s="74" t="n">
        <x:v>46210.91649931713</x:v>
      </x:c>
      <x:c r="R163" s="19" t="n">
        <x:v>8902245</x:v>
      </x:c>
      <x:c r="S163" t="str">
        <x:v>40355b29bce094aef0e99358bdfd4011b92e72a54440a67760de4afae4883c33</x:v>
      </x:c>
      <x:c r="T163" t="str">
        <x:v>factor_report/gtja191_batch/gtja_173/ic_summary.csv</x:v>
      </x:c>
    </x:row>
    <x:row r="164">
      <x:c r="A164" s="50" t="n">
        <x:f>IF($P164="legacy_common_sample_8902245",1+COUNTIFS($C$5:$C$546,$C164,$P$5:$P$546,"legacy_common_sample_8902245",$I$5:$I$546,"&gt;"&amp;$I164),"")</x:f>
        <x:v>75</x:v>
      </x:c>
      <x:c r="B164" t="str">
        <x:v>gtja_160</x:v>
      </x:c>
      <x:c r="C164" s="50" t="n">
        <x:v>5</x:v>
      </x:c>
      <x:c r="D164" t="str">
        <x:f>IF(E164&gt;=0,"positive","negative")</x:f>
        <x:v>negative</x:v>
      </x:c>
      <x:c r="E164" s="30" t="n">
        <x:v>-0.035838686284958336</x:v>
      </x:c>
      <x:c r="F164" s="30" t="n">
        <x:f>ABS(E164)</x:f>
        <x:v>0.035838686284958336</x:v>
      </x:c>
      <x:c r="G164" s="30" t="n">
        <x:v>0.1890162665195768</x:v>
      </x:c>
      <x:c r="H164" s="30" t="n">
        <x:v>-0.18960636004968626</x:v>
      </x:c>
      <x:c r="I164" s="30" t="n">
        <x:f>ABS(H164)</x:f>
        <x:v>0.18960636004968626</x:v>
      </x:c>
      <x:c r="J164" s="30" t="n">
        <x:v>0.4473947895791583</x:v>
      </x:c>
      <x:c r="K164" s="30" t="n">
        <x:v>-0.005760415274453441</x:v>
      </x:c>
      <x:c r="L164" s="30" t="n">
        <x:v>-0.052704399284054335</x:v>
      </x:c>
      <x:c r="M164" s="30" t="n">
        <x:v>0.47945891783567135</x:v>
      </x:c>
      <x:c r="N164" s="19" t="n">
        <x:v>1996</x:v>
      </x:c>
      <x:c r="O164" t="b">
        <x:f>P164="legacy_common_sample_8902245"</x:f>
        <x:v>1</x:v>
      </x:c>
      <x:c r="P164" t="str">
        <x:v>legacy_common_sample_8902245</x:v>
      </x:c>
      <x:c r="Q164" s="74" t="n">
        <x:v>46210.859459722225</x:v>
      </x:c>
      <x:c r="R164" s="19" t="n">
        <x:v>8902245</x:v>
      </x:c>
      <x:c r="S164" t="str">
        <x:v>40355b29bce094aef0e99358bdfd4011b92e72a54440a67760de4afae4883c33</x:v>
      </x:c>
      <x:c r="T164" t="str">
        <x:v>factor_report/gtja191_batch/gtja_160/ic_summary.csv</x:v>
      </x:c>
    </x:row>
    <x:row r="165">
      <x:c r="A165" s="50" t="n">
        <x:f>IF($P165="legacy_common_sample_8902245",1+COUNTIFS($C$5:$C$546,$C165,$P$5:$P$546,"legacy_common_sample_8902245",$I$5:$I$546,"&gt;"&amp;$I165),"")</x:f>
        <x:v>76</x:v>
      </x:c>
      <x:c r="B165" t="str">
        <x:v>gtja_126</x:v>
      </x:c>
      <x:c r="C165" s="50" t="n">
        <x:v>5</x:v>
      </x:c>
      <x:c r="D165" t="str">
        <x:f>IF(E165&gt;=0,"positive","negative")</x:f>
        <x:v>negative</x:v>
      </x:c>
      <x:c r="E165" s="30" t="n">
        <x:v>-0.03298399488289722</x:v>
      </x:c>
      <x:c r="F165" s="30" t="n">
        <x:f>ABS(E165)</x:f>
        <x:v>0.03298399488289722</x:v>
      </x:c>
      <x:c r="G165" s="30" t="n">
        <x:v>0.17538344160879138</x:v>
      </x:c>
      <x:c r="H165" s="30" t="n">
        <x:v>-0.1880678961499171</x:v>
      </x:c>
      <x:c r="I165" s="30" t="n">
        <x:f>ABS(H165)</x:f>
        <x:v>0.1880678961499171</x:v>
      </x:c>
      <x:c r="J165" s="30" t="n">
        <x:v>0.46292585170340683</x:v>
      </x:c>
      <x:c r="K165" s="30" t="n">
        <x:v>-0.008052257994891737</x:v>
      </x:c>
      <x:c r="L165" s="30" t="n">
        <x:v>-0.09212895650549541</x:v>
      </x:c>
      <x:c r="M165" s="30" t="n">
        <x:v>0.4729458917835671</x:v>
      </x:c>
      <x:c r="N165" s="19" t="n">
        <x:v>1996</x:v>
      </x:c>
      <x:c r="O165" t="b">
        <x:f>P165="legacy_common_sample_8902245"</x:f>
        <x:v>1</x:v>
      </x:c>
      <x:c r="P165" t="str">
        <x:v>legacy_common_sample_8902245</x:v>
      </x:c>
      <x:c r="Q165" s="74" t="n">
        <x:v>46210.70792734954</x:v>
      </x:c>
      <x:c r="R165" s="19" t="n">
        <x:v>8902245</x:v>
      </x:c>
      <x:c r="S165" t="str">
        <x:v>40355b29bce094aef0e99358bdfd4011b92e72a54440a67760de4afae4883c33</x:v>
      </x:c>
      <x:c r="T165" t="str">
        <x:v>factor_report/gtja191_batch/gtja_126/ic_summary.csv</x:v>
      </x:c>
    </x:row>
    <x:row r="166">
      <x:c r="A166" s="50" t="n">
        <x:f>IF($P166="legacy_common_sample_8902245",1+COUNTIFS($C$5:$C$546,$C166,$P$5:$P$546,"legacy_common_sample_8902245",$I$5:$I$546,"&gt;"&amp;$I166),"")</x:f>
        <x:v>77</x:v>
      </x:c>
      <x:c r="B166" t="str">
        <x:v>gtja_152</x:v>
      </x:c>
      <x:c r="C166" s="50" t="n">
        <x:v>5</x:v>
      </x:c>
      <x:c r="D166" t="str">
        <x:f>IF(E166&gt;=0,"positive","negative")</x:f>
        <x:v>negative</x:v>
      </x:c>
      <x:c r="E166" s="30" t="n">
        <x:v>-0.023532595295527762</x:v>
      </x:c>
      <x:c r="F166" s="30" t="n">
        <x:f>ABS(E166)</x:f>
        <x:v>0.023532595295527762</x:v>
      </x:c>
      <x:c r="G166" s="30" t="n">
        <x:v>0.126079381948476</x:v>
      </x:c>
      <x:c r="H166" s="30" t="n">
        <x:v>-0.18664903754957068</x:v>
      </x:c>
      <x:c r="I166" s="30" t="n">
        <x:f>ABS(H166)</x:f>
        <x:v>0.18664903754957068</x:v>
      </x:c>
      <x:c r="J166" s="30" t="n">
        <x:v>0.4333667334669339</x:v>
      </x:c>
      <x:c r="K166" s="30" t="n">
        <x:v>-0.01138830719594473</x:v>
      </x:c>
      <x:c r="L166" s="30" t="n">
        <x:v>-0.11368265577197591</x:v>
      </x:c>
      <x:c r="M166" s="30" t="n">
        <x:v>0.4724448897795591</x:v>
      </x:c>
      <x:c r="N166" s="19" t="n">
        <x:v>1996</x:v>
      </x:c>
      <x:c r="O166" t="b">
        <x:f>P166="legacy_common_sample_8902245"</x:f>
        <x:v>1</x:v>
      </x:c>
      <x:c r="P166" t="str">
        <x:v>legacy_common_sample_8902245</x:v>
      </x:c>
      <x:c r="Q166" s="74" t="n">
        <x:v>46210.823093680556</x:v>
      </x:c>
      <x:c r="R166" s="19" t="n">
        <x:v>8902245</x:v>
      </x:c>
      <x:c r="S166" t="str">
        <x:v>40355b29bce094aef0e99358bdfd4011b92e72a54440a67760de4afae4883c33</x:v>
      </x:c>
      <x:c r="T166" t="str">
        <x:v>factor_report/gtja191_batch/gtja_152/ic_summary.csv</x:v>
      </x:c>
    </x:row>
    <x:row r="167">
      <x:c r="A167" s="50" t="n">
        <x:f>IF($P167="legacy_common_sample_8902245",1+COUNTIFS($C$5:$C$546,$C167,$P$5:$P$546,"legacy_common_sample_8902245",$I$5:$I$546,"&gt;"&amp;$I167),"")</x:f>
        <x:v>78</x:v>
      </x:c>
      <x:c r="B167" t="str">
        <x:v>gtja_153</x:v>
      </x:c>
      <x:c r="C167" s="50" t="n">
        <x:v>5</x:v>
      </x:c>
      <x:c r="D167" t="str">
        <x:f>IF(E167&gt;=0,"positive","negative")</x:f>
        <x:v>negative</x:v>
      </x:c>
      <x:c r="E167" s="30" t="n">
        <x:v>-0.03067373866235267</x:v>
      </x:c>
      <x:c r="F167" s="30" t="n">
        <x:f>ABS(E167)</x:f>
        <x:v>0.03067373866235267</x:v>
      </x:c>
      <x:c r="G167" s="30" t="n">
        <x:v>0.17588937403272994</x:v>
      </x:c>
      <x:c r="H167" s="30" t="n">
        <x:v>-0.17439222142347738</x:v>
      </x:c>
      <x:c r="I167" s="30" t="n">
        <x:f>ABS(H167)</x:f>
        <x:v>0.17439222142347738</x:v>
      </x:c>
      <x:c r="J167" s="30" t="n">
        <x:v>0.46593186372745493</x:v>
      </x:c>
      <x:c r="K167" s="30" t="n">
        <x:v>-0.007218756900249273</x:v>
      </x:c>
      <x:c r="L167" s="30" t="n">
        <x:v>-0.08267329968412732</x:v>
      </x:c>
      <x:c r="M167" s="30" t="n">
        <x:v>0.4729458917835671</x:v>
      </x:c>
      <x:c r="N167" s="19" t="n">
        <x:v>1996</x:v>
      </x:c>
      <x:c r="O167" t="b">
        <x:f>P167="legacy_common_sample_8902245"</x:f>
        <x:v>1</x:v>
      </x:c>
      <x:c r="P167" t="str">
        <x:v>legacy_common_sample_8902245</x:v>
      </x:c>
      <x:c r="Q167" s="74" t="n">
        <x:v>46210.827101863426</x:v>
      </x:c>
      <x:c r="R167" s="19" t="n">
        <x:v>8902245</x:v>
      </x:c>
      <x:c r="S167" t="str">
        <x:v>40355b29bce094aef0e99358bdfd4011b92e72a54440a67760de4afae4883c33</x:v>
      </x:c>
      <x:c r="T167" t="str">
        <x:v>factor_report/gtja191_batch/gtja_153/ic_summary.csv</x:v>
      </x:c>
    </x:row>
    <x:row r="168">
      <x:c r="A168" s="50" t="n">
        <x:f>IF($P168="legacy_common_sample_8902245",1+COUNTIFS($C$5:$C$546,$C168,$P$5:$P$546,"legacy_common_sample_8902245",$I$5:$I$546,"&gt;"&amp;$I168),"")</x:f>
        <x:v>79</x:v>
      </x:c>
      <x:c r="B168" t="str">
        <x:v>gtja_143</x:v>
      </x:c>
      <x:c r="C168" s="50" t="n">
        <x:v>5</x:v>
      </x:c>
      <x:c r="D168" t="str">
        <x:f>IF(E168&gt;=0,"positive","negative")</x:f>
        <x:v>negative</x:v>
      </x:c>
      <x:c r="E168" s="30" t="n">
        <x:v>-0.018380086872813808</x:v>
      </x:c>
      <x:c r="F168" s="30" t="n">
        <x:f>ABS(E168)</x:f>
        <x:v>0.018380086872813808</x:v>
      </x:c>
      <x:c r="G168" s="30" t="n">
        <x:v>0.11216269840249522</x:v>
      </x:c>
      <x:c r="H168" s="30" t="n">
        <x:v>-0.1638698705950972</x:v>
      </x:c>
      <x:c r="I168" s="30" t="n">
        <x:f>ABS(H168)</x:f>
        <x:v>0.1638698705950972</x:v>
      </x:c>
      <x:c r="J168" s="30" t="n">
        <x:v>0.42334669338677355</x:v>
      </x:c>
      <x:c r="K168" s="30" t="n">
        <x:v>-0.004731457944353073</x:v>
      </x:c>
      <x:c r="L168" s="30" t="n">
        <x:v>-0.07404844450525572</x:v>
      </x:c>
      <x:c r="M168" s="30" t="n">
        <x:v>0.45691382765531063</x:v>
      </x:c>
      <x:c r="N168" s="19" t="n">
        <x:v>1996</x:v>
      </x:c>
      <x:c r="O168" t="b">
        <x:f>P168="legacy_common_sample_8902245"</x:f>
        <x:v>1</x:v>
      </x:c>
      <x:c r="P168" t="str">
        <x:v>legacy_common_sample_8902245</x:v>
      </x:c>
      <x:c r="Q168" s="74" t="n">
        <x:v>46210.787863425925</x:v>
      </x:c>
      <x:c r="R168" s="19" t="n">
        <x:v>8902245</x:v>
      </x:c>
      <x:c r="S168" t="str">
        <x:v>40355b29bce094aef0e99358bdfd4011b92e72a54440a67760de4afae4883c33</x:v>
      </x:c>
      <x:c r="T168" t="str">
        <x:v>factor_report/gtja191_batch/gtja_143/ic_summary.csv</x:v>
      </x:c>
    </x:row>
    <x:row r="169">
      <x:c r="A169" s="50" t="n">
        <x:f>IF($P169="legacy_common_sample_8902245",1+COUNTIFS($C$5:$C$546,$C169,$P$5:$P$546,"legacy_common_sample_8902245",$I$5:$I$546,"&gt;"&amp;$I169),"")</x:f>
        <x:v>80</x:v>
      </x:c>
      <x:c r="B169" t="str">
        <x:v>gtja_060</x:v>
      </x:c>
      <x:c r="C169" s="50" t="n">
        <x:v>5</x:v>
      </x:c>
      <x:c r="D169" t="str">
        <x:f>IF(E169&gt;=0,"positive","negative")</x:f>
        <x:v>negative</x:v>
      </x:c>
      <x:c r="E169" s="30" t="n">
        <x:v>-0.015488033351198223</x:v>
      </x:c>
      <x:c r="F169" s="30" t="n">
        <x:f>ABS(E169)</x:f>
        <x:v>0.015488033351198223</x:v>
      </x:c>
      <x:c r="G169" s="30" t="n">
        <x:v>0.0957444504327126</x:v>
      </x:c>
      <x:c r="H169" s="30" t="n">
        <x:v>-0.1617642931908928</x:v>
      </x:c>
      <x:c r="I169" s="30" t="n">
        <x:f>ABS(H169)</x:f>
        <x:v>0.1617642931908928</x:v>
      </x:c>
      <x:c r="J169" s="30" t="n">
        <x:v>0.42935871743486975</x:v>
      </x:c>
      <x:c r="K169" s="30" t="n">
        <x:v>-0.009395251418753036</x:v>
      </x:c>
      <x:c r="L169" s="30" t="n">
        <x:v>-0.16277937049647756</x:v>
      </x:c>
      <x:c r="M169" s="30" t="n">
        <x:v>0.4534068136272545</x:v>
      </x:c>
      <x:c r="N169" s="19" t="n">
        <x:v>1996</x:v>
      </x:c>
      <x:c r="O169" t="b">
        <x:f>P169="legacy_common_sample_8902245"</x:f>
        <x:v>1</x:v>
      </x:c>
      <x:c r="P169" t="str">
        <x:v>legacy_common_sample_8902245</x:v>
      </x:c>
      <x:c r="Q169" s="74" t="n">
        <x:v>46210.37184259259</x:v>
      </x:c>
      <x:c r="R169" s="19" t="n">
        <x:v>8902245</x:v>
      </x:c>
      <x:c r="S169" t="str">
        <x:v>40355b29bce094aef0e99358bdfd4011b92e72a54440a67760de4afae4883c33</x:v>
      </x:c>
      <x:c r="T169" t="str">
        <x:v>factor_report/gtja191_batch/gtja_060/ic_summary.csv</x:v>
      </x:c>
    </x:row>
    <x:row r="170">
      <x:c r="A170" s="50" t="n">
        <x:f>IF($P170="legacy_common_sample_8902245",1+COUNTIFS($C$5:$C$546,$C170,$P$5:$P$546,"legacy_common_sample_8902245",$I$5:$I$546,"&gt;"&amp;$I170),"")</x:f>
        <x:v>81</x:v>
      </x:c>
      <x:c r="B170" t="str">
        <x:v>gtja_093</x:v>
      </x:c>
      <x:c r="C170" s="50" t="n">
        <x:v>5</x:v>
      </x:c>
      <x:c r="D170" t="str">
        <x:f>IF(E170&gt;=0,"positive","negative")</x:f>
        <x:v>negative</x:v>
      </x:c>
      <x:c r="E170" s="30" t="n">
        <x:v>-0.029259202792010844</x:v>
      </x:c>
      <x:c r="F170" s="30" t="n">
        <x:f>ABS(E170)</x:f>
        <x:v>0.029259202792010844</x:v>
      </x:c>
      <x:c r="G170" s="30" t="n">
        <x:v>0.18170427001048928</x:v>
      </x:c>
      <x:c r="H170" s="30" t="n">
        <x:v>-0.16102650086495926</x:v>
      </x:c>
      <x:c r="I170" s="30" t="n">
        <x:f>ABS(H170)</x:f>
        <x:v>0.16102650086495926</x:v>
      </x:c>
      <x:c r="J170" s="30" t="n">
        <x:v>0.46142284569138275</x:v>
      </x:c>
      <x:c r="K170" s="30" t="n">
        <x:v>-0.0038070597309623443</x:v>
      </x:c>
      <x:c r="L170" s="30" t="n">
        <x:v>-0.035989706322097526</x:v>
      </x:c>
      <x:c r="M170" s="30" t="n">
        <x:v>0.49148296593186375</x:v>
      </x:c>
      <x:c r="N170" s="19" t="n">
        <x:v>1996</x:v>
      </x:c>
      <x:c r="O170" t="b">
        <x:f>P170="legacy_common_sample_8902245"</x:f>
        <x:v>1</x:v>
      </x:c>
      <x:c r="P170" t="str">
        <x:v>legacy_common_sample_8902245</x:v>
      </x:c>
      <x:c r="Q170" s="74" t="n">
        <x:v>46210.543900254626</x:v>
      </x:c>
      <x:c r="R170" s="19" t="n">
        <x:v>8902245</x:v>
      </x:c>
      <x:c r="S170" t="str">
        <x:v>40355b29bce094aef0e99358bdfd4011b92e72a54440a67760de4afae4883c33</x:v>
      </x:c>
      <x:c r="T170" t="str">
        <x:v>factor_report/gtja191_batch/gtja_093/ic_summary.csv</x:v>
      </x:c>
    </x:row>
    <x:row r="171">
      <x:c r="A171" s="50" t="str">
        <x:f>IF($P171="legacy_common_sample_8902245",1+COUNTIFS($C$5:$C$546,$C171,$P$5:$P$546,"legacy_common_sample_8902245",$I$5:$I$546,"&gt;"&amp;$I171),"")</x:f>
      </x:c>
      <x:c r="B171" t="str">
        <x:v>gtja_005</x:v>
      </x:c>
      <x:c r="C171" s="50" t="n">
        <x:v>5</x:v>
      </x:c>
      <x:c r="D171" t="str">
        <x:f>IF(E171&gt;=0,"positive","negative")</x:f>
        <x:v>positive</x:v>
      </x:c>
      <x:c r="E171" s="30" t="n">
        <x:v>0.034656028635606344</x:v>
      </x:c>
      <x:c r="F171" s="30" t="n">
        <x:f>ABS(E171)</x:f>
        <x:v>0.034656028635606344</x:v>
      </x:c>
      <x:c r="G171" s="30" t="n">
        <x:v>0.06961369820287608</x:v>
      </x:c>
      <x:c r="H171" s="30" t="n">
        <x:v>0.49783346568670783</x:v>
      </x:c>
      <x:c r="I171" s="30" t="n">
        <x:f>ABS(H171)</x:f>
        <x:v>0.49783346568670783</x:v>
      </x:c>
      <x:c r="J171" s="30" t="n">
        <x:v>0.7002022244691608</x:v>
      </x:c>
      <x:c r="K171" s="30" t="n">
        <x:v>0.016263946009516615</x:v>
      </x:c>
      <x:c r="L171" s="30" t="n">
        <x:v>0.27223725256502196</x:v>
      </x:c>
      <x:c r="M171" s="30" t="n">
        <x:v>0.6203235591506572</x:v>
      </x:c>
      <x:c r="N171" s="19" t="n">
        <x:v>3956</x:v>
      </x:c>
      <x:c r="O171" t="b">
        <x:f>P171="legacy_common_sample_8902245"</x:f>
        <x:v>0</x:v>
      </x:c>
      <x:c r="P171" t="str">
        <x:v>latest_context_sample_13231952</x:v>
      </x:c>
      <x:c r="Q171" s="74" t="n">
        <x:v>46230.276212083336</x:v>
      </x:c>
      <x:c r="R171" s="19" t="n">
        <x:v>13231952</x:v>
      </x:c>
      <x:c r="S171" t="str">
        <x:v>c89ec58a501c3ee9d35b4d16a82c2c097120d5210dcc66310d77aa437a3c789b</x:v>
      </x:c>
      <x:c r="T171" t="str">
        <x:v>factor_report/gtja191_batch/gtja_005/ic_summary.csv</x:v>
      </x:c>
    </x:row>
    <x:row r="172">
      <x:c r="A172" s="50" t="str">
        <x:f>IF($P172="legacy_common_sample_8902245",1+COUNTIFS($C$5:$C$546,$C172,$P$5:$P$546,"legacy_common_sample_8902245",$I$5:$I$546,"&gt;"&amp;$I172),"")</x:f>
      </x:c>
      <x:c r="B172" t="str">
        <x:v>gtja_012</x:v>
      </x:c>
      <x:c r="C172" s="50" t="n">
        <x:v>5</x:v>
      </x:c>
      <x:c r="D172" t="str">
        <x:f>IF(E172&gt;=0,"positive","negative")</x:f>
        <x:v>positive</x:v>
      </x:c>
      <x:c r="E172" s="30" t="n">
        <x:v>0.030794620141745433</x:v>
      </x:c>
      <x:c r="F172" s="30" t="n">
        <x:f>ABS(E172)</x:f>
        <x:v>0.030794620141745433</x:v>
      </x:c>
      <x:c r="G172" s="30" t="n">
        <x:v>0.10657495608696659</x:v>
      </x:c>
      <x:c r="H172" s="30" t="n">
        <x:v>0.28894799746965516</x:v>
      </x:c>
      <x:c r="I172" s="30" t="n">
        <x:f>ABS(H172)</x:f>
        <x:v>0.28894799746965516</x:v>
      </x:c>
      <x:c r="J172" s="30" t="n">
        <x:v>0.6233569261880687</x:v>
      </x:c>
      <x:c r="K172" s="30" t="n">
        <x:v>0.027552813965217953</x:v>
      </x:c>
      <x:c r="L172" s="30" t="n">
        <x:v>0.2660573939943001</x:v>
      </x:c>
      <x:c r="M172" s="30" t="n">
        <x:v>0.6170374115267947</x:v>
      </x:c>
      <x:c r="N172" s="19" t="n">
        <x:v>3956</x:v>
      </x:c>
      <x:c r="O172" t="b">
        <x:f>P172="legacy_common_sample_8902245"</x:f>
        <x:v>0</x:v>
      </x:c>
      <x:c r="P172" t="str">
        <x:v>latest_context_sample_13231952</x:v>
      </x:c>
      <x:c r="Q172" s="74" t="n">
        <x:v>46230.30990840278</x:v>
      </x:c>
      <x:c r="R172" s="19" t="n">
        <x:v>13231952</x:v>
      </x:c>
      <x:c r="S172" t="str">
        <x:v>c89ec58a501c3ee9d35b4d16a82c2c097120d5210dcc66310d77aa437a3c789b</x:v>
      </x:c>
      <x:c r="T172" t="str">
        <x:v>factor_report/gtja191_batch/gtja_012/ic_summary.csv</x:v>
      </x:c>
    </x:row>
    <x:row r="173">
      <x:c r="A173" s="50" t="str">
        <x:f>IF($P173="legacy_common_sample_8902245",1+COUNTIFS($C$5:$C$546,$C173,$P$5:$P$546,"legacy_common_sample_8902245",$I$5:$I$546,"&gt;"&amp;$I173),"")</x:f>
      </x:c>
      <x:c r="B173" t="str">
        <x:v>gtja_007</x:v>
      </x:c>
      <x:c r="C173" s="50" t="n">
        <x:v>5</x:v>
      </x:c>
      <x:c r="D173" t="str">
        <x:f>IF(E173&gt;=0,"positive","negative")</x:f>
        <x:v>positive</x:v>
      </x:c>
      <x:c r="E173" s="30" t="n">
        <x:v>0.018668235177516715</x:v>
      </x:c>
      <x:c r="F173" s="30" t="n">
        <x:f>ABS(E173)</x:f>
        <x:v>0.018668235177516715</x:v>
      </x:c>
      <x:c r="G173" s="30" t="n">
        <x:v>0.0786975329680383</x:v>
      </x:c>
      <x:c r="H173" s="30" t="n">
        <x:v>0.23721499865946888</x:v>
      </x:c>
      <x:c r="I173" s="30" t="n">
        <x:f>ABS(H173)</x:f>
        <x:v>0.23721499865946888</x:v>
      </x:c>
      <x:c r="J173" s="30" t="n">
        <x:v>0.5950455005055612</x:v>
      </x:c>
      <x:c r="K173" s="30" t="n">
        <x:v>0.01103913495425277</x:v>
      </x:c>
      <x:c r="L173" s="30" t="n">
        <x:v>0.16526774774719274</x:v>
      </x:c>
      <x:c r="M173" s="30" t="n">
        <x:v>0.5581395348837209</x:v>
      </x:c>
      <x:c r="N173" s="19" t="n">
        <x:v>3956</x:v>
      </x:c>
      <x:c r="O173" t="b">
        <x:f>P173="legacy_common_sample_8902245"</x:f>
        <x:v>0</x:v>
      </x:c>
      <x:c r="P173" t="str">
        <x:v>latest_context_sample_13231952</x:v>
      </x:c>
      <x:c r="Q173" s="74" t="n">
        <x:v>46230.29278930555</x:v>
      </x:c>
      <x:c r="R173" s="19" t="n">
        <x:v>13231952</x:v>
      </x:c>
      <x:c r="S173" t="str">
        <x:v>c89ec58a501c3ee9d35b4d16a82c2c097120d5210dcc66310d77aa437a3c789b</x:v>
      </x:c>
      <x:c r="T173" t="str">
        <x:v>factor_report/gtja191_batch/gtja_007/ic_summary.csv</x:v>
      </x:c>
    </x:row>
    <x:row r="174">
      <x:c r="A174" s="50" t="str">
        <x:f>IF($P174="legacy_common_sample_8902245",1+COUNTIFS($C$5:$C$546,$C174,$P$5:$P$546,"legacy_common_sample_8902245",$I$5:$I$546,"&gt;"&amp;$I174),"")</x:f>
      </x:c>
      <x:c r="B174" t="str">
        <x:v>gtja_015</x:v>
      </x:c>
      <x:c r="C174" s="50" t="n">
        <x:v>5</x:v>
      </x:c>
      <x:c r="D174" t="str">
        <x:f>IF(E174&gt;=0,"positive","negative")</x:f>
        <x:v>positive</x:v>
      </x:c>
      <x:c r="E174" s="30" t="n">
        <x:v>0.013217935937819593</x:v>
      </x:c>
      <x:c r="F174" s="30" t="n">
        <x:f>ABS(E174)</x:f>
        <x:v>0.013217935937819593</x:v>
      </x:c>
      <x:c r="G174" s="30" t="n">
        <x:v>0.0682196903496258</x:v>
      </x:c>
      <x:c r="H174" s="30" t="n">
        <x:v>0.19375543732429293</x:v>
      </x:c>
      <x:c r="I174" s="30" t="n">
        <x:f>ABS(H174)</x:f>
        <x:v>0.19375543732429293</x:v>
      </x:c>
      <x:c r="J174" s="30" t="n">
        <x:v>0.6076845298281092</x:v>
      </x:c>
      <x:c r="K174" s="30" t="n">
        <x:v>0.012538579502824693</x:v>
      </x:c>
      <x:c r="L174" s="30" t="n">
        <x:v>0.18791167651339918</x:v>
      </x:c>
      <x:c r="M174" s="30" t="n">
        <x:v>0.5841759352881699</x:v>
      </x:c>
      <x:c r="N174" s="19" t="n">
        <x:v>3956</x:v>
      </x:c>
      <x:c r="O174" t="b">
        <x:f>P174="legacy_common_sample_8902245"</x:f>
        <x:v>0</x:v>
      </x:c>
      <x:c r="P174" t="str">
        <x:v>latest_context_sample_13231952</x:v>
      </x:c>
      <x:c r="Q174" s="74" t="n">
        <x:v>46230.32700612269</x:v>
      </x:c>
      <x:c r="R174" s="19" t="n">
        <x:v>13231952</x:v>
      </x:c>
      <x:c r="S174" t="str">
        <x:v>c89ec58a501c3ee9d35b4d16a82c2c097120d5210dcc66310d77aa437a3c789b</x:v>
      </x:c>
      <x:c r="T174" t="str">
        <x:v>factor_report/gtja191_batch/gtja_015/ic_summary.csv</x:v>
      </x:c>
    </x:row>
    <x:row r="175">
      <x:c r="A175" s="50" t="n">
        <x:f>IF($P175="legacy_common_sample_8902245",1+COUNTIFS($C$5:$C$546,$C175,$P$5:$P$546,"legacy_common_sample_8902245",$I$5:$I$546,"&gt;"&amp;$I175),"")</x:f>
        <x:v>1</x:v>
      </x:c>
      <x:c r="B175" t="str">
        <x:v>gtja_099</x:v>
      </x:c>
      <x:c r="C175" s="50" t="n">
        <x:v>10</x:v>
      </x:c>
      <x:c r="D175" t="str">
        <x:f>IF(E175&gt;=0,"positive","negative")</x:f>
        <x:v>positive</x:v>
      </x:c>
      <x:c r="E175" s="30" t="n">
        <x:v>0.05085190347772375</x:v>
      </x:c>
      <x:c r="F175" s="30" t="n">
        <x:f>ABS(E175)</x:f>
        <x:v>0.05085190347772375</x:v>
      </x:c>
      <x:c r="G175" s="30" t="n">
        <x:v>0.06362683782511426</x:v>
      </x:c>
      <x:c r="H175" s="30" t="n">
        <x:v>0.799220976806927</x:v>
      </x:c>
      <x:c r="I175" s="30" t="n">
        <x:f>ABS(H175)</x:f>
        <x:v>0.799220976806927</x:v>
      </x:c>
      <x:c r="J175" s="30" t="n">
        <x:v>0.8011049723756906</x:v>
      </x:c>
      <x:c r="K175" s="30" t="n">
        <x:v>0.02235359328550537</x:v>
      </x:c>
      <x:c r="L175" s="30" t="n">
        <x:v>0.390678935390109</x:v>
      </x:c>
      <x:c r="M175" s="30" t="n">
        <x:v>0.6308387744851833</x:v>
      </x:c>
      <x:c r="N175" s="19" t="n">
        <x:v>1991</x:v>
      </x:c>
      <x:c r="O175" t="b">
        <x:f>P175="legacy_common_sample_8902245"</x:f>
        <x:v>1</x:v>
      </x:c>
      <x:c r="P175" t="str">
        <x:v>legacy_common_sample_8902245</x:v>
      </x:c>
      <x:c r="Q175" s="74" t="n">
        <x:v>46211.34822918982</x:v>
      </x:c>
      <x:c r="R175" s="19" t="n">
        <x:v>8902245</x:v>
      </x:c>
      <x:c r="S175" t="str">
        <x:v>8f7e606554926462248cbcc654181861438ca768a0063f6b317223ede37d16fb</x:v>
      </x:c>
      <x:c r="T175" t="str">
        <x:v>factor_report/gtja191_batch/gtja_099/ic_summary.csv</x:v>
      </x:c>
    </x:row>
    <x:row r="176">
      <x:c r="A176" s="50" t="n">
        <x:f>IF($P176="legacy_common_sample_8902245",1+COUNTIFS($C$5:$C$546,$C176,$P$5:$P$546,"legacy_common_sample_8902245",$I$5:$I$546,"&gt;"&amp;$I176),"")</x:f>
        <x:v>2</x:v>
      </x:c>
      <x:c r="B176" t="str">
        <x:v>gtja_083</x:v>
      </x:c>
      <x:c r="C176" s="50" t="n">
        <x:v>10</x:v>
      </x:c>
      <x:c r="D176" t="str">
        <x:f>IF(E176&gt;=0,"positive","negative")</x:f>
        <x:v>positive</x:v>
      </x:c>
      <x:c r="E176" s="30" t="n">
        <x:v>0.050828634987576136</x:v>
      </x:c>
      <x:c r="F176" s="30" t="n">
        <x:f>ABS(E176)</x:f>
        <x:v>0.050828634987576136</x:v>
      </x:c>
      <x:c r="G176" s="30" t="n">
        <x:v>0.06367666348899453</x:v>
      </x:c>
      <x:c r="H176" s="30" t="n">
        <x:v>0.7982301867364805</x:v>
      </x:c>
      <x:c r="I176" s="30" t="n">
        <x:f>ABS(H176)</x:f>
        <x:v>0.7982301867364805</x:v>
      </x:c>
      <x:c r="J176" s="30" t="n">
        <x:v>0.7965846308387745</x:v>
      </x:c>
      <x:c r="K176" s="30" t="n">
        <x:v>0.021699233986869893</x:v>
      </x:c>
      <x:c r="L176" s="30" t="n">
        <x:v>0.3805248746033904</x:v>
      </x:c>
      <x:c r="M176" s="30" t="n">
        <x:v>0.6288297338021095</x:v>
      </x:c>
      <x:c r="N176" s="19" t="n">
        <x:v>1991</x:v>
      </x:c>
      <x:c r="O176" t="b">
        <x:f>P176="legacy_common_sample_8902245"</x:f>
        <x:v>1</x:v>
      </x:c>
      <x:c r="P176" t="str">
        <x:v>legacy_common_sample_8902245</x:v>
      </x:c>
      <x:c r="Q176" s="74" t="n">
        <x:v>46211.31746125</x:v>
      </x:c>
      <x:c r="R176" s="19" t="n">
        <x:v>8902245</x:v>
      </x:c>
      <x:c r="S176" t="str">
        <x:v>8f7e606554926462248cbcc654181861438ca768a0063f6b317223ede37d16fb</x:v>
      </x:c>
      <x:c r="T176" t="str">
        <x:v>factor_report/gtja191_batch/gtja_083/ic_summary.csv</x:v>
      </x:c>
    </x:row>
    <x:row r="177">
      <x:c r="A177" s="50" t="n">
        <x:f>IF($P177="legacy_common_sample_8902245",1+COUNTIFS($C$5:$C$546,$C177,$P$5:$P$546,"legacy_common_sample_8902245",$I$5:$I$546,"&gt;"&amp;$I177),"")</x:f>
        <x:v>3</x:v>
      </x:c>
      <x:c r="B177" t="str">
        <x:v>gtja_016</x:v>
      </x:c>
      <x:c r="C177" s="50" t="n">
        <x:v>10</x:v>
      </x:c>
      <x:c r="D177" t="str">
        <x:f>IF(E177&gt;=0,"positive","negative")</x:f>
        <x:v>positive</x:v>
      </x:c>
      <x:c r="E177" s="30" t="n">
        <x:v>0.04278155068223139</x:v>
      </x:c>
      <x:c r="F177" s="30" t="n">
        <x:f>ABS(E177)</x:f>
        <x:v>0.04278155068223139</x:v>
      </x:c>
      <x:c r="G177" s="30" t="n">
        <x:v>0.06002003616988767</x:v>
      </x:c>
      <x:c r="H177" s="30" t="n">
        <x:v>0.712787819073243</x:v>
      </x:c>
      <x:c r="I177" s="30" t="n">
        <x:f>ABS(H177)</x:f>
        <x:v>0.712787819073243</x:v>
      </x:c>
      <x:c r="J177" s="30" t="n">
        <x:v>0.7533902561526871</x:v>
      </x:c>
      <x:c r="K177" s="30" t="n">
        <x:v>0.01659984500684624</x:v>
      </x:c>
      <x:c r="L177" s="30" t="n">
        <x:v>0.316778601172266</x:v>
      </x:c>
      <x:c r="M177" s="30" t="n">
        <x:v>0.6087393269713711</x:v>
      </x:c>
      <x:c r="N177" s="19" t="n">
        <x:v>1991</x:v>
      </x:c>
      <x:c r="O177" t="b">
        <x:f>P177="legacy_common_sample_8902245"</x:f>
        <x:v>1</x:v>
      </x:c>
      <x:c r="P177" t="str">
        <x:v>legacy_common_sample_8902245</x:v>
      </x:c>
      <x:c r="Q177" s="74" t="n">
        <x:v>46211.19679032407</x:v>
      </x:c>
      <x:c r="R177" s="19" t="n">
        <x:v>8902245</x:v>
      </x:c>
      <x:c r="S177" t="str">
        <x:v>8f7e606554926462248cbcc654181861438ca768a0063f6b317223ede37d16fb</x:v>
      </x:c>
      <x:c r="T177" t="str">
        <x:v>factor_report/gtja191_batch/gtja_016/ic_summary.csv</x:v>
      </x:c>
    </x:row>
    <x:row r="178">
      <x:c r="A178" s="50" t="n">
        <x:f>IF($P178="legacy_common_sample_8902245",1+COUNTIFS($C$5:$C$546,$C178,$P$5:$P$546,"legacy_common_sample_8902245",$I$5:$I$546,"&gt;"&amp;$I178),"")</x:f>
        <x:v>4</x:v>
      </x:c>
      <x:c r="B178" t="str">
        <x:v>gtja_062</x:v>
      </x:c>
      <x:c r="C178" s="50" t="n">
        <x:v>10</x:v>
      </x:c>
      <x:c r="D178" t="str">
        <x:f>IF(E178&gt;=0,"positive","negative")</x:f>
        <x:v>positive</x:v>
      </x:c>
      <x:c r="E178" s="30" t="n">
        <x:v>0.045392270522241325</x:v>
      </x:c>
      <x:c r="F178" s="30" t="n">
        <x:f>ABS(E178)</x:f>
        <x:v>0.045392270522241325</x:v>
      </x:c>
      <x:c r="G178" s="30" t="n">
        <x:v>0.06397345193807814</x:v>
      </x:c>
      <x:c r="H178" s="30" t="n">
        <x:v>0.7095485572074162</x:v>
      </x:c>
      <x:c r="I178" s="30" t="n">
        <x:f>ABS(H178)</x:f>
        <x:v>0.7095485572074162</x:v>
      </x:c>
      <x:c r="J178" s="30" t="n">
        <x:v>0.7709693621295831</x:v>
      </x:c>
      <x:c r="K178" s="30" t="n">
        <x:v>0.020164188112098073</x:v>
      </x:c>
      <x:c r="L178" s="30" t="n">
        <x:v>0.37567901802942794</x:v>
      </x:c>
      <x:c r="M178" s="30" t="n">
        <x:v>0.6609743847312908</x:v>
      </x:c>
      <x:c r="N178" s="19" t="n">
        <x:v>1991</x:v>
      </x:c>
      <x:c r="O178" t="b">
        <x:f>P178="legacy_common_sample_8902245"</x:f>
        <x:v>1</x:v>
      </x:c>
      <x:c r="P178" t="str">
        <x:v>legacy_common_sample_8902245</x:v>
      </x:c>
      <x:c r="Q178" s="74" t="n">
        <x:v>46211.290294004626</x:v>
      </x:c>
      <x:c r="R178" s="19" t="n">
        <x:v>8902245</x:v>
      </x:c>
      <x:c r="S178" t="str">
        <x:v>8f7e606554926462248cbcc654181861438ca768a0063f6b317223ede37d16fb</x:v>
      </x:c>
      <x:c r="T178" t="str">
        <x:v>factor_report/gtja191_batch/gtja_062/ic_summary.csv</x:v>
      </x:c>
    </x:row>
    <x:row r="179">
      <x:c r="A179" s="50" t="n">
        <x:f>IF($P179="legacy_common_sample_8902245",1+COUNTIFS($C$5:$C$546,$C179,$P$5:$P$546,"legacy_common_sample_8902245",$I$5:$I$546,"&gt;"&amp;$I179),"")</x:f>
        <x:v>5</x:v>
      </x:c>
      <x:c r="B179" t="str">
        <x:v>gtja_090</x:v>
      </x:c>
      <x:c r="C179" s="50" t="n">
        <x:v>10</x:v>
      </x:c>
      <x:c r="D179" t="str">
        <x:f>IF(E179&gt;=0,"positive","negative")</x:f>
        <x:v>positive</x:v>
      </x:c>
      <x:c r="E179" s="30" t="n">
        <x:v>0.04144801085758182</x:v>
      </x:c>
      <x:c r="F179" s="30" t="n">
        <x:f>ABS(E179)</x:f>
        <x:v>0.04144801085758182</x:v>
      </x:c>
      <x:c r="G179" s="30" t="n">
        <x:v>0.05917888052152929</x:v>
      </x:c>
      <x:c r="H179" s="30" t="n">
        <x:v>0.700385179515233</x:v>
      </x:c>
      <x:c r="I179" s="30" t="n">
        <x:f>ABS(H179)</x:f>
        <x:v>0.700385179515233</x:v>
      </x:c>
      <x:c r="J179" s="30" t="n">
        <x:v>0.772978402812657</x:v>
      </x:c>
      <x:c r="K179" s="30" t="n">
        <x:v>0.019001828063680754</x:v>
      </x:c>
      <x:c r="L179" s="30" t="n">
        <x:v>0.3647309049971294</x:v>
      </x:c>
      <x:c r="M179" s="30" t="n">
        <x:v>0.6388749372174787</x:v>
      </x:c>
      <x:c r="N179" s="19" t="n">
        <x:v>1991</x:v>
      </x:c>
      <x:c r="O179" t="b">
        <x:f>P179="legacy_common_sample_8902245"</x:f>
        <x:v>1</x:v>
      </x:c>
      <x:c r="P179" t="str">
        <x:v>legacy_common_sample_8902245</x:v>
      </x:c>
      <x:c r="Q179" s="74" t="n">
        <x:v>46211.33284847222</x:v>
      </x:c>
      <x:c r="R179" s="19" t="n">
        <x:v>8902245</x:v>
      </x:c>
      <x:c r="S179" t="str">
        <x:v>8f7e606554926462248cbcc654181861438ca768a0063f6b317223ede37d16fb</x:v>
      </x:c>
      <x:c r="T179" t="str">
        <x:v>factor_report/gtja191_batch/gtja_090/ic_summary.csv</x:v>
      </x:c>
    </x:row>
    <x:row r="180">
      <x:c r="A180" s="50" t="n">
        <x:f>IF($P180="legacy_common_sample_8902245",1+COUNTIFS($C$5:$C$546,$C180,$P$5:$P$546,"legacy_common_sample_8902245",$I$5:$I$546,"&gt;"&amp;$I180),"")</x:f>
        <x:v>6</x:v>
      </x:c>
      <x:c r="B180" t="str">
        <x:v>gtja_064</x:v>
      </x:c>
      <x:c r="C180" s="50" t="n">
        <x:v>10</x:v>
      </x:c>
      <x:c r="D180" t="str">
        <x:f>IF(E180&gt;=0,"positive","negative")</x:f>
        <x:v>positive</x:v>
      </x:c>
      <x:c r="E180" s="30" t="n">
        <x:v>0.035302286603448786</x:v>
      </x:c>
      <x:c r="F180" s="30" t="n">
        <x:f>ABS(E180)</x:f>
        <x:v>0.035302286603448786</x:v>
      </x:c>
      <x:c r="G180" s="30" t="n">
        <x:v>0.05048674595371734</x:v>
      </x:c>
      <x:c r="H180" s="30" t="n">
        <x:v>0.699238699911684</x:v>
      </x:c>
      <x:c r="I180" s="30" t="n">
        <x:f>ABS(H180)</x:f>
        <x:v>0.699238699911684</x:v>
      </x:c>
      <x:c r="J180" s="30" t="n">
        <x:v>0.7660550458715596</x:v>
      </x:c>
      <x:c r="K180" s="30" t="n">
        <x:v>0.014668652507403995</x:v>
      </x:c>
      <x:c r="L180" s="30" t="n">
        <x:v>0.3186863577925454</x:v>
      </x:c>
      <x:c r="M180" s="30" t="n">
        <x:v>0.6258919469928644</x:v>
      </x:c>
      <x:c r="N180" s="19" t="n">
        <x:v>1962</x:v>
      </x:c>
      <x:c r="O180" t="b">
        <x:f>P180="legacy_common_sample_8902245"</x:f>
        <x:v>1</x:v>
      </x:c>
      <x:c r="P180" t="str">
        <x:v>legacy_common_sample_8902245</x:v>
      </x:c>
      <x:c r="Q180" s="74" t="n">
        <x:v>46211.2933559838</x:v>
      </x:c>
      <x:c r="R180" s="19" t="n">
        <x:v>8902245</x:v>
      </x:c>
      <x:c r="S180" t="str">
        <x:v>8f7e606554926462248cbcc654181861438ca768a0063f6b317223ede37d16fb</x:v>
      </x:c>
      <x:c r="T180" t="str">
        <x:v>factor_report/gtja191_batch/gtja_064/ic_summary.csv</x:v>
      </x:c>
    </x:row>
    <x:row r="181">
      <x:c r="A181" s="50" t="n">
        <x:f>IF($P181="legacy_common_sample_8902245",1+COUNTIFS($C$5:$C$546,$C181,$P$5:$P$546,"legacy_common_sample_8902245",$I$5:$I$546,"&gt;"&amp;$I181),"")</x:f>
        <x:v>7</x:v>
      </x:c>
      <x:c r="B181" t="str">
        <x:v>gtja_032</x:v>
      </x:c>
      <x:c r="C181" s="50" t="n">
        <x:v>10</x:v>
      </x:c>
      <x:c r="D181" t="str">
        <x:f>IF(E181&gt;=0,"positive","negative")</x:f>
        <x:v>positive</x:v>
      </x:c>
      <x:c r="E181" s="30" t="n">
        <x:v>0.03607090076309309</x:v>
      </x:c>
      <x:c r="F181" s="30" t="n">
        <x:f>ABS(E181)</x:f>
        <x:v>0.03607090076309309</x:v>
      </x:c>
      <x:c r="G181" s="30" t="n">
        <x:v>0.052213115253562745</x:v>
      </x:c>
      <x:c r="H181" s="30" t="n">
        <x:v>0.6908398510206074</x:v>
      </x:c>
      <x:c r="I181" s="30" t="n">
        <x:f>ABS(H181)</x:f>
        <x:v>0.6908398510206074</x:v>
      </x:c>
      <x:c r="J181" s="30" t="n">
        <x:v>0.7649422400803616</x:v>
      </x:c>
      <x:c r="K181" s="30" t="n">
        <x:v>0.015685991226727817</x:v>
      </x:c>
      <x:c r="L181" s="30" t="n">
        <x:v>0.3432704750176013</x:v>
      </x:c>
      <x:c r="M181" s="30" t="n">
        <x:v>0.6328478151682572</x:v>
      </x:c>
      <x:c r="N181" s="19" t="n">
        <x:v>1991</x:v>
      </x:c>
      <x:c r="O181" t="b">
        <x:f>P181="legacy_common_sample_8902245"</x:f>
        <x:v>1</x:v>
      </x:c>
      <x:c r="P181" t="str">
        <x:v>legacy_common_sample_8902245</x:v>
      </x:c>
      <x:c r="Q181" s="74" t="n">
        <x:v>46211.2231158912</x:v>
      </x:c>
      <x:c r="R181" s="19" t="n">
        <x:v>8902245</x:v>
      </x:c>
      <x:c r="S181" t="str">
        <x:v>8f7e606554926462248cbcc654181861438ca768a0063f6b317223ede37d16fb</x:v>
      </x:c>
      <x:c r="T181" t="str">
        <x:v>factor_report/gtja191_batch/gtja_032/ic_summary.csv</x:v>
      </x:c>
    </x:row>
    <x:row r="182">
      <x:c r="A182" s="50" t="n">
        <x:f>IF($P182="legacy_common_sample_8902245",1+COUNTIFS($C$5:$C$546,$C182,$P$5:$P$546,"legacy_common_sample_8902245",$I$5:$I$546,"&gt;"&amp;$I182),"")</x:f>
        <x:v>8</x:v>
      </x:c>
      <x:c r="B182" t="str">
        <x:v>gtja_036</x:v>
      </x:c>
      <x:c r="C182" s="50" t="n">
        <x:v>10</x:v>
      </x:c>
      <x:c r="D182" t="str">
        <x:f>IF(E182&gt;=0,"positive","negative")</x:f>
        <x:v>negative</x:v>
      </x:c>
      <x:c r="E182" s="30" t="n">
        <x:v>-0.044762888764742104</x:v>
      </x:c>
      <x:c r="F182" s="30" t="n">
        <x:f>ABS(E182)</x:f>
        <x:v>0.044762888764742104</x:v>
      </x:c>
      <x:c r="G182" s="30" t="n">
        <x:v>0.06517786013303334</x:v>
      </x:c>
      <x:c r="H182" s="30" t="n">
        <x:v>-0.6867805827527537</x:v>
      </x:c>
      <x:c r="I182" s="30" t="n">
        <x:f>ABS(H182)</x:f>
        <x:v>0.6867805827527537</x:v>
      </x:c>
      <x:c r="J182" s="30" t="n">
        <x:v>0.23756906077348067</x:v>
      </x:c>
      <x:c r="K182" s="30" t="n">
        <x:v>-0.020028430395840468</x:v>
      </x:c>
      <x:c r="L182" s="30" t="n">
        <x:v>-0.35025570524958416</x:v>
      </x:c>
      <x:c r="M182" s="30" t="n">
        <x:v>0.37317930688096435</x:v>
      </x:c>
      <x:c r="N182" s="19" t="n">
        <x:v>1991</x:v>
      </x:c>
      <x:c r="O182" t="b">
        <x:f>P182="legacy_common_sample_8902245"</x:f>
        <x:v>1</x:v>
      </x:c>
      <x:c r="P182" t="str">
        <x:v>legacy_common_sample_8902245</x:v>
      </x:c>
      <x:c r="Q182" s="74" t="n">
        <x:v>46210.26318543981</x:v>
      </x:c>
      <x:c r="R182" s="19" t="n">
        <x:v>8902245</x:v>
      </x:c>
      <x:c r="S182" t="str">
        <x:v>40355b29bce094aef0e99358bdfd4011b92e72a54440a67760de4afae4883c33</x:v>
      </x:c>
      <x:c r="T182" t="str">
        <x:v>factor_report/gtja191_batch/gtja_036/ic_summary.csv</x:v>
      </x:c>
    </x:row>
    <x:row r="183">
      <x:c r="A183" s="50" t="n">
        <x:f>IF($P183="legacy_common_sample_8902245",1+COUNTIFS($C$5:$C$546,$C183,$P$5:$P$546,"legacy_common_sample_8902245",$I$5:$I$546,"&gt;"&amp;$I183),"")</x:f>
        <x:v>9</x:v>
      </x:c>
      <x:c r="B183" t="str">
        <x:v>gtja_176</x:v>
      </x:c>
      <x:c r="C183" s="50" t="n">
        <x:v>10</x:v>
      </x:c>
      <x:c r="D183" t="str">
        <x:f>IF(E183&gt;=0,"positive","negative")</x:f>
        <x:v>negative</x:v>
      </x:c>
      <x:c r="E183" s="30" t="n">
        <x:v>-0.035213922106757604</x:v>
      </x:c>
      <x:c r="F183" s="30" t="n">
        <x:f>ABS(E183)</x:f>
        <x:v>0.035213922106757604</x:v>
      </x:c>
      <x:c r="G183" s="30" t="n">
        <x:v>0.052146497362368406</x:v>
      </x:c>
      <x:c r="H183" s="30" t="n">
        <x:v>-0.6752883489384616</x:v>
      </x:c>
      <x:c r="I183" s="30" t="n">
        <x:f>ABS(H183)</x:f>
        <x:v>0.6752883489384616</x:v>
      </x:c>
      <x:c r="J183" s="30" t="n">
        <x:v>0.23254645906579607</x:v>
      </x:c>
      <x:c r="K183" s="30" t="n">
        <x:v>-0.013671968433248019</x:v>
      </x:c>
      <x:c r="L183" s="30" t="n">
        <x:v>-0.3091957753012549</x:v>
      </x:c>
      <x:c r="M183" s="30" t="n">
        <x:v>0.3736815670517328</x:v>
      </x:c>
      <x:c r="N183" s="19" t="n">
        <x:v>1991</x:v>
      </x:c>
      <x:c r="O183" t="b">
        <x:f>P183="legacy_common_sample_8902245"</x:f>
        <x:v>1</x:v>
      </x:c>
      <x:c r="P183" t="str">
        <x:v>legacy_common_sample_8902245</x:v>
      </x:c>
      <x:c r="Q183" s="74" t="n">
        <x:v>46210.92925570602</x:v>
      </x:c>
      <x:c r="R183" s="19" t="n">
        <x:v>8902245</x:v>
      </x:c>
      <x:c r="S183" t="str">
        <x:v>40355b29bce094aef0e99358bdfd4011b92e72a54440a67760de4afae4883c33</x:v>
      </x:c>
      <x:c r="T183" t="str">
        <x:v>factor_report/gtja191_batch/gtja_176/ic_summary.csv</x:v>
      </x:c>
    </x:row>
    <x:row r="184">
      <x:c r="A184" s="50" t="n">
        <x:f>IF($P184="legacy_common_sample_8902245",1+COUNTIFS($C$5:$C$546,$C184,$P$5:$P$546,"legacy_common_sample_8902245",$I$5:$I$546,"&gt;"&amp;$I184),"")</x:f>
        <x:v>10</x:v>
      </x:c>
      <x:c r="B184" t="str">
        <x:v>gtja_105</x:v>
      </x:c>
      <x:c r="C184" s="50" t="n">
        <x:v>10</x:v>
      </x:c>
      <x:c r="D184" t="str">
        <x:f>IF(E184&gt;=0,"positive","negative")</x:f>
        <x:v>positive</x:v>
      </x:c>
      <x:c r="E184" s="30" t="n">
        <x:v>0.03704915011384955</x:v>
      </x:c>
      <x:c r="F184" s="30" t="n">
        <x:f>ABS(E184)</x:f>
        <x:v>0.03704915011384955</x:v>
      </x:c>
      <x:c r="G184" s="30" t="n">
        <x:v>0.055502901526657475</x:v>
      </x:c>
      <x:c r="H184" s="30" t="n">
        <x:v>0.6675173566566646</x:v>
      </x:c>
      <x:c r="I184" s="30" t="n">
        <x:f>ABS(H184)</x:f>
        <x:v>0.6675173566566646</x:v>
      </x:c>
      <x:c r="J184" s="30" t="n">
        <x:v>0.747865394274234</x:v>
      </x:c>
      <x:c r="K184" s="30" t="n">
        <x:v>0.020292949114401323</x:v>
      </x:c>
      <x:c r="L184" s="30" t="n">
        <x:v>0.4189409009037812</x:v>
      </x:c>
      <x:c r="M184" s="30" t="n">
        <x:v>0.6654947262682069</x:v>
      </x:c>
      <x:c r="N184" s="19" t="n">
        <x:v>1991</x:v>
      </x:c>
      <x:c r="O184" t="b">
        <x:f>P184="legacy_common_sample_8902245"</x:f>
        <x:v>1</x:v>
      </x:c>
      <x:c r="P184" t="str">
        <x:v>legacy_common_sample_8902245</x:v>
      </x:c>
      <x:c r="Q184" s="74" t="n">
        <x:v>46211.35838456018</x:v>
      </x:c>
      <x:c r="R184" s="19" t="n">
        <x:v>8902245</x:v>
      </x:c>
      <x:c r="S184" t="str">
        <x:v>8f7e606554926462248cbcc654181861438ca768a0063f6b317223ede37d16fb</x:v>
      </x:c>
      <x:c r="T184" t="str">
        <x:v>factor_report/gtja191_batch/gtja_105/ic_summary.csv</x:v>
      </x:c>
    </x:row>
    <x:row r="185">
      <x:c r="A185" s="50" t="n">
        <x:f>IF($P185="legacy_common_sample_8902245",1+COUNTIFS($C$5:$C$546,$C185,$P$5:$P$546,"legacy_common_sample_8902245",$I$5:$I$546,"&gt;"&amp;$I185),"")</x:f>
        <x:v>11</x:v>
      </x:c>
      <x:c r="B185" t="str">
        <x:v>gtja_070</x:v>
      </x:c>
      <x:c r="C185" s="50" t="n">
        <x:v>10</x:v>
      </x:c>
      <x:c r="D185" t="str">
        <x:f>IF(E185&gt;=0,"positive","negative")</x:f>
        <x:v>negative</x:v>
      </x:c>
      <x:c r="E185" s="30" t="n">
        <x:v>-0.09200568839452039</x:v>
      </x:c>
      <x:c r="F185" s="30" t="n">
        <x:f>ABS(E185)</x:f>
        <x:v>0.09200568839452039</x:v>
      </x:c>
      <x:c r="G185" s="30" t="n">
        <x:v>0.14186656930093233</x:v>
      </x:c>
      <x:c r="H185" s="30" t="n">
        <x:v>-0.648536782470257</x:v>
      </x:c>
      <x:c r="I185" s="30" t="n">
        <x:f>ABS(H185)</x:f>
        <x:v>0.648536782470257</x:v>
      </x:c>
      <x:c r="J185" s="30" t="n">
        <x:v>0.25916624811652433</x:v>
      </x:c>
      <x:c r="K185" s="30" t="n">
        <x:v>-0.031581860524195884</x:v>
      </x:c>
      <x:c r="L185" s="30" t="n">
        <x:v>-0.35098509344648643</x:v>
      </x:c>
      <x:c r="M185" s="30" t="n">
        <x:v>0.35911602209944754</x:v>
      </x:c>
      <x:c r="N185" s="19" t="n">
        <x:v>1991</x:v>
      </x:c>
      <x:c r="O185" t="b">
        <x:f>P185="legacy_common_sample_8902245"</x:f>
        <x:v>1</x:v>
      </x:c>
      <x:c r="P185" t="str">
        <x:v>legacy_common_sample_8902245</x:v>
      </x:c>
      <x:c r="Q185" s="74" t="n">
        <x:v>46210.41622457176</x:v>
      </x:c>
      <x:c r="R185" s="19" t="n">
        <x:v>8902245</x:v>
      </x:c>
      <x:c r="S185" t="str">
        <x:v>40355b29bce094aef0e99358bdfd4011b92e72a54440a67760de4afae4883c33</x:v>
      </x:c>
      <x:c r="T185" t="str">
        <x:v>factor_report/gtja191_batch/gtja_070/ic_summary.csv</x:v>
      </x:c>
    </x:row>
    <x:row r="186">
      <x:c r="A186" s="50" t="n">
        <x:f>IF($P186="legacy_common_sample_8902245",1+COUNTIFS($C$5:$C$546,$C186,$P$5:$P$546,"legacy_common_sample_8902245",$I$5:$I$546,"&gt;"&amp;$I186),"")</x:f>
        <x:v>12</x:v>
      </x:c>
      <x:c r="B186" t="str">
        <x:v>gtja_042</x:v>
      </x:c>
      <x:c r="C186" s="50" t="n">
        <x:v>10</x:v>
      </x:c>
      <x:c r="D186" t="str">
        <x:f>IF(E186&gt;=0,"positive","negative")</x:f>
        <x:v>positive</x:v>
      </x:c>
      <x:c r="E186" s="30" t="n">
        <x:v>0.07709133095133304</x:v>
      </x:c>
      <x:c r="F186" s="30" t="n">
        <x:f>ABS(E186)</x:f>
        <x:v>0.07709133095133304</x:v>
      </x:c>
      <x:c r="G186" s="30" t="n">
        <x:v>0.12015691389450874</x:v>
      </x:c>
      <x:c r="H186" s="30" t="n">
        <x:v>0.6415888062755595</x:v>
      </x:c>
      <x:c r="I186" s="30" t="n">
        <x:f>ABS(H186)</x:f>
        <x:v>0.6415888062755595</x:v>
      </x:c>
      <x:c r="J186" s="30" t="n">
        <x:v>0.7363134103465595</x:v>
      </x:c>
      <x:c r="K186" s="30" t="n">
        <x:v>0.04060270690263696</x:v>
      </x:c>
      <x:c r="L186" s="30" t="n">
        <x:v>0.3976808790319093</x:v>
      </x:c>
      <x:c r="M186" s="30" t="n">
        <x:v>0.6514314414866901</x:v>
      </x:c>
      <x:c r="N186" s="19" t="n">
        <x:v>1991</x:v>
      </x:c>
      <x:c r="O186" t="b">
        <x:f>P186="legacy_common_sample_8902245"</x:f>
        <x:v>1</x:v>
      </x:c>
      <x:c r="P186" t="str">
        <x:v>legacy_common_sample_8902245</x:v>
      </x:c>
      <x:c r="Q186" s="74" t="n">
        <x:v>46211.25270762732</x:v>
      </x:c>
      <x:c r="R186" s="19" t="n">
        <x:v>8902245</x:v>
      </x:c>
      <x:c r="S186" t="str">
        <x:v>8f7e606554926462248cbcc654181861438ca768a0063f6b317223ede37d16fb</x:v>
      </x:c>
      <x:c r="T186" t="str">
        <x:v>factor_report/gtja191_batch/gtja_042/ic_summary.csv</x:v>
      </x:c>
    </x:row>
    <x:row r="187">
      <x:c r="A187" s="50" t="n">
        <x:f>IF($P187="legacy_common_sample_8902245",1+COUNTIFS($C$5:$C$546,$C187,$P$5:$P$546,"legacy_common_sample_8902245",$I$5:$I$546,"&gt;"&amp;$I187),"")</x:f>
        <x:v>13</x:v>
      </x:c>
      <x:c r="B187" t="str">
        <x:v>gtja_150</x:v>
      </x:c>
      <x:c r="C187" s="50" t="n">
        <x:v>10</x:v>
      </x:c>
      <x:c r="D187" t="str">
        <x:f>IF(E187&gt;=0,"positive","negative")</x:f>
        <x:v>negative</x:v>
      </x:c>
      <x:c r="E187" s="30" t="n">
        <x:v>-0.09224468197712768</x:v>
      </x:c>
      <x:c r="F187" s="30" t="n">
        <x:f>ABS(E187)</x:f>
        <x:v>0.09224468197712768</x:v>
      </x:c>
      <x:c r="G187" s="30" t="n">
        <x:v>0.1447917197567441</x:v>
      </x:c>
      <x:c r="H187" s="30" t="n">
        <x:v>-0.6370853397701364</x:v>
      </x:c>
      <x:c r="I187" s="30" t="n">
        <x:f>ABS(H187)</x:f>
        <x:v>0.6370853397701364</x:v>
      </x:c>
      <x:c r="J187" s="30" t="n">
        <x:v>0.25565042692114515</x:v>
      </x:c>
      <x:c r="K187" s="30" t="n">
        <x:v>-0.034250058174758576</x:v>
      </x:c>
      <x:c r="L187" s="30" t="n">
        <x:v>-0.35782577534405186</x:v>
      </x:c>
      <x:c r="M187" s="30" t="n">
        <x:v>0.3465595178302361</x:v>
      </x:c>
      <x:c r="N187" s="19" t="n">
        <x:v>1991</x:v>
      </x:c>
      <x:c r="O187" t="b">
        <x:f>P187="legacy_common_sample_8902245"</x:f>
        <x:v>1</x:v>
      </x:c>
      <x:c r="P187" t="str">
        <x:v>legacy_common_sample_8902245</x:v>
      </x:c>
      <x:c r="Q187" s="74" t="n">
        <x:v>46210.81356047454</x:v>
      </x:c>
      <x:c r="R187" s="19" t="n">
        <x:v>8902245</x:v>
      </x:c>
      <x:c r="S187" t="str">
        <x:v>40355b29bce094aef0e99358bdfd4011b92e72a54440a67760de4afae4883c33</x:v>
      </x:c>
      <x:c r="T187" t="str">
        <x:v>factor_report/gtja191_batch/gtja_150/ic_summary.csv</x:v>
      </x:c>
    </x:row>
    <x:row r="188">
      <x:c r="A188" s="50" t="n">
        <x:f>IF($P188="legacy_common_sample_8902245",1+COUNTIFS($C$5:$C$546,$C188,$P$5:$P$546,"legacy_common_sample_8902245",$I$5:$I$546,"&gt;"&amp;$I188),"")</x:f>
        <x:v>14</x:v>
      </x:c>
      <x:c r="B188" t="str">
        <x:v>gtja_095</x:v>
      </x:c>
      <x:c r="C188" s="50" t="n">
        <x:v>10</x:v>
      </x:c>
      <x:c r="D188" t="str">
        <x:f>IF(E188&gt;=0,"positive","negative")</x:f>
        <x:v>negative</x:v>
      </x:c>
      <x:c r="E188" s="30" t="n">
        <x:v>-0.08771344028321716</x:v>
      </x:c>
      <x:c r="F188" s="30" t="n">
        <x:f>ABS(E188)</x:f>
        <x:v>0.08771344028321716</x:v>
      </x:c>
      <x:c r="G188" s="30" t="n">
        <x:v>0.1441482190729027</x:v>
      </x:c>
      <x:c r="H188" s="30" t="n">
        <x:v>-0.6084947899276941</x:v>
      </x:c>
      <x:c r="I188" s="30" t="n">
        <x:f>ABS(H188)</x:f>
        <x:v>0.6084947899276941</x:v>
      </x:c>
      <x:c r="J188" s="30" t="n">
        <x:v>0.27071823204419887</x:v>
      </x:c>
      <x:c r="K188" s="30" t="n">
        <x:v>-0.030328495999467023</x:v>
      </x:c>
      <x:c r="L188" s="30" t="n">
        <x:v>-0.3167190072356366</x:v>
      </x:c>
      <x:c r="M188" s="30" t="n">
        <x:v>0.36263184329482673</x:v>
      </x:c>
      <x:c r="N188" s="19" t="n">
        <x:v>1991</x:v>
      </x:c>
      <x:c r="O188" t="b">
        <x:f>P188="legacy_common_sample_8902245"</x:f>
        <x:v>1</x:v>
      </x:c>
      <x:c r="P188" t="str">
        <x:v>legacy_common_sample_8902245</x:v>
      </x:c>
      <x:c r="Q188" s="74" t="n">
        <x:v>46210.552701967594</x:v>
      </x:c>
      <x:c r="R188" s="19" t="n">
        <x:v>8902245</x:v>
      </x:c>
      <x:c r="S188" t="str">
        <x:v>40355b29bce094aef0e99358bdfd4011b92e72a54440a67760de4afae4883c33</x:v>
      </x:c>
      <x:c r="T188" t="str">
        <x:v>factor_report/gtja191_batch/gtja_095/ic_summary.csv</x:v>
      </x:c>
    </x:row>
    <x:row r="189">
      <x:c r="A189" s="50" t="n">
        <x:f>IF($P189="legacy_common_sample_8902245",1+COUNTIFS($C$5:$C$546,$C189,$P$5:$P$546,"legacy_common_sample_8902245",$I$5:$I$546,"&gt;"&amp;$I189),"")</x:f>
        <x:v>15</x:v>
      </x:c>
      <x:c r="B189" t="str">
        <x:v>gtja_074</x:v>
      </x:c>
      <x:c r="C189" s="50" t="n">
        <x:v>10</x:v>
      </x:c>
      <x:c r="D189" t="str">
        <x:f>IF(E189&gt;=0,"positive","negative")</x:f>
        <x:v>negative</x:v>
      </x:c>
      <x:c r="E189" s="30" t="n">
        <x:v>-0.04191406627113578</x:v>
      </x:c>
      <x:c r="F189" s="30" t="n">
        <x:f>ABS(E189)</x:f>
        <x:v>0.04191406627113578</x:v>
      </x:c>
      <x:c r="G189" s="30" t="n">
        <x:v>0.0691685801903373</x:v>
      </x:c>
      <x:c r="H189" s="30" t="n">
        <x:v>-0.6059697359089509</x:v>
      </x:c>
      <x:c r="I189" s="30" t="n">
        <x:f>ABS(H189)</x:f>
        <x:v>0.6059697359089509</x:v>
      </x:c>
      <x:c r="J189" s="30" t="n">
        <x:v>0.2710327455919396</x:v>
      </x:c>
      <x:c r="K189" s="30" t="n">
        <x:v>-0.020165381536743503</x:v>
      </x:c>
      <x:c r="L189" s="30" t="n">
        <x:v>-0.3353506017931027</x:v>
      </x:c>
      <x:c r="M189" s="30" t="n">
        <x:v>0.3677581863979849</x:v>
      </x:c>
      <x:c r="N189" s="19" t="n">
        <x:v>1985</x:v>
      </x:c>
      <x:c r="O189" t="b">
        <x:f>P189="legacy_common_sample_8902245"</x:f>
        <x:v>1</x:v>
      </x:c>
      <x:c r="P189" t="str">
        <x:v>legacy_common_sample_8902245</x:v>
      </x:c>
      <x:c r="Q189" s="74" t="n">
        <x:v>46210.45096833333</x:v>
      </x:c>
      <x:c r="R189" s="19" t="n">
        <x:v>8902245</x:v>
      </x:c>
      <x:c r="S189" t="str">
        <x:v>40355b29bce094aef0e99358bdfd4011b92e72a54440a67760de4afae4883c33</x:v>
      </x:c>
      <x:c r="T189" t="str">
        <x:v>factor_report/gtja191_batch/gtja_074/ic_summary.csv</x:v>
      </x:c>
    </x:row>
    <x:row r="190">
      <x:c r="A190" s="50" t="n">
        <x:f>IF($P190="legacy_common_sample_8902245",1+COUNTIFS($C$5:$C$546,$C190,$P$5:$P$546,"legacy_common_sample_8902245",$I$5:$I$546,"&gt;"&amp;$I190),"")</x:f>
        <x:v>16</x:v>
      </x:c>
      <x:c r="B190" t="str">
        <x:v>gtja_179</x:v>
      </x:c>
      <x:c r="C190" s="50" t="n">
        <x:v>10</x:v>
      </x:c>
      <x:c r="D190" t="str">
        <x:f>IF(E190&gt;=0,"positive","negative")</x:f>
        <x:v>negative</x:v>
      </x:c>
      <x:c r="E190" s="30" t="n">
        <x:v>-0.0363942798172005</x:v>
      </x:c>
      <x:c r="F190" s="30" t="n">
        <x:f>ABS(E190)</x:f>
        <x:v>0.0363942798172005</x:v>
      </x:c>
      <x:c r="G190" s="30" t="n">
        <x:v>0.06120507896136871</x:v>
      </x:c>
      <x:c r="H190" s="30" t="n">
        <x:v>-0.5946284268364683</x:v>
      </x:c>
      <x:c r="I190" s="30" t="n">
        <x:f>ABS(H190)</x:f>
        <x:v>0.5946284268364683</x:v>
      </x:c>
      <x:c r="J190" s="30" t="n">
        <x:v>0.26143790849673204</x:v>
      </x:c>
      <x:c r="K190" s="30" t="n">
        <x:v>-0.023884530546318856</x:v>
      </x:c>
      <x:c r="L190" s="30" t="n">
        <x:v>-0.42820688424746745</x:v>
      </x:c>
      <x:c r="M190" s="30" t="n">
        <x:v>0.322272498743087</x:v>
      </x:c>
      <x:c r="N190" s="19" t="n">
        <x:v>1989</x:v>
      </x:c>
      <x:c r="O190" t="b">
        <x:f>P190="legacy_common_sample_8902245"</x:f>
        <x:v>1</x:v>
      </x:c>
      <x:c r="P190" t="str">
        <x:v>legacy_common_sample_8902245</x:v>
      </x:c>
      <x:c r="Q190" s="74" t="n">
        <x:v>46210.941301631945</x:v>
      </x:c>
      <x:c r="R190" s="19" t="n">
        <x:v>8902245</x:v>
      </x:c>
      <x:c r="S190" t="str">
        <x:v>40355b29bce094aef0e99358bdfd4011b92e72a54440a67760de4afae4883c33</x:v>
      </x:c>
      <x:c r="T190" t="str">
        <x:v>factor_report/gtja191_batch/gtja_179/ic_summary.csv</x:v>
      </x:c>
    </x:row>
    <x:row r="191">
      <x:c r="A191" s="50" t="n">
        <x:f>IF($P191="legacy_common_sample_8902245",1+COUNTIFS($C$5:$C$546,$C191,$P$5:$P$546,"legacy_common_sample_8902245",$I$5:$I$546,"&gt;"&amp;$I191),"")</x:f>
        <x:v>17</x:v>
      </x:c>
      <x:c r="B191" t="str">
        <x:v>gtja_140</x:v>
      </x:c>
      <x:c r="C191" s="50" t="n">
        <x:v>10</x:v>
      </x:c>
      <x:c r="D191" t="str">
        <x:f>IF(E191&gt;=0,"positive","negative")</x:f>
        <x:v>positive</x:v>
      </x:c>
      <x:c r="E191" s="30" t="n">
        <x:v>0.05335274590122334</x:v>
      </x:c>
      <x:c r="F191" s="30" t="n">
        <x:f>ABS(E191)</x:f>
        <x:v>0.05335274590122334</x:v>
      </x:c>
      <x:c r="G191" s="30" t="n">
        <x:v>0.09601044245599819</x:v>
      </x:c>
      <x:c r="H191" s="30" t="n">
        <x:v>0.5556973235038993</x:v>
      </x:c>
      <x:c r="I191" s="30" t="n">
        <x:f>ABS(H191)</x:f>
        <x:v>0.5556973235038993</x:v>
      </x:c>
      <x:c r="J191" s="30" t="n">
        <x:v>0.7295501022494888</x:v>
      </x:c>
      <x:c r="K191" s="30" t="n">
        <x:v>0.013350098470748665</x:v>
      </x:c>
      <x:c r="L191" s="30" t="n">
        <x:v>0.16104400684647405</x:v>
      </x:c>
      <x:c r="M191" s="30" t="n">
        <x:v>0.5547034764826176</x:v>
      </x:c>
      <x:c r="N191" s="19" t="n">
        <x:v>1956</x:v>
      </x:c>
      <x:c r="O191" t="b">
        <x:f>P191="legacy_common_sample_8902245"</x:f>
        <x:v>1</x:v>
      </x:c>
      <x:c r="P191" t="str">
        <x:v>legacy_common_sample_8902245</x:v>
      </x:c>
      <x:c r="Q191" s="74" t="n">
        <x:v>46211.441442916665</x:v>
      </x:c>
      <x:c r="R191" s="19" t="n">
        <x:v>8902245</x:v>
      </x:c>
      <x:c r="S191" t="str">
        <x:v>8f7e606554926462248cbcc654181861438ca768a0063f6b317223ede37d16fb</x:v>
      </x:c>
      <x:c r="T191" t="str">
        <x:v>factor_report/gtja191_batch/gtja_140/ic_summary.csv</x:v>
      </x:c>
    </x:row>
    <x:row r="192">
      <x:c r="A192" s="50" t="n">
        <x:f>IF($P192="legacy_common_sample_8902245",1+COUNTIFS($C$5:$C$546,$C192,$P$5:$P$546,"legacy_common_sample_8902245",$I$5:$I$546,"&gt;"&amp;$I192),"")</x:f>
        <x:v>18</x:v>
      </x:c>
      <x:c r="B192" t="str">
        <x:v>gtja_097</x:v>
      </x:c>
      <x:c r="C192" s="50" t="n">
        <x:v>10</x:v>
      </x:c>
      <x:c r="D192" t="str">
        <x:f>IF(E192&gt;=0,"positive","negative")</x:f>
        <x:v>negative</x:v>
      </x:c>
      <x:c r="E192" s="30" t="n">
        <x:v>-0.06181873112019193</x:v>
      </x:c>
      <x:c r="F192" s="30" t="n">
        <x:f>ABS(E192)</x:f>
        <x:v>0.06181873112019193</x:v>
      </x:c>
      <x:c r="G192" s="30" t="n">
        <x:v>0.11410947849101559</x:v>
      </x:c>
      <x:c r="H192" s="30" t="n">
        <x:v>-0.5417493089766353</x:v>
      </x:c>
      <x:c r="I192" s="30" t="n">
        <x:f>ABS(H192)</x:f>
        <x:v>0.5417493089766353</x:v>
      </x:c>
      <x:c r="J192" s="30" t="n">
        <x:v>0.27071823204419887</x:v>
      </x:c>
      <x:c r="K192" s="30" t="n">
        <x:v>-0.028328322957232505</x:v>
      </x:c>
      <x:c r="L192" s="30" t="n">
        <x:v>-0.3973865605499423</x:v>
      </x:c>
      <x:c r="M192" s="30" t="n">
        <x:v>0.32446007031642393</x:v>
      </x:c>
      <x:c r="N192" s="19" t="n">
        <x:v>1991</x:v>
      </x:c>
      <x:c r="O192" t="b">
        <x:f>P192="legacy_common_sample_8902245"</x:f>
        <x:v>1</x:v>
      </x:c>
      <x:c r="P192" t="str">
        <x:v>legacy_common_sample_8902245</x:v>
      </x:c>
      <x:c r="Q192" s="74" t="n">
        <x:v>46210.56247660879</x:v>
      </x:c>
      <x:c r="R192" s="19" t="n">
        <x:v>8902245</x:v>
      </x:c>
      <x:c r="S192" t="str">
        <x:v>40355b29bce094aef0e99358bdfd4011b92e72a54440a67760de4afae4883c33</x:v>
      </x:c>
      <x:c r="T192" t="str">
        <x:v>factor_report/gtja191_batch/gtja_097/ic_summary.csv</x:v>
      </x:c>
    </x:row>
    <x:row r="193">
      <x:c r="A193" s="50" t="n">
        <x:f>IF($P193="legacy_common_sample_8902245",1+COUNTIFS($C$5:$C$546,$C193,$P$5:$P$546,"legacy_common_sample_8902245",$I$5:$I$546,"&gt;"&amp;$I193),"")</x:f>
        <x:v>19</x:v>
      </x:c>
      <x:c r="B193" t="str">
        <x:v>gtja_156</x:v>
      </x:c>
      <x:c r="C193" s="50" t="n">
        <x:v>10</x:v>
      </x:c>
      <x:c r="D193" t="str">
        <x:f>IF(E193&gt;=0,"positive","negative")</x:f>
        <x:v>positive</x:v>
      </x:c>
      <x:c r="E193" s="30" t="n">
        <x:v>0.05501076023105661</x:v>
      </x:c>
      <x:c r="F193" s="30" t="n">
        <x:f>ABS(E193)</x:f>
        <x:v>0.05501076023105661</x:v>
      </x:c>
      <x:c r="G193" s="30" t="n">
        <x:v>0.10600342168223865</x:v>
      </x:c>
      <x:c r="H193" s="30" t="n">
        <x:v>0.5189526843384331</x:v>
      </x:c>
      <x:c r="I193" s="30" t="n">
        <x:f>ABS(H193)</x:f>
        <x:v>0.5189526843384331</x:v>
      </x:c>
      <x:c r="J193" s="30" t="n">
        <x:v>0.7026619789050729</x:v>
      </x:c>
      <x:c r="K193" s="30" t="n">
        <x:v>0.025070626689873605</x:v>
      </x:c>
      <x:c r="L193" s="30" t="n">
        <x:v>0.28056640196235827</x:v>
      </x:c>
      <x:c r="M193" s="30" t="n">
        <x:v>0.6052235057759919</x:v>
      </x:c>
      <x:c r="N193" s="19" t="n">
        <x:v>1991</x:v>
      </x:c>
      <x:c r="O193" t="b">
        <x:f>P193="legacy_common_sample_8902245"</x:f>
        <x:v>1</x:v>
      </x:c>
      <x:c r="P193" t="str">
        <x:v>legacy_common_sample_8902245</x:v>
      </x:c>
      <x:c r="Q193" s="74" t="n">
        <x:v>46211.50185851852</x:v>
      </x:c>
      <x:c r="R193" s="19" t="n">
        <x:v>8902245</x:v>
      </x:c>
      <x:c r="S193" t="str">
        <x:v>8f7e606554926462248cbcc654181861438ca768a0063f6b317223ede37d16fb</x:v>
      </x:c>
      <x:c r="T193" t="str">
        <x:v>factor_report/gtja191_batch/gtja_156/ic_summary.csv</x:v>
      </x:c>
    </x:row>
    <x:row r="194">
      <x:c r="A194" s="50" t="n">
        <x:f>IF($P194="legacy_common_sample_8902245",1+COUNTIFS($C$5:$C$546,$C194,$P$5:$P$546,"legacy_common_sample_8902245",$I$5:$I$546,"&gt;"&amp;$I194),"")</x:f>
        <x:v>20</x:v>
      </x:c>
      <x:c r="B194" t="str">
        <x:v>gtja_061</x:v>
      </x:c>
      <x:c r="C194" s="50" t="n">
        <x:v>10</x:v>
      </x:c>
      <x:c r="D194" t="str">
        <x:f>IF(E194&gt;=0,"positive","negative")</x:f>
        <x:v>positive</x:v>
      </x:c>
      <x:c r="E194" s="30" t="n">
        <x:v>0.0476882830147672</x:v>
      </x:c>
      <x:c r="F194" s="30" t="n">
        <x:f>ABS(E194)</x:f>
        <x:v>0.0476882830147672</x:v>
      </x:c>
      <x:c r="G194" s="30" t="n">
        <x:v>0.0920964784862326</x:v>
      </x:c>
      <x:c r="H194" s="30" t="n">
        <x:v>0.5178078879736543</x:v>
      </x:c>
      <x:c r="I194" s="30" t="n">
        <x:f>ABS(H194)</x:f>
        <x:v>0.5178078879736543</x:v>
      </x:c>
      <x:c r="J194" s="30" t="n">
        <x:v>0.7087827426810478</x:v>
      </x:c>
      <x:c r="K194" s="30" t="n">
        <x:v>0.02281897648035449</x:v>
      </x:c>
      <x:c r="L194" s="30" t="n">
        <x:v>0.2882731512751033</x:v>
      </x:c>
      <x:c r="M194" s="30" t="n">
        <x:v>0.6086286594761171</x:v>
      </x:c>
      <x:c r="N194" s="19" t="n">
        <x:v>1947</x:v>
      </x:c>
      <x:c r="O194" t="b">
        <x:f>P194="legacy_common_sample_8902245"</x:f>
        <x:v>1</x:v>
      </x:c>
      <x:c r="P194" t="str">
        <x:v>legacy_common_sample_8902245</x:v>
      </x:c>
      <x:c r="Q194" s="74" t="n">
        <x:v>46211.287648680554</x:v>
      </x:c>
      <x:c r="R194" s="19" t="n">
        <x:v>8902245</x:v>
      </x:c>
      <x:c r="S194" t="str">
        <x:v>8f7e606554926462248cbcc654181861438ca768a0063f6b317223ede37d16fb</x:v>
      </x:c>
      <x:c r="T194" t="str">
        <x:v>factor_report/gtja191_batch/gtja_061/ic_summary.csv</x:v>
      </x:c>
    </x:row>
    <x:row r="195">
      <x:c r="A195" s="50" t="n">
        <x:f>IF($P195="legacy_common_sample_8902245",1+COUNTIFS($C$5:$C$546,$C195,$P$5:$P$546,"legacy_common_sample_8902245",$I$5:$I$546,"&gt;"&amp;$I195),"")</x:f>
        <x:v>21</x:v>
      </x:c>
      <x:c r="B195" t="str">
        <x:v>gtja_118</x:v>
      </x:c>
      <x:c r="C195" s="50" t="n">
        <x:v>10</x:v>
      </x:c>
      <x:c r="D195" t="str">
        <x:f>IF(E195&gt;=0,"positive","negative")</x:f>
        <x:v>negative</x:v>
      </x:c>
      <x:c r="E195" s="30" t="n">
        <x:v>-0.0569573609939469</x:v>
      </x:c>
      <x:c r="F195" s="30" t="n">
        <x:f>ABS(E195)</x:f>
        <x:v>0.0569573609939469</x:v>
      </x:c>
      <x:c r="G195" s="30" t="n">
        <x:v>0.11069269906997063</x:v>
      </x:c>
      <x:c r="H195" s="30" t="n">
        <x:v>-0.5145539089072464</x:v>
      </x:c>
      <x:c r="I195" s="30" t="n">
        <x:f>ABS(H195)</x:f>
        <x:v>0.5145539089072464</x:v>
      </x:c>
      <x:c r="J195" s="30" t="n">
        <x:v>0.30135610246107486</x:v>
      </x:c>
      <x:c r="K195" s="30" t="n">
        <x:v>-0.02831518925244119</x:v>
      </x:c>
      <x:c r="L195" s="30" t="n">
        <x:v>-0.27817118083436365</x:v>
      </x:c>
      <x:c r="M195" s="30" t="n">
        <x:v>0.38824711200401807</x:v>
      </x:c>
      <x:c r="N195" s="19" t="n">
        <x:v>1991</x:v>
      </x:c>
      <x:c r="O195" t="b">
        <x:f>P195="legacy_common_sample_8902245"</x:f>
        <x:v>1</x:v>
      </x:c>
      <x:c r="P195" t="str">
        <x:v>legacy_common_sample_8902245</x:v>
      </x:c>
      <x:c r="Q195" s="74" t="n">
        <x:v>46210.66222452546</x:v>
      </x:c>
      <x:c r="R195" s="19" t="n">
        <x:v>8902245</x:v>
      </x:c>
      <x:c r="S195" t="str">
        <x:v>40355b29bce094aef0e99358bdfd4011b92e72a54440a67760de4afae4883c33</x:v>
      </x:c>
      <x:c r="T195" t="str">
        <x:v>factor_report/gtja191_batch/gtja_118/ic_summary.csv</x:v>
      </x:c>
    </x:row>
    <x:row r="196">
      <x:c r="A196" s="50" t="n">
        <x:f>IF($P196="legacy_common_sample_8902245",1+COUNTIFS($C$5:$C$546,$C196,$P$5:$P$546,"legacy_common_sample_8902245",$I$5:$I$546,"&gt;"&amp;$I196),"")</x:f>
        <x:v>22</x:v>
      </x:c>
      <x:c r="B196" t="str">
        <x:v>gtja_100</x:v>
      </x:c>
      <x:c r="C196" s="50" t="n">
        <x:v>10</x:v>
      </x:c>
      <x:c r="D196" t="str">
        <x:f>IF(E196&gt;=0,"positive","negative")</x:f>
        <x:v>negative</x:v>
      </x:c>
      <x:c r="E196" s="30" t="n">
        <x:v>-0.05734235822146127</x:v>
      </x:c>
      <x:c r="F196" s="30" t="n">
        <x:f>ABS(E196)</x:f>
        <x:v>0.05734235822146127</x:v>
      </x:c>
      <x:c r="G196" s="30" t="n">
        <x:v>0.11369962468884873</x:v>
      </x:c>
      <x:c r="H196" s="30" t="n">
        <x:v>-0.5043319921097789</x:v>
      </x:c>
      <x:c r="I196" s="30" t="n">
        <x:f>ABS(H196)</x:f>
        <x:v>0.5043319921097789</x:v>
      </x:c>
      <x:c r="J196" s="30" t="n">
        <x:v>0.2933199397287795</x:v>
      </x:c>
      <x:c r="K196" s="30" t="n">
        <x:v>-0.027055506842539476</x:v>
      </x:c>
      <x:c r="L196" s="30" t="n">
        <x:v>-0.37765348154942463</x:v>
      </x:c>
      <x:c r="M196" s="30" t="n">
        <x:v>0.33952787543947766</x:v>
      </x:c>
      <x:c r="N196" s="19" t="n">
        <x:v>1991</x:v>
      </x:c>
      <x:c r="O196" t="b">
        <x:f>P196="legacy_common_sample_8902245"</x:f>
        <x:v>1</x:v>
      </x:c>
      <x:c r="P196" t="str">
        <x:v>legacy_common_sample_8902245</x:v>
      </x:c>
      <x:c r="Q196" s="74" t="n">
        <x:v>46210.57471123843</x:v>
      </x:c>
      <x:c r="R196" s="19" t="n">
        <x:v>8902245</x:v>
      </x:c>
      <x:c r="S196" t="str">
        <x:v>40355b29bce094aef0e99358bdfd4011b92e72a54440a67760de4afae4883c33</x:v>
      </x:c>
      <x:c r="T196" t="str">
        <x:v>factor_report/gtja191_batch/gtja_100/ic_summary.csv</x:v>
      </x:c>
    </x:row>
    <x:row r="197">
      <x:c r="A197" s="50" t="n">
        <x:f>IF($P197="legacy_common_sample_8902245",1+COUNTIFS($C$5:$C$546,$C197,$P$5:$P$546,"legacy_common_sample_8902245",$I$5:$I$546,"&gt;"&amp;$I197),"")</x:f>
        <x:v>23</x:v>
      </x:c>
      <x:c r="B197" t="str">
        <x:v>gtja_132</x:v>
      </x:c>
      <x:c r="C197" s="50" t="n">
        <x:v>10</x:v>
      </x:c>
      <x:c r="D197" t="str">
        <x:f>IF(E197&gt;=0,"positive","negative")</x:f>
        <x:v>negative</x:v>
      </x:c>
      <x:c r="E197" s="30" t="n">
        <x:v>-0.07790170414028826</x:v>
      </x:c>
      <x:c r="F197" s="30" t="n">
        <x:f>ABS(E197)</x:f>
        <x:v>0.07790170414028826</x:v>
      </x:c>
      <x:c r="G197" s="30" t="n">
        <x:v>0.15629782605035936</x:v>
      </x:c>
      <x:c r="H197" s="30" t="n">
        <x:v>-0.498418347259598</x:v>
      </x:c>
      <x:c r="I197" s="30" t="n">
        <x:f>ABS(H197)</x:f>
        <x:v>0.498418347259598</x:v>
      </x:c>
      <x:c r="J197" s="30" t="n">
        <x:v>0.30135610246107486</x:v>
      </x:c>
      <x:c r="K197" s="30" t="n">
        <x:v>-0.020876724380566865</x:v>
      </x:c>
      <x:c r="L197" s="30" t="n">
        <x:v>-0.20861109736453284</x:v>
      </x:c>
      <x:c r="M197" s="30" t="n">
        <x:v>0.3992968357609242</x:v>
      </x:c>
      <x:c r="N197" s="19" t="n">
        <x:v>1991</x:v>
      </x:c>
      <x:c r="O197" t="b">
        <x:f>P197="legacy_common_sample_8902245"</x:f>
        <x:v>1</x:v>
      </x:c>
      <x:c r="P197" t="str">
        <x:v>legacy_common_sample_8902245</x:v>
      </x:c>
      <x:c r="Q197" s="74" t="n">
        <x:v>46210.73378372685</x:v>
      </x:c>
      <x:c r="R197" s="19" t="n">
        <x:v>8902245</x:v>
      </x:c>
      <x:c r="S197" t="str">
        <x:v>40355b29bce094aef0e99358bdfd4011b92e72a54440a67760de4afae4883c33</x:v>
      </x:c>
      <x:c r="T197" t="str">
        <x:v>factor_report/gtja191_batch/gtja_132/ic_summary.csv</x:v>
      </x:c>
    </x:row>
    <x:row r="198">
      <x:c r="A198" s="50" t="n">
        <x:f>IF($P198="legacy_common_sample_8902245",1+COUNTIFS($C$5:$C$546,$C198,$P$5:$P$546,"legacy_common_sample_8902245",$I$5:$I$546,"&gt;"&amp;$I198),"")</x:f>
        <x:v>24</x:v>
      </x:c>
      <x:c r="B198" t="str">
        <x:v>gtja_159</x:v>
      </x:c>
      <x:c r="C198" s="50" t="n">
        <x:v>10</x:v>
      </x:c>
      <x:c r="D198" t="str">
        <x:f>IF(E198&gt;=0,"positive","negative")</x:f>
        <x:v>negative</x:v>
      </x:c>
      <x:c r="E198" s="30" t="n">
        <x:v>-0.08558369624505881</x:v>
      </x:c>
      <x:c r="F198" s="30" t="n">
        <x:f>ABS(E198)</x:f>
        <x:v>0.08558369624505881</x:v>
      </x:c>
      <x:c r="G198" s="30" t="n">
        <x:v>0.17934245882606162</x:v>
      </x:c>
      <x:c r="H198" s="30" t="n">
        <x:v>-0.4772082238933929</x:v>
      </x:c>
      <x:c r="I198" s="30" t="n">
        <x:f>ABS(H198)</x:f>
        <x:v>0.4772082238933929</x:v>
      </x:c>
      <x:c r="J198" s="30" t="n">
        <x:v>0.3068809643395279</x:v>
      </x:c>
      <x:c r="K198" s="30" t="n">
        <x:v>-0.01992487081315758</x:v>
      </x:c>
      <x:c r="L198" s="30" t="n">
        <x:v>-0.1380279387759446</x:v>
      </x:c>
      <x:c r="M198" s="30" t="n">
        <x:v>0.44701155198392767</x:v>
      </x:c>
      <x:c r="N198" s="19" t="n">
        <x:v>1991</x:v>
      </x:c>
      <x:c r="O198" t="b">
        <x:f>P198="legacy_common_sample_8902245"</x:f>
        <x:v>1</x:v>
      </x:c>
      <x:c r="P198" t="str">
        <x:v>legacy_common_sample_8902245</x:v>
      </x:c>
      <x:c r="Q198" s="74" t="n">
        <x:v>46210.85484907407</x:v>
      </x:c>
      <x:c r="R198" s="19" t="n">
        <x:v>8902245</x:v>
      </x:c>
      <x:c r="S198" t="str">
        <x:v>40355b29bce094aef0e99358bdfd4011b92e72a54440a67760de4afae4883c33</x:v>
      </x:c>
      <x:c r="T198" t="str">
        <x:v>factor_report/gtja191_batch/gtja_159/ic_summary.csv</x:v>
      </x:c>
    </x:row>
    <x:row r="199">
      <x:c r="A199" s="50" t="n">
        <x:f>IF($P199="legacy_common_sample_8902245",1+COUNTIFS($C$5:$C$546,$C199,$P$5:$P$546,"legacy_common_sample_8902245",$I$5:$I$546,"&gt;"&amp;$I199),"")</x:f>
        <x:v>25</x:v>
      </x:c>
      <x:c r="B199" t="str">
        <x:v>gtja_158</x:v>
      </x:c>
      <x:c r="C199" s="50" t="n">
        <x:v>10</x:v>
      </x:c>
      <x:c r="D199" t="str">
        <x:f>IF(E199&gt;=0,"positive","negative")</x:f>
        <x:v>negative</x:v>
      </x:c>
      <x:c r="E199" s="30" t="n">
        <x:v>-0.06798036351326307</x:v>
      </x:c>
      <x:c r="F199" s="30" t="n">
        <x:f>ABS(E199)</x:f>
        <x:v>0.06798036351326307</x:v>
      </x:c>
      <x:c r="G199" s="30" t="n">
        <x:v>0.1425731170958223</x:v>
      </x:c>
      <x:c r="H199" s="30" t="n">
        <x:v>-0.4768105299091833</x:v>
      </x:c>
      <x:c r="I199" s="30" t="n">
        <x:f>ABS(H199)</x:f>
        <x:v>0.4768105299091833</x:v>
      </x:c>
      <x:c r="J199" s="30" t="n">
        <x:v>0.3124058262179809</x:v>
      </x:c>
      <x:c r="K199" s="30" t="n">
        <x:v>-0.03655695590855129</x:v>
      </x:c>
      <x:c r="L199" s="30" t="n">
        <x:v>-0.3128697996535851</x:v>
      </x:c>
      <x:c r="M199" s="30" t="n">
        <x:v>0.3756906077348066</x:v>
      </x:c>
      <x:c r="N199" s="19" t="n">
        <x:v>1991</x:v>
      </x:c>
      <x:c r="O199" t="b">
        <x:f>P199="legacy_common_sample_8902245"</x:f>
        <x:v>1</x:v>
      </x:c>
      <x:c r="P199" t="str">
        <x:v>legacy_common_sample_8902245</x:v>
      </x:c>
      <x:c r="Q199" s="74" t="n">
        <x:v>46210.85092011574</x:v>
      </x:c>
      <x:c r="R199" s="19" t="n">
        <x:v>8902245</x:v>
      </x:c>
      <x:c r="S199" t="str">
        <x:v>40355b29bce094aef0e99358bdfd4011b92e72a54440a67760de4afae4883c33</x:v>
      </x:c>
      <x:c r="T199" t="str">
        <x:v>factor_report/gtja191_batch/gtja_158/ic_summary.csv</x:v>
      </x:c>
    </x:row>
    <x:row r="200">
      <x:c r="A200" s="50" t="n">
        <x:f>IF($P200="legacy_common_sample_8902245",1+COUNTIFS($C$5:$C$546,$C200,$P$5:$P$546,"legacy_common_sample_8902245",$I$5:$I$546,"&gt;"&amp;$I200),"")</x:f>
        <x:v>26</x:v>
      </x:c>
      <x:c r="B200" t="str">
        <x:v>gtja_141</x:v>
      </x:c>
      <x:c r="C200" s="50" t="n">
        <x:v>10</x:v>
      </x:c>
      <x:c r="D200" t="str">
        <x:f>IF(E200&gt;=0,"positive","negative")</x:f>
        <x:v>positive</x:v>
      </x:c>
      <x:c r="E200" s="30" t="n">
        <x:v>0.0187110845344238</x:v>
      </x:c>
      <x:c r="F200" s="30" t="n">
        <x:f>ABS(E200)</x:f>
        <x:v>0.0187110845344238</x:v>
      </x:c>
      <x:c r="G200" s="30" t="n">
        <x:v>0.039497246899380695</x:v>
      </x:c>
      <x:c r="H200" s="30" t="n">
        <x:v>0.4737313611272786</x:v>
      </x:c>
      <x:c r="I200" s="30" t="n">
        <x:f>ABS(H200)</x:f>
        <x:v>0.4737313611272786</x:v>
      </x:c>
      <x:c r="J200" s="30" t="n">
        <x:v>0.67754897036665</x:v>
      </x:c>
      <x:c r="K200" s="30" t="n">
        <x:v>0.012490331886616697</x:v>
      </x:c>
      <x:c r="L200" s="30" t="n">
        <x:v>0.3560423718068322</x:v>
      </x:c>
      <x:c r="M200" s="30" t="n">
        <x:v>0.6433952787543947</x:v>
      </x:c>
      <x:c r="N200" s="19" t="n">
        <x:v>1991</x:v>
      </x:c>
      <x:c r="O200" t="b">
        <x:f>P200="legacy_common_sample_8902245"</x:f>
        <x:v>1</x:v>
      </x:c>
      <x:c r="P200" t="str">
        <x:v>legacy_common_sample_8902245</x:v>
      </x:c>
      <x:c r="Q200" s="74" t="n">
        <x:v>46211.443886967594</x:v>
      </x:c>
      <x:c r="R200" s="19" t="n">
        <x:v>8902245</x:v>
      </x:c>
      <x:c r="S200" t="str">
        <x:v>8f7e606554926462248cbcc654181861438ca768a0063f6b317223ede37d16fb</x:v>
      </x:c>
      <x:c r="T200" t="str">
        <x:v>factor_report/gtja191_batch/gtja_141/ic_summary.csv</x:v>
      </x:c>
    </x:row>
    <x:row r="201">
      <x:c r="A201" s="50" t="n">
        <x:f>IF($P201="legacy_common_sample_8902245",1+COUNTIFS($C$5:$C$546,$C201,$P$5:$P$546,"legacy_common_sample_8902245",$I$5:$I$546,"&gt;"&amp;$I201),"")</x:f>
        <x:v>27</x:v>
      </x:c>
      <x:c r="B201" t="str">
        <x:v>gtja_041</x:v>
      </x:c>
      <x:c r="C201" s="50" t="n">
        <x:v>10</x:v>
      </x:c>
      <x:c r="D201" t="str">
        <x:f>IF(E201&gt;=0,"positive","negative")</x:f>
        <x:v>positive</x:v>
      </x:c>
      <x:c r="E201" s="30" t="n">
        <x:v>0.06323420874741587</x:v>
      </x:c>
      <x:c r="F201" s="30" t="n">
        <x:f>ABS(E201)</x:f>
        <x:v>0.06323420874741587</x:v>
      </x:c>
      <x:c r="G201" s="30" t="n">
        <x:v>0.13706596470219592</x:v>
      </x:c>
      <x:c r="H201" s="30" t="n">
        <x:v>0.4613414342853474</x:v>
      </x:c>
      <x:c r="I201" s="30" t="n">
        <x:f>ABS(H201)</x:f>
        <x:v>0.4613414342853474</x:v>
      </x:c>
      <x:c r="J201" s="30" t="n">
        <x:v>0.676544450025113</x:v>
      </x:c>
      <x:c r="K201" s="30" t="n">
        <x:v>0.031138918476144552</x:v>
      </x:c>
      <x:c r="L201" s="30" t="n">
        <x:v>0.2580175727291201</x:v>
      </x:c>
      <x:c r="M201" s="30" t="n">
        <x:v>0.6082370668006027</x:v>
      </x:c>
      <x:c r="N201" s="19" t="n">
        <x:v>1991</x:v>
      </x:c>
      <x:c r="O201" t="b">
        <x:f>P201="legacy_common_sample_8902245"</x:f>
        <x:v>1</x:v>
      </x:c>
      <x:c r="P201" t="str">
        <x:v>legacy_common_sample_8902245</x:v>
      </x:c>
      <x:c r="Q201" s="74" t="n">
        <x:v>46211.24883207176</x:v>
      </x:c>
      <x:c r="R201" s="19" t="n">
        <x:v>8902245</x:v>
      </x:c>
      <x:c r="S201" t="str">
        <x:v>8f7e606554926462248cbcc654181861438ca768a0063f6b317223ede37d16fb</x:v>
      </x:c>
      <x:c r="T201" t="str">
        <x:v>factor_report/gtja191_batch/gtja_041/ic_summary.csv</x:v>
      </x:c>
    </x:row>
    <x:row r="202">
      <x:c r="A202" s="50" t="n">
        <x:f>IF($P202="legacy_common_sample_8902245",1+COUNTIFS($C$5:$C$546,$C202,$P$5:$P$546,"legacy_common_sample_8902245",$I$5:$I$546,"&gt;"&amp;$I202),"")</x:f>
        <x:v>28</x:v>
      </x:c>
      <x:c r="B202" t="str">
        <x:v>gtja_094</x:v>
      </x:c>
      <x:c r="C202" s="50" t="n">
        <x:v>10</x:v>
      </x:c>
      <x:c r="D202" t="str">
        <x:f>IF(E202&gt;=0,"positive","negative")</x:f>
        <x:v>negative</x:v>
      </x:c>
      <x:c r="E202" s="30" t="n">
        <x:v>-0.04507588483173755</x:v>
      </x:c>
      <x:c r="F202" s="30" t="n">
        <x:f>ABS(E202)</x:f>
        <x:v>0.04507588483173755</x:v>
      </x:c>
      <x:c r="G202" s="30" t="n">
        <x:v>0.09816873023586732</x:v>
      </x:c>
      <x:c r="H202" s="30" t="n">
        <x:v>-0.4591674428653091</x:v>
      </x:c>
      <x:c r="I202" s="30" t="n">
        <x:f>ABS(H202)</x:f>
        <x:v>0.4591674428653091</x:v>
      </x:c>
      <x:c r="J202" s="30" t="n">
        <x:v>0.3174284279256655</x:v>
      </x:c>
      <x:c r="K202" s="30" t="n">
        <x:v>-0.019840213945172033</x:v>
      </x:c>
      <x:c r="L202" s="30" t="n">
        <x:v>-0.29975605182832465</x:v>
      </x:c>
      <x:c r="M202" s="30" t="n">
        <x:v>0.3656454043194375</x:v>
      </x:c>
      <x:c r="N202" s="19" t="n">
        <x:v>1991</x:v>
      </x:c>
      <x:c r="O202" t="b">
        <x:f>P202="legacy_common_sample_8902245"</x:f>
        <x:v>1</x:v>
      </x:c>
      <x:c r="P202" t="str">
        <x:v>legacy_common_sample_8902245</x:v>
      </x:c>
      <x:c r="Q202" s="74" t="n">
        <x:v>46210.54834915509</x:v>
      </x:c>
      <x:c r="R202" s="19" t="n">
        <x:v>8902245</x:v>
      </x:c>
      <x:c r="S202" t="str">
        <x:v>40355b29bce094aef0e99358bdfd4011b92e72a54440a67760de4afae4883c33</x:v>
      </x:c>
      <x:c r="T202" t="str">
        <x:v>factor_report/gtja191_batch/gtja_094/ic_summary.csv</x:v>
      </x:c>
    </x:row>
    <x:row r="203">
      <x:c r="A203" s="50" t="n">
        <x:f>IF($P203="legacy_common_sample_8902245",1+COUNTIFS($C$5:$C$546,$C203,$P$5:$P$546,"legacy_common_sample_8902245",$I$5:$I$546,"&gt;"&amp;$I203),"")</x:f>
        <x:v>29</x:v>
      </x:c>
      <x:c r="B203" t="str">
        <x:v>gtja_139</x:v>
      </x:c>
      <x:c r="C203" s="50" t="n">
        <x:v>10</x:v>
      </x:c>
      <x:c r="D203" t="str">
        <x:f>IF(E203&gt;=0,"positive","negative")</x:f>
        <x:v>positive</x:v>
      </x:c>
      <x:c r="E203" s="30" t="n">
        <x:v>0.033631748401149325</x:v>
      </x:c>
      <x:c r="F203" s="30" t="n">
        <x:f>ABS(E203)</x:f>
        <x:v>0.033631748401149325</x:v>
      </x:c>
      <x:c r="G203" s="30" t="n">
        <x:v>0.07414383776056378</x:v>
      </x:c>
      <x:c r="H203" s="30" t="n">
        <x:v>0.45360139718904124</x:v>
      </x:c>
      <x:c r="I203" s="30" t="n">
        <x:f>ABS(H203)</x:f>
        <x:v>0.45360139718904124</x:v>
      </x:c>
      <x:c r="J203" s="30" t="n">
        <x:v>0.6785534907081868</x:v>
      </x:c>
      <x:c r="K203" s="30" t="n">
        <x:v>0.019617957302175384</x:v>
      </x:c>
      <x:c r="L203" s="30" t="n">
        <x:v>0.309303643943849</x:v>
      </x:c>
      <x:c r="M203" s="30" t="n">
        <x:v>0.6217980914113511</x:v>
      </x:c>
      <x:c r="N203" s="19" t="n">
        <x:v>1991</x:v>
      </x:c>
      <x:c r="O203" t="b">
        <x:f>P203="legacy_common_sample_8902245"</x:f>
        <x:v>1</x:v>
      </x:c>
      <x:c r="P203" t="str">
        <x:v>legacy_common_sample_8902245</x:v>
      </x:c>
      <x:c r="Q203" s="74" t="n">
        <x:v>46211.435147662036</x:v>
      </x:c>
      <x:c r="R203" s="19" t="n">
        <x:v>8902245</x:v>
      </x:c>
      <x:c r="S203" t="str">
        <x:v>8f7e606554926462248cbcc654181861438ca768a0063f6b317223ede37d16fb</x:v>
      </x:c>
      <x:c r="T203" t="str">
        <x:v>factor_report/gtja191_batch/gtja_139/ic_summary.csv</x:v>
      </x:c>
    </x:row>
    <x:row r="204">
      <x:c r="A204" s="50" t="n">
        <x:f>IF($P204="legacy_common_sample_8902245",1+COUNTIFS($C$5:$C$546,$C204,$P$5:$P$546,"legacy_common_sample_8902245",$I$5:$I$546,"&gt;"&amp;$I204),"")</x:f>
        <x:v>30</x:v>
      </x:c>
      <x:c r="B204" t="str">
        <x:v>gtja_059</x:v>
      </x:c>
      <x:c r="C204" s="50" t="n">
        <x:v>10</x:v>
      </x:c>
      <x:c r="D204" t="str">
        <x:f>IF(E204&gt;=0,"positive","negative")</x:f>
        <x:v>negative</x:v>
      </x:c>
      <x:c r="E204" s="30" t="n">
        <x:v>-0.05652192099592995</x:v>
      </x:c>
      <x:c r="F204" s="30" t="n">
        <x:f>ABS(E204)</x:f>
        <x:v>0.05652192099592995</x:v>
      </x:c>
      <x:c r="G204" s="30" t="n">
        <x:v>0.12629519790066987</x:v>
      </x:c>
      <x:c r="H204" s="30" t="n">
        <x:v>-0.4475381640431331</x:v>
      </x:c>
      <x:c r="I204" s="30" t="n">
        <x:f>ABS(H204)</x:f>
        <x:v>0.4475381640431331</x:v>
      </x:c>
      <x:c r="J204" s="30" t="n">
        <x:v>0.32847815168257155</x:v>
      </x:c>
      <x:c r="K204" s="30" t="n">
        <x:v>-0.024980424792102687</x:v>
      </x:c>
      <x:c r="L204" s="30" t="n">
        <x:v>-0.30081828238145747</x:v>
      </x:c>
      <x:c r="M204" s="30" t="n">
        <x:v>0.3832245102963335</x:v>
      </x:c>
      <x:c r="N204" s="19" t="n">
        <x:v>1991</x:v>
      </x:c>
      <x:c r="O204" t="b">
        <x:f>P204="legacy_common_sample_8902245"</x:f>
        <x:v>1</x:v>
      </x:c>
      <x:c r="P204" t="str">
        <x:v>legacy_common_sample_8902245</x:v>
      </x:c>
      <x:c r="Q204" s="74" t="n">
        <x:v>46210.36786096065</x:v>
      </x:c>
      <x:c r="R204" s="19" t="n">
        <x:v>8902245</x:v>
      </x:c>
      <x:c r="S204" t="str">
        <x:v>40355b29bce094aef0e99358bdfd4011b92e72a54440a67760de4afae4883c33</x:v>
      </x:c>
      <x:c r="T204" t="str">
        <x:v>factor_report/gtja191_batch/gtja_059/ic_summary.csv</x:v>
      </x:c>
    </x:row>
    <x:row r="205">
      <x:c r="A205" s="50" t="n">
        <x:f>IF($P205="legacy_common_sample_8902245",1+COUNTIFS($C$5:$C$546,$C205,$P$5:$P$546,"legacy_common_sample_8902245",$I$5:$I$546,"&gt;"&amp;$I205),"")</x:f>
        <x:v>31</x:v>
      </x:c>
      <x:c r="B205" t="str">
        <x:v>gtja_001</x:v>
      </x:c>
      <x:c r="C205" s="50" t="n">
        <x:v>10</x:v>
      </x:c>
      <x:c r="D205" t="str">
        <x:f>IF(E205&gt;=0,"positive","negative")</x:f>
        <x:v>positive</x:v>
      </x:c>
      <x:c r="E205" s="30" t="n">
        <x:v>0.02543854179141846</x:v>
      </x:c>
      <x:c r="F205" s="30" t="n">
        <x:f>ABS(E205)</x:f>
        <x:v>0.02543854179141846</x:v>
      </x:c>
      <x:c r="G205" s="30" t="n">
        <x:v>0.05750669907208947</x:v>
      </x:c>
      <x:c r="H205" s="30" t="n">
        <x:v>0.44235788528792297</x:v>
      </x:c>
      <x:c r="I205" s="30" t="n">
        <x:f>ABS(H205)</x:f>
        <x:v>0.44235788528792297</x:v>
      </x:c>
      <x:c r="J205" s="30" t="n">
        <x:v>0.6695128076343546</x:v>
      </x:c>
      <x:c r="K205" s="30" t="n">
        <x:v>0.008848207511136854</x:v>
      </x:c>
      <x:c r="L205" s="30" t="n">
        <x:v>0.18077516968268037</x:v>
      </x:c>
      <x:c r="M205" s="30" t="n">
        <x:v>0.5650426921145153</x:v>
      </x:c>
      <x:c r="N205" s="19" t="n">
        <x:v>1991</x:v>
      </x:c>
      <x:c r="O205" t="b">
        <x:f>P205="legacy_common_sample_8902245"</x:f>
        <x:v>1</x:v>
      </x:c>
      <x:c r="P205" t="str">
        <x:v>legacy_common_sample_8902245</x:v>
      </x:c>
      <x:c r="Q205" s="74" t="n">
        <x:v>46211.15197799769</x:v>
      </x:c>
      <x:c r="R205" s="19" t="n">
        <x:v>8902245</x:v>
      </x:c>
      <x:c r="S205" t="str">
        <x:v>8f7e606554926462248cbcc654181861438ca768a0063f6b317223ede37d16fb</x:v>
      </x:c>
      <x:c r="T205" t="str">
        <x:v>factor_report/gtja191_batch/gtja_001/ic_summary.csv</x:v>
      </x:c>
    </x:row>
    <x:row r="206">
      <x:c r="A206" s="50" t="n">
        <x:f>IF($P206="legacy_common_sample_8902245",1+COUNTIFS($C$5:$C$546,$C206,$P$5:$P$546,"legacy_common_sample_8902245",$I$5:$I$546,"&gt;"&amp;$I206),"")</x:f>
        <x:v>32</x:v>
      </x:c>
      <x:c r="B206" t="str">
        <x:v>gtja_069</x:v>
      </x:c>
      <x:c r="C206" s="50" t="n">
        <x:v>10</x:v>
      </x:c>
      <x:c r="D206" t="str">
        <x:f>IF(E206&gt;=0,"positive","negative")</x:f>
        <x:v>negative</x:v>
      </x:c>
      <x:c r="E206" s="30" t="n">
        <x:v>-0.04872778130626614</x:v>
      </x:c>
      <x:c r="F206" s="30" t="n">
        <x:f>ABS(E206)</x:f>
        <x:v>0.04872778130626614</x:v>
      </x:c>
      <x:c r="G206" s="30" t="n">
        <x:v>0.11155156998706732</x:v>
      </x:c>
      <x:c r="H206" s="30" t="n">
        <x:v>-0.4368184267770985</x:v>
      </x:c>
      <x:c r="I206" s="30" t="n">
        <x:f>ABS(H206)</x:f>
        <x:v>0.4368184267770985</x:v>
      </x:c>
      <x:c r="J206" s="30" t="n">
        <x:v>0.3304871923656454</x:v>
      </x:c>
      <x:c r="K206" s="30" t="n">
        <x:v>-0.018027459117639106</x:v>
      </x:c>
      <x:c r="L206" s="30" t="n">
        <x:v>-0.1851545730559729</x:v>
      </x:c>
      <x:c r="M206" s="30" t="n">
        <x:v>0.43144148669010546</x:v>
      </x:c>
      <x:c r="N206" s="19" t="n">
        <x:v>1991</x:v>
      </x:c>
      <x:c r="O206" t="b">
        <x:f>P206="legacy_common_sample_8902245"</x:f>
        <x:v>1</x:v>
      </x:c>
      <x:c r="P206" t="str">
        <x:v>legacy_common_sample_8902245</x:v>
      </x:c>
      <x:c r="Q206" s="74" t="n">
        <x:v>46210.41218387731</x:v>
      </x:c>
      <x:c r="R206" s="19" t="n">
        <x:v>8902245</x:v>
      </x:c>
      <x:c r="S206" t="str">
        <x:v>40355b29bce094aef0e99358bdfd4011b92e72a54440a67760de4afae4883c33</x:v>
      </x:c>
      <x:c r="T206" t="str">
        <x:v>factor_report/gtja191_batch/gtja_069/ic_summary.csv</x:v>
      </x:c>
    </x:row>
    <x:row r="207">
      <x:c r="A207" s="50" t="n">
        <x:f>IF($P207="legacy_common_sample_8902245",1+COUNTIFS($C$5:$C$546,$C207,$P$5:$P$546,"legacy_common_sample_8902245",$I$5:$I$546,"&gt;"&amp;$I207),"")</x:f>
        <x:v>33</x:v>
      </x:c>
      <x:c r="B207" t="str">
        <x:v>gtja_088</x:v>
      </x:c>
      <x:c r="C207" s="50" t="n">
        <x:v>10</x:v>
      </x:c>
      <x:c r="D207" t="str">
        <x:f>IF(E207&gt;=0,"positive","negative")</x:f>
        <x:v>negative</x:v>
      </x:c>
      <x:c r="E207" s="30" t="n">
        <x:v>-0.058667124438381554</x:v>
      </x:c>
      <x:c r="F207" s="30" t="n">
        <x:f>ABS(E207)</x:f>
        <x:v>0.058667124438381554</x:v>
      </x:c>
      <x:c r="G207" s="30" t="n">
        <x:v>0.13800065886726753</x:v>
      </x:c>
      <x:c r="H207" s="30" t="n">
        <x:v>-0.4251220604302263</x:v>
      </x:c>
      <x:c r="I207" s="30" t="n">
        <x:f>ABS(H207)</x:f>
        <x:v>0.4251220604302263</x:v>
      </x:c>
      <x:c r="J207" s="30" t="n">
        <x:v>0.34455047714716225</x:v>
      </x:c>
      <x:c r="K207" s="30" t="n">
        <x:v>-0.04304453947300464</x:v>
      </x:c>
      <x:c r="L207" s="30" t="n">
        <x:v>-0.34968850756269404</x:v>
      </x:c>
      <x:c r="M207" s="30" t="n">
        <x:v>0.3545956805625314</x:v>
      </x:c>
      <x:c r="N207" s="19" t="n">
        <x:v>1991</x:v>
      </x:c>
      <x:c r="O207" t="b">
        <x:f>P207="legacy_common_sample_8902245"</x:f>
        <x:v>1</x:v>
      </x:c>
      <x:c r="P207" t="str">
        <x:v>legacy_common_sample_8902245</x:v>
      </x:c>
      <x:c r="Q207" s="74" t="n">
        <x:v>46210.51801505787</x:v>
      </x:c>
      <x:c r="R207" s="19" t="n">
        <x:v>8902245</x:v>
      </x:c>
      <x:c r="S207" t="str">
        <x:v>40355b29bce094aef0e99358bdfd4011b92e72a54440a67760de4afae4883c33</x:v>
      </x:c>
      <x:c r="T207" t="str">
        <x:v>factor_report/gtja191_batch/gtja_088/ic_summary.csv</x:v>
      </x:c>
    </x:row>
    <x:row r="208">
      <x:c r="A208" s="50" t="n">
        <x:f>IF($P208="legacy_common_sample_8902245",1+COUNTIFS($C$5:$C$546,$C208,$P$5:$P$546,"legacy_common_sample_8902245",$I$5:$I$546,"&gt;"&amp;$I208),"")</x:f>
        <x:v>34</x:v>
      </x:c>
      <x:c r="B208" t="str">
        <x:v>gtja_167</x:v>
      </x:c>
      <x:c r="C208" s="50" t="n">
        <x:v>10</x:v>
      </x:c>
      <x:c r="D208" t="str">
        <x:f>IF(E208&gt;=0,"positive","negative")</x:f>
        <x:v>negative</x:v>
      </x:c>
      <x:c r="E208" s="30" t="n">
        <x:v>-0.07656174607108787</x:v>
      </x:c>
      <x:c r="F208" s="30" t="n">
        <x:f>ABS(E208)</x:f>
        <x:v>0.07656174607108787</x:v>
      </x:c>
      <x:c r="G208" s="30" t="n">
        <x:v>0.1806564724880464</x:v>
      </x:c>
      <x:c r="H208" s="30" t="n">
        <x:v>-0.4237974151529709</x:v>
      </x:c>
      <x:c r="I208" s="30" t="n">
        <x:f>ABS(H208)</x:f>
        <x:v>0.4237974151529709</x:v>
      </x:c>
      <x:c r="J208" s="30" t="n">
        <x:v>0.35760924158714213</x:v>
      </x:c>
      <x:c r="K208" s="30" t="n">
        <x:v>-0.027599714324323975</x:v>
      </x:c>
      <x:c r="L208" s="30" t="n">
        <x:v>-0.24740230400004312</x:v>
      </x:c>
      <x:c r="M208" s="30" t="n">
        <x:v>0.40281265695630336</x:v>
      </x:c>
      <x:c r="N208" s="19" t="n">
        <x:v>1991</x:v>
      </x:c>
      <x:c r="O208" t="b">
        <x:f>P208="legacy_common_sample_8902245"</x:f>
        <x:v>1</x:v>
      </x:c>
      <x:c r="P208" t="str">
        <x:v>legacy_common_sample_8902245</x:v>
      </x:c>
      <x:c r="Q208" s="74" t="n">
        <x:v>46210.888780636575</x:v>
      </x:c>
      <x:c r="R208" s="19" t="n">
        <x:v>8902245</x:v>
      </x:c>
      <x:c r="S208" t="str">
        <x:v>40355b29bce094aef0e99358bdfd4011b92e72a54440a67760de4afae4883c33</x:v>
      </x:c>
      <x:c r="T208" t="str">
        <x:v>factor_report/gtja191_batch/gtja_167/ic_summary.csv</x:v>
      </x:c>
    </x:row>
    <x:row r="209">
      <x:c r="A209" s="50" t="n">
        <x:f>IF($P209="legacy_common_sample_8902245",1+COUNTIFS($C$5:$C$546,$C209,$P$5:$P$546,"legacy_common_sample_8902245",$I$5:$I$546,"&gt;"&amp;$I209),"")</x:f>
        <x:v>35</x:v>
      </x:c>
      <x:c r="B209" t="str">
        <x:v>gtja_081</x:v>
      </x:c>
      <x:c r="C209" s="50" t="n">
        <x:v>10</x:v>
      </x:c>
      <x:c r="D209" t="str">
        <x:f>IF(E209&gt;=0,"positive","negative")</x:f>
        <x:v>negative</x:v>
      </x:c>
      <x:c r="E209" s="30" t="n">
        <x:v>-0.04996957504108294</x:v>
      </x:c>
      <x:c r="F209" s="30" t="n">
        <x:f>ABS(E209)</x:f>
        <x:v>0.04996957504108294</x:v>
      </x:c>
      <x:c r="G209" s="30" t="n">
        <x:v>0.11837507641887102</x:v>
      </x:c>
      <x:c r="H209" s="30" t="n">
        <x:v>-0.4221291892920538</x:v>
      </x:c>
      <x:c r="I209" s="30" t="n">
        <x:f>ABS(H209)</x:f>
        <x:v>0.4221291892920538</x:v>
      </x:c>
      <x:c r="J209" s="30" t="n">
        <x:v>0.316926167754897</x:v>
      </x:c>
      <x:c r="K209" s="30" t="n">
        <x:v>-0.023297164946461797</x:v>
      </x:c>
      <x:c r="L209" s="30" t="n">
        <x:v>-0.309044969335836</x:v>
      </x:c>
      <x:c r="M209" s="30" t="n">
        <x:v>0.35760924158714213</x:v>
      </x:c>
      <x:c r="N209" s="19" t="n">
        <x:v>1991</x:v>
      </x:c>
      <x:c r="O209" t="b">
        <x:f>P209="legacy_common_sample_8902245"</x:f>
        <x:v>1</x:v>
      </x:c>
      <x:c r="P209" t="str">
        <x:v>legacy_common_sample_8902245</x:v>
      </x:c>
      <x:c r="Q209" s="74" t="n">
        <x:v>46210.48091090278</x:v>
      </x:c>
      <x:c r="R209" s="19" t="n">
        <x:v>8902245</x:v>
      </x:c>
      <x:c r="S209" t="str">
        <x:v>40355b29bce094aef0e99358bdfd4011b92e72a54440a67760de4afae4883c33</x:v>
      </x:c>
      <x:c r="T209" t="str">
        <x:v>factor_report/gtja191_batch/gtja_081/ic_summary.csv</x:v>
      </x:c>
    </x:row>
    <x:row r="210">
      <x:c r="A210" s="50" t="n">
        <x:f>IF($P210="legacy_common_sample_8902245",1+COUNTIFS($C$5:$C$546,$C210,$P$5:$P$546,"legacy_common_sample_8902245",$I$5:$I$546,"&gt;"&amp;$I210),"")</x:f>
        <x:v>36</x:v>
      </x:c>
      <x:c r="B210" t="str">
        <x:v>gtja_084</x:v>
      </x:c>
      <x:c r="C210" s="50" t="n">
        <x:v>10</x:v>
      </x:c>
      <x:c r="D210" t="str">
        <x:f>IF(E210&gt;=0,"positive","negative")</x:f>
        <x:v>negative</x:v>
      </x:c>
      <x:c r="E210" s="30" t="n">
        <x:v>-0.04048932825227205</x:v>
      </x:c>
      <x:c r="F210" s="30" t="n">
        <x:f>ABS(E210)</x:f>
        <x:v>0.04048932825227205</x:v>
      </x:c>
      <x:c r="G210" s="30" t="n">
        <x:v>0.09624171891250878</x:v>
      </x:c>
      <x:c r="H210" s="30" t="n">
        <x:v>-0.4207045417495089</x:v>
      </x:c>
      <x:c r="I210" s="30" t="n">
        <x:f>ABS(H210)</x:f>
        <x:v>0.4207045417495089</x:v>
      </x:c>
      <x:c r="J210" s="30" t="n">
        <x:v>0.3324962330487192</x:v>
      </x:c>
      <x:c r="K210" s="30" t="n">
        <x:v>-0.01947001112328579</x:v>
      </x:c>
      <x:c r="L210" s="30" t="n">
        <x:v>-0.3017136243093935</x:v>
      </x:c>
      <x:c r="M210" s="30" t="n">
        <x:v>0.3761928679055751</x:v>
      </x:c>
      <x:c r="N210" s="19" t="n">
        <x:v>1991</x:v>
      </x:c>
      <x:c r="O210" t="b">
        <x:f>P210="legacy_common_sample_8902245"</x:f>
        <x:v>1</x:v>
      </x:c>
      <x:c r="P210" t="str">
        <x:v>legacy_common_sample_8902245</x:v>
      </x:c>
      <x:c r="Q210" s="74" t="n">
        <x:v>46210.493655</x:v>
      </x:c>
      <x:c r="R210" s="19" t="n">
        <x:v>8902245</x:v>
      </x:c>
      <x:c r="S210" t="str">
        <x:v>40355b29bce094aef0e99358bdfd4011b92e72a54440a67760de4afae4883c33</x:v>
      </x:c>
      <x:c r="T210" t="str">
        <x:v>factor_report/gtja191_batch/gtja_084/ic_summary.csv</x:v>
      </x:c>
    </x:row>
    <x:row r="211">
      <x:c r="A211" s="50" t="n">
        <x:f>IF($P211="legacy_common_sample_8902245",1+COUNTIFS($C$5:$C$546,$C211,$P$5:$P$546,"legacy_common_sample_8902245",$I$5:$I$546,"&gt;"&amp;$I211),"")</x:f>
        <x:v>37</x:v>
      </x:c>
      <x:c r="B211" t="str">
        <x:v>gtja_145</x:v>
      </x:c>
      <x:c r="C211" s="50" t="n">
        <x:v>10</x:v>
      </x:c>
      <x:c r="D211" t="str">
        <x:f>IF(E211&gt;=0,"positive","negative")</x:f>
        <x:v>negative</x:v>
      </x:c>
      <x:c r="E211" s="30" t="n">
        <x:v>-0.036305859771645285</x:v>
      </x:c>
      <x:c r="F211" s="30" t="n">
        <x:f>ABS(E211)</x:f>
        <x:v>0.036305859771645285</x:v>
      </x:c>
      <x:c r="G211" s="30" t="n">
        <x:v>0.08655993711277037</x:v>
      </x:c>
      <x:c r="H211" s="30" t="n">
        <x:v>-0.4194302928425881</x:v>
      </x:c>
      <x:c r="I211" s="30" t="n">
        <x:f>ABS(H211)</x:f>
        <x:v>0.4194302928425881</x:v>
      </x:c>
      <x:c r="J211" s="30" t="n">
        <x:v>0.3209442491210447</x:v>
      </x:c>
      <x:c r="K211" s="30" t="n">
        <x:v>-0.020223111854823048</x:v>
      </x:c>
      <x:c r="L211" s="30" t="n">
        <x:v>-0.27848154842076517</x:v>
      </x:c>
      <x:c r="M211" s="30" t="n">
        <x:v>0.389251632345555</x:v>
      </x:c>
      <x:c r="N211" s="19" t="n">
        <x:v>1991</x:v>
      </x:c>
      <x:c r="O211" t="b">
        <x:f>P211="legacy_common_sample_8902245"</x:f>
        <x:v>1</x:v>
      </x:c>
      <x:c r="P211" t="str">
        <x:v>legacy_common_sample_8902245</x:v>
      </x:c>
      <x:c r="Q211" s="74" t="n">
        <x:v>46210.79587657408</x:v>
      </x:c>
      <x:c r="R211" s="19" t="n">
        <x:v>8902245</x:v>
      </x:c>
      <x:c r="S211" t="str">
        <x:v>40355b29bce094aef0e99358bdfd4011b92e72a54440a67760de4afae4883c33</x:v>
      </x:c>
      <x:c r="T211" t="str">
        <x:v>factor_report/gtja191_batch/gtja_145/ic_summary.csv</x:v>
      </x:c>
    </x:row>
    <x:row r="212">
      <x:c r="A212" s="50" t="n">
        <x:f>IF($P212="legacy_common_sample_8902245",1+COUNTIFS($C$5:$C$546,$C212,$P$5:$P$546,"legacy_common_sample_8902245",$I$5:$I$546,"&gt;"&amp;$I212),"")</x:f>
        <x:v>38</x:v>
      </x:c>
      <x:c r="B212" t="str">
        <x:v>gtja_106</x:v>
      </x:c>
      <x:c r="C212" s="50" t="n">
        <x:v>10</x:v>
      </x:c>
      <x:c r="D212" t="str">
        <x:f>IF(E212&gt;=0,"positive","negative")</x:f>
        <x:v>negative</x:v>
      </x:c>
      <x:c r="E212" s="30" t="n">
        <x:v>-0.05564072753484768</x:v>
      </x:c>
      <x:c r="F212" s="30" t="n">
        <x:f>ABS(E212)</x:f>
        <x:v>0.05564072753484768</x:v>
      </x:c>
      <x:c r="G212" s="30" t="n">
        <x:v>0.13400703726279667</x:v>
      </x:c>
      <x:c r="H212" s="30" t="n">
        <x:v>-0.4152075045561416</x:v>
      </x:c>
      <x:c r="I212" s="30" t="n">
        <x:f>ABS(H212)</x:f>
        <x:v>0.4152075045561416</x:v>
      </x:c>
      <x:c r="J212" s="30" t="n">
        <x:v>0.33802109492717225</x:v>
      </x:c>
      <x:c r="K212" s="30" t="n">
        <x:v>-0.02134008016224203</x:v>
      </x:c>
      <x:c r="L212" s="30" t="n">
        <x:v>-0.2503869839462407</x:v>
      </x:c>
      <x:c r="M212" s="30" t="n">
        <x:v>0.40180813661476644</x:v>
      </x:c>
      <x:c r="N212" s="19" t="n">
        <x:v>1991</x:v>
      </x:c>
      <x:c r="O212" t="b">
        <x:f>P212="legacy_common_sample_8902245"</x:f>
        <x:v>1</x:v>
      </x:c>
      <x:c r="P212" t="str">
        <x:v>legacy_common_sample_8902245</x:v>
      </x:c>
      <x:c r="Q212" s="74" t="n">
        <x:v>46210.59962833333</x:v>
      </x:c>
      <x:c r="R212" s="19" t="n">
        <x:v>8902245</x:v>
      </x:c>
      <x:c r="S212" t="str">
        <x:v>40355b29bce094aef0e99358bdfd4011b92e72a54440a67760de4afae4883c33</x:v>
      </x:c>
      <x:c r="T212" t="str">
        <x:v>factor_report/gtja191_batch/gtja_106/ic_summary.csv</x:v>
      </x:c>
    </x:row>
    <x:row r="213">
      <x:c r="A213" s="50" t="n">
        <x:f>IF($P213="legacy_common_sample_8902245",1+COUNTIFS($C$5:$C$546,$C213,$P$5:$P$546,"legacy_common_sample_8902245",$I$5:$I$546,"&gt;"&amp;$I213),"")</x:f>
        <x:v>39</x:v>
      </x:c>
      <x:c r="B213" t="str">
        <x:v>gtja_157</x:v>
      </x:c>
      <x:c r="C213" s="50" t="n">
        <x:v>10</x:v>
      </x:c>
      <x:c r="D213" t="str">
        <x:f>IF(E213&gt;=0,"positive","negative")</x:f>
        <x:v>positive</x:v>
      </x:c>
      <x:c r="E213" s="30" t="n">
        <x:v>0.044669140138907784</x:v>
      </x:c>
      <x:c r="F213" s="30" t="n">
        <x:f>ABS(E213)</x:f>
        <x:v>0.044669140138907784</x:v>
      </x:c>
      <x:c r="G213" s="30" t="n">
        <x:v>0.1080889058868639</x:v>
      </x:c>
      <x:c r="H213" s="30" t="n">
        <x:v>0.4132629502759769</x:v>
      </x:c>
      <x:c r="I213" s="30" t="n">
        <x:f>ABS(H213)</x:f>
        <x:v>0.4132629502759769</x:v>
      </x:c>
      <x:c r="J213" s="30" t="n">
        <x:v>0.6700150678051231</x:v>
      </x:c>
      <x:c r="K213" s="30" t="n">
        <x:v>0.021337203703238782</x:v>
      </x:c>
      <x:c r="L213" s="30" t="n">
        <x:v>0.23279164556397836</x:v>
      </x:c>
      <x:c r="M213" s="30" t="n">
        <x:v>0.5981918633852336</x:v>
      </x:c>
      <x:c r="N213" s="19" t="n">
        <x:v>1991</x:v>
      </x:c>
      <x:c r="O213" t="b">
        <x:f>P213="legacy_common_sample_8902245"</x:f>
        <x:v>1</x:v>
      </x:c>
      <x:c r="P213" t="str">
        <x:v>legacy_common_sample_8902245</x:v>
      </x:c>
      <x:c r="Q213" s="74" t="n">
        <x:v>46211.50636057871</x:v>
      </x:c>
      <x:c r="R213" s="19" t="n">
        <x:v>8902245</x:v>
      </x:c>
      <x:c r="S213" t="str">
        <x:v>8f7e606554926462248cbcc654181861438ca768a0063f6b317223ede37d16fb</x:v>
      </x:c>
      <x:c r="T213" t="str">
        <x:v>factor_report/gtja191_batch/gtja_157/ic_summary.csv</x:v>
      </x:c>
    </x:row>
    <x:row r="214">
      <x:c r="A214" s="50" t="n">
        <x:f>IF($P214="legacy_common_sample_8902245",1+COUNTIFS($C$5:$C$546,$C214,$P$5:$P$546,"legacy_common_sample_8902245",$I$5:$I$546,"&gt;"&amp;$I214),"")</x:f>
        <x:v>40</x:v>
      </x:c>
      <x:c r="B214" t="str">
        <x:v>gtja_040</x:v>
      </x:c>
      <x:c r="C214" s="50" t="n">
        <x:v>10</x:v>
      </x:c>
      <x:c r="D214" t="str">
        <x:f>IF(E214&gt;=0,"positive","negative")</x:f>
        <x:v>negative</x:v>
      </x:c>
      <x:c r="E214" s="30" t="n">
        <x:v>-0.04229069341419118</x:v>
      </x:c>
      <x:c r="F214" s="30" t="n">
        <x:f>ABS(E214)</x:f>
        <x:v>0.04229069341419118</x:v>
      </x:c>
      <x:c r="G214" s="30" t="n">
        <x:v>0.10258293408074737</x:v>
      </x:c>
      <x:c r="H214" s="30" t="n">
        <x:v>-0.41225856711119596</x:v>
      </x:c>
      <x:c r="I214" s="30" t="n">
        <x:f>ABS(H214)</x:f>
        <x:v>0.41225856711119596</x:v>
      </x:c>
      <x:c r="J214" s="30" t="n">
        <x:v>0.34555499748869917</x:v>
      </x:c>
      <x:c r="K214" s="30" t="n">
        <x:v>-0.024001199448682814</x:v>
      </x:c>
      <x:c r="L214" s="30" t="n">
        <x:v>-0.26178095079103714</x:v>
      </x:c>
      <x:c r="M214" s="30" t="n">
        <x:v>0.3962832747363134</x:v>
      </x:c>
      <x:c r="N214" s="19" t="n">
        <x:v>1991</x:v>
      </x:c>
      <x:c r="O214" t="b">
        <x:f>P214="legacy_common_sample_8902245"</x:f>
        <x:v>1</x:v>
      </x:c>
      <x:c r="P214" t="str">
        <x:v>legacy_common_sample_8902245</x:v>
      </x:c>
      <x:c r="Q214" s="74" t="n">
        <x:v>46210.279919872686</x:v>
      </x:c>
      <x:c r="R214" s="19" t="n">
        <x:v>8902245</x:v>
      </x:c>
      <x:c r="S214" t="str">
        <x:v>40355b29bce094aef0e99358bdfd4011b92e72a54440a67760de4afae4883c33</x:v>
      </x:c>
      <x:c r="T214" t="str">
        <x:v>factor_report/gtja191_batch/gtja_040/ic_summary.csv</x:v>
      </x:c>
    </x:row>
    <x:row r="215">
      <x:c r="A215" s="50" t="n">
        <x:f>IF($P215="legacy_common_sample_8902245",1+COUNTIFS($C$5:$C$546,$C215,$P$5:$P$546,"legacy_common_sample_8902245",$I$5:$I$546,"&gt;"&amp;$I215),"")</x:f>
        <x:v>41</x:v>
      </x:c>
      <x:c r="B215" t="str">
        <x:v>gtja_055</x:v>
      </x:c>
      <x:c r="C215" s="50" t="n">
        <x:v>10</x:v>
      </x:c>
      <x:c r="D215" t="str">
        <x:f>IF(E215&gt;=0,"positive","negative")</x:f>
        <x:v>negative</x:v>
      </x:c>
      <x:c r="E215" s="30" t="n">
        <x:v>-0.0544410013552593</x:v>
      </x:c>
      <x:c r="F215" s="30" t="n">
        <x:f>ABS(E215)</x:f>
        <x:v>0.0544410013552593</x:v>
      </x:c>
      <x:c r="G215" s="30" t="n">
        <x:v>0.1334333382876157</x:v>
      </x:c>
      <x:c r="H215" s="30" t="n">
        <x:v>-0.4080014938838723</x:v>
      </x:c>
      <x:c r="I215" s="30" t="n">
        <x:f>ABS(H215)</x:f>
        <x:v>0.4080014938838723</x:v>
      </x:c>
      <x:c r="J215" s="30" t="n">
        <x:v>0.3214465092918132</x:v>
      </x:c>
      <x:c r="K215" s="30" t="n">
        <x:v>-0.020264489615112173</x:v>
      </x:c>
      <x:c r="L215" s="30" t="n">
        <x:v>-0.2420698906713931</x:v>
      </x:c>
      <x:c r="M215" s="30" t="n">
        <x:v>0.4083375188347564</x:v>
      </x:c>
      <x:c r="N215" s="19" t="n">
        <x:v>1991</x:v>
      </x:c>
      <x:c r="O215" t="b">
        <x:f>P215="legacy_common_sample_8902245"</x:f>
        <x:v>1</x:v>
      </x:c>
      <x:c r="P215" t="str">
        <x:v>legacy_common_sample_8902245</x:v>
      </x:c>
      <x:c r="Q215" s="74" t="n">
        <x:v>46210.34754746528</x:v>
      </x:c>
      <x:c r="R215" s="19" t="n">
        <x:v>8902245</x:v>
      </x:c>
      <x:c r="S215" t="str">
        <x:v>40355b29bce094aef0e99358bdfd4011b92e72a54440a67760de4afae4883c33</x:v>
      </x:c>
      <x:c r="T215" t="str">
        <x:v>factor_report/gtja191_batch/gtja_055/ic_summary.csv</x:v>
      </x:c>
    </x:row>
    <x:row r="216">
      <x:c r="A216" s="50" t="n">
        <x:f>IF($P216="legacy_common_sample_8902245",1+COUNTIFS($C$5:$C$546,$C216,$P$5:$P$546,"legacy_common_sample_8902245",$I$5:$I$546,"&gt;"&amp;$I216),"")</x:f>
        <x:v>42</x:v>
      </x:c>
      <x:c r="B216" t="str">
        <x:v>gtja_113</x:v>
      </x:c>
      <x:c r="C216" s="50" t="n">
        <x:v>10</x:v>
      </x:c>
      <x:c r="D216" t="str">
        <x:f>IF(E216&gt;=0,"positive","negative")</x:f>
        <x:v>positive</x:v>
      </x:c>
      <x:c r="E216" s="30" t="n">
        <x:v>0.022923565843053446</x:v>
      </x:c>
      <x:c r="F216" s="30" t="n">
        <x:f>ABS(E216)</x:f>
        <x:v>0.022923565843053446</x:v>
      </x:c>
      <x:c r="G216" s="30" t="n">
        <x:v>0.05654185175707284</x:v>
      </x:c>
      <x:c r="H216" s="30" t="n">
        <x:v>0.40542651382453054</x:v>
      </x:c>
      <x:c r="I216" s="30" t="n">
        <x:f>ABS(H216)</x:f>
        <x:v>0.40542651382453054</x:v>
      </x:c>
      <x:c r="J216" s="30" t="n">
        <x:v>0.6659969864389754</x:v>
      </x:c>
      <x:c r="K216" s="30" t="n">
        <x:v>0.010329781544707673</x:v>
      </x:c>
      <x:c r="L216" s="30" t="n">
        <x:v>0.2600827851709144</x:v>
      </x:c>
      <x:c r="M216" s="30" t="n">
        <x:v>0.6212958312405826</x:v>
      </x:c>
      <x:c r="N216" s="19" t="n">
        <x:v>1991</x:v>
      </x:c>
      <x:c r="O216" t="b">
        <x:f>P216="legacy_common_sample_8902245"</x:f>
        <x:v>1</x:v>
      </x:c>
      <x:c r="P216" t="str">
        <x:v>legacy_common_sample_8902245</x:v>
      </x:c>
      <x:c r="Q216" s="74" t="n">
        <x:v>46211.366626724535</x:v>
      </x:c>
      <x:c r="R216" s="19" t="n">
        <x:v>8902245</x:v>
      </x:c>
      <x:c r="S216" t="str">
        <x:v>8f7e606554926462248cbcc654181861438ca768a0063f6b317223ede37d16fb</x:v>
      </x:c>
      <x:c r="T216" t="str">
        <x:v>factor_report/gtja191_batch/gtja_113/ic_summary.csv</x:v>
      </x:c>
    </x:row>
    <x:row r="217">
      <x:c r="A217" s="50" t="n">
        <x:f>IF($P217="legacy_common_sample_8902245",1+COUNTIFS($C$5:$C$546,$C217,$P$5:$P$546,"legacy_common_sample_8902245",$I$5:$I$546,"&gt;"&amp;$I217),"")</x:f>
        <x:v>43</x:v>
      </x:c>
      <x:c r="B217" t="str">
        <x:v>gtja_121</x:v>
      </x:c>
      <x:c r="C217" s="50" t="n">
        <x:v>10</x:v>
      </x:c>
      <x:c r="D217" t="str">
        <x:f>IF(E217&gt;=0,"positive","negative")</x:f>
        <x:v>positive</x:v>
      </x:c>
      <x:c r="E217" s="30" t="n">
        <x:v>0.052749039392317676</x:v>
      </x:c>
      <x:c r="F217" s="30" t="n">
        <x:f>ABS(E217)</x:f>
        <x:v>0.052749039392317676</x:v>
      </x:c>
      <x:c r="G217" s="30" t="n">
        <x:v>0.13027001578266867</x:v>
      </x:c>
      <x:c r="H217" s="30" t="n">
        <x:v>0.40492080295990485</x:v>
      </x:c>
      <x:c r="I217" s="30" t="n">
        <x:f>ABS(H217)</x:f>
        <x:v>0.40492080295990485</x:v>
      </x:c>
      <x:c r="J217" s="30" t="n">
        <x:v>0.6609137055837564</x:v>
      </x:c>
      <x:c r="K217" s="30" t="n">
        <x:v>0.02038620272927772</x:v>
      </x:c>
      <x:c r="L217" s="30" t="n">
        <x:v>0.19155717872444428</x:v>
      </x:c>
      <x:c r="M217" s="30" t="n">
        <x:v>0.581725888324873</x:v>
      </x:c>
      <x:c r="N217" s="19" t="n">
        <x:v>1970</x:v>
      </x:c>
      <x:c r="O217" t="b">
        <x:f>P217="legacy_common_sample_8902245"</x:f>
        <x:v>1</x:v>
      </x:c>
      <x:c r="P217" t="str">
        <x:v>legacy_common_sample_8902245</x:v>
      </x:c>
      <x:c r="Q217" s="74" t="n">
        <x:v>46211.40481090278</x:v>
      </x:c>
      <x:c r="R217" s="19" t="n">
        <x:v>8902245</x:v>
      </x:c>
      <x:c r="S217" t="str">
        <x:v>8f7e606554926462248cbcc654181861438ca768a0063f6b317223ede37d16fb</x:v>
      </x:c>
      <x:c r="T217" t="str">
        <x:v>factor_report/gtja191_batch/gtja_121/ic_summary.csv</x:v>
      </x:c>
    </x:row>
    <x:row r="218">
      <x:c r="A218" s="50" t="n">
        <x:f>IF($P218="legacy_common_sample_8902245",1+COUNTIFS($C$5:$C$546,$C218,$P$5:$P$546,"legacy_common_sample_8902245",$I$5:$I$546,"&gt;"&amp;$I218),"")</x:f>
        <x:v>44</x:v>
      </x:c>
      <x:c r="B218" t="str">
        <x:v>gtja_067</x:v>
      </x:c>
      <x:c r="C218" s="50" t="n">
        <x:v>10</x:v>
      </x:c>
      <x:c r="D218" t="str">
        <x:f>IF(E218&gt;=0,"positive","negative")</x:f>
        <x:v>negative</x:v>
      </x:c>
      <x:c r="E218" s="30" t="n">
        <x:v>-0.05255950591082112</x:v>
      </x:c>
      <x:c r="F218" s="30" t="n">
        <x:f>ABS(E218)</x:f>
        <x:v>0.05255950591082112</x:v>
      </x:c>
      <x:c r="G218" s="30" t="n">
        <x:v>0.13232449388155</x:v>
      </x:c>
      <x:c r="H218" s="30" t="n">
        <x:v>-0.3972016394626807</x:v>
      </x:c>
      <x:c r="I218" s="30" t="n">
        <x:f>ABS(H218)</x:f>
        <x:v>0.3972016394626807</x:v>
      </x:c>
      <x:c r="J218" s="30" t="n">
        <x:v>0.3460572576594676</x:v>
      </x:c>
      <x:c r="K218" s="30" t="n">
        <x:v>-0.021921576768299488</x:v>
      </x:c>
      <x:c r="L218" s="30" t="n">
        <x:v>-0.1972590068464023</x:v>
      </x:c>
      <x:c r="M218" s="30" t="n">
        <x:v>0.4334505273731793</x:v>
      </x:c>
      <x:c r="N218" s="19" t="n">
        <x:v>1991</x:v>
      </x:c>
      <x:c r="O218" t="b">
        <x:f>P218="legacy_common_sample_8902245"</x:f>
        <x:v>1</x:v>
      </x:c>
      <x:c r="P218" t="str">
        <x:v>legacy_common_sample_8902245</x:v>
      </x:c>
      <x:c r="Q218" s="74" t="n">
        <x:v>46210.40343721065</x:v>
      </x:c>
      <x:c r="R218" s="19" t="n">
        <x:v>8902245</x:v>
      </x:c>
      <x:c r="S218" t="str">
        <x:v>40355b29bce094aef0e99358bdfd4011b92e72a54440a67760de4afae4883c33</x:v>
      </x:c>
      <x:c r="T218" t="str">
        <x:v>factor_report/gtja191_batch/gtja_067/ic_summary.csv</x:v>
      </x:c>
    </x:row>
    <x:row r="219">
      <x:c r="A219" s="50" t="n">
        <x:f>IF($P219="legacy_common_sample_8902245",1+COUNTIFS($C$5:$C$546,$C219,$P$5:$P$546,"legacy_common_sample_8902245",$I$5:$I$546,"&gt;"&amp;$I219),"")</x:f>
        <x:v>45</x:v>
      </x:c>
      <x:c r="B219" t="str">
        <x:v>gtja_134</x:v>
      </x:c>
      <x:c r="C219" s="50" t="n">
        <x:v>10</x:v>
      </x:c>
      <x:c r="D219" t="str">
        <x:f>IF(E219&gt;=0,"positive","negative")</x:f>
        <x:v>negative</x:v>
      </x:c>
      <x:c r="E219" s="30" t="n">
        <x:v>-0.04263355463572557</x:v>
      </x:c>
      <x:c r="F219" s="30" t="n">
        <x:f>ABS(E219)</x:f>
        <x:v>0.04263355463572557</x:v>
      </x:c>
      <x:c r="G219" s="30" t="n">
        <x:v>0.10739210958136389</x:v>
      </x:c>
      <x:c r="H219" s="30" t="n">
        <x:v>-0.3969896373385323</x:v>
      </x:c>
      <x:c r="I219" s="30" t="n">
        <x:f>ABS(H219)</x:f>
        <x:v>0.3969896373385323</x:v>
      </x:c>
      <x:c r="J219" s="30" t="n">
        <x:v>0.3510798593671522</x:v>
      </x:c>
      <x:c r="K219" s="30" t="n">
        <x:v>-0.031779472250284636</x:v>
      </x:c>
      <x:c r="L219" s="30" t="n">
        <x:v>-0.47118741069311776</x:v>
      </x:c>
      <x:c r="M219" s="30" t="n">
        <x:v>0.30939226519337015</x:v>
      </x:c>
      <x:c r="N219" s="19" t="n">
        <x:v>1991</x:v>
      </x:c>
      <x:c r="O219" t="b">
        <x:f>P219="legacy_common_sample_8902245"</x:f>
        <x:v>1</x:v>
      </x:c>
      <x:c r="P219" t="str">
        <x:v>legacy_common_sample_8902245</x:v>
      </x:c>
      <x:c r="Q219" s="74" t="n">
        <x:v>46210.74197935185</x:v>
      </x:c>
      <x:c r="R219" s="19" t="n">
        <x:v>8902245</x:v>
      </x:c>
      <x:c r="S219" t="str">
        <x:v>40355b29bce094aef0e99358bdfd4011b92e72a54440a67760de4afae4883c33</x:v>
      </x:c>
      <x:c r="T219" t="str">
        <x:v>factor_report/gtja191_batch/gtja_134/ic_summary.csv</x:v>
      </x:c>
    </x:row>
    <x:row r="220">
      <x:c r="A220" s="50" t="n">
        <x:f>IF($P220="legacy_common_sample_8902245",1+COUNTIFS($C$5:$C$546,$C220,$P$5:$P$546,"legacy_common_sample_8902245",$I$5:$I$546,"&gt;"&amp;$I220),"")</x:f>
        <x:v>46</x:v>
      </x:c>
      <x:c r="B220" t="str">
        <x:v>gtja_116</x:v>
      </x:c>
      <x:c r="C220" s="50" t="n">
        <x:v>10</x:v>
      </x:c>
      <x:c r="D220" t="str">
        <x:f>IF(E220&gt;=0,"positive","negative")</x:f>
        <x:v>negative</x:v>
      </x:c>
      <x:c r="E220" s="30" t="n">
        <x:v>-0.05109072393000672</x:v>
      </x:c>
      <x:c r="F220" s="30" t="n">
        <x:f>ABS(E220)</x:f>
        <x:v>0.05109072393000672</x:v>
      </x:c>
      <x:c r="G220" s="30" t="n">
        <x:v>0.12925864328246975</x:v>
      </x:c>
      <x:c r="H220" s="30" t="n">
        <x:v>-0.3952596331864464</x:v>
      </x:c>
      <x:c r="I220" s="30" t="n">
        <x:f>ABS(H220)</x:f>
        <x:v>0.3952596331864464</x:v>
      </x:c>
      <x:c r="J220" s="30" t="n">
        <x:v>0.34907081868407835</x:v>
      </x:c>
      <x:c r="K220" s="30" t="n">
        <x:v>-0.020086110537147</x:v>
      </x:c>
      <x:c r="L220" s="30" t="n">
        <x:v>-0.24364339376027772</x:v>
      </x:c>
      <x:c r="M220" s="30" t="n">
        <x:v>0.40231039678553493</x:v>
      </x:c>
      <x:c r="N220" s="19" t="n">
        <x:v>1991</x:v>
      </x:c>
      <x:c r="O220" t="b">
        <x:f>P220="legacy_common_sample_8902245"</x:f>
        <x:v>1</x:v>
      </x:c>
      <x:c r="P220" t="str">
        <x:v>legacy_common_sample_8902245</x:v>
      </x:c>
      <x:c r="Q220" s="74" t="n">
        <x:v>46210.64638673611</x:v>
      </x:c>
      <x:c r="R220" s="19" t="n">
        <x:v>8902245</x:v>
      </x:c>
      <x:c r="S220" t="str">
        <x:v>40355b29bce094aef0e99358bdfd4011b92e72a54440a67760de4afae4883c33</x:v>
      </x:c>
      <x:c r="T220" t="str">
        <x:v>factor_report/gtja191_batch/gtja_116/ic_summary.csv</x:v>
      </x:c>
    </x:row>
    <x:row r="221">
      <x:c r="A221" s="50" t="n">
        <x:f>IF($P221="legacy_common_sample_8902245",1+COUNTIFS($C$5:$C$546,$C221,$P$5:$P$546,"legacy_common_sample_8902245",$I$5:$I$546,"&gt;"&amp;$I221),"")</x:f>
        <x:v>47</x:v>
      </x:c>
      <x:c r="B221" t="str">
        <x:v>gtja_101</x:v>
      </x:c>
      <x:c r="C221" s="50" t="n">
        <x:v>10</x:v>
      </x:c>
      <x:c r="D221" t="str">
        <x:f>IF(E221&gt;=0,"positive","negative")</x:f>
        <x:v>positive</x:v>
      </x:c>
      <x:c r="E221" s="30" t="n">
        <x:v>0.02186142074971069</x:v>
      </x:c>
      <x:c r="F221" s="30" t="n">
        <x:f>ABS(E221)</x:f>
        <x:v>0.02186142074971069</x:v>
      </x:c>
      <x:c r="G221" s="30" t="n">
        <x:v>0.05539518381716089</x:v>
      </x:c>
      <x:c r="H221" s="30" t="n">
        <x:v>0.3946447911765613</x:v>
      </x:c>
      <x:c r="I221" s="30" t="n">
        <x:f>ABS(H221)</x:f>
        <x:v>0.3946447911765613</x:v>
      </x:c>
      <x:c r="J221" s="30" t="n">
        <x:v>0.6598984771573604</x:v>
      </x:c>
      <x:c r="K221" s="30" t="n">
        <x:v>0.00847595045019612</x:v>
      </x:c>
      <x:c r="L221" s="30" t="n">
        <x:v>0.18420296965357227</x:v>
      </x:c>
      <x:c r="M221" s="30" t="n">
        <x:v>0.5781725888324873</x:v>
      </x:c>
      <x:c r="N221" s="19" t="n">
        <x:v>1970</x:v>
      </x:c>
      <x:c r="O221" t="b">
        <x:f>P221="legacy_common_sample_8902245"</x:f>
        <x:v>1</x:v>
      </x:c>
      <x:c r="P221" t="str">
        <x:v>legacy_common_sample_8902245</x:v>
      </x:c>
      <x:c r="Q221" s="74" t="n">
        <x:v>46211.35053340278</x:v>
      </x:c>
      <x:c r="R221" s="19" t="n">
        <x:v>8902245</x:v>
      </x:c>
      <x:c r="S221" t="str">
        <x:v>8f7e606554926462248cbcc654181861438ca768a0063f6b317223ede37d16fb</x:v>
      </x:c>
      <x:c r="T221" t="str">
        <x:v>factor_report/gtja191_batch/gtja_101/ic_summary.csv</x:v>
      </x:c>
    </x:row>
    <x:row r="222">
      <x:c r="A222" s="50" t="n">
        <x:f>IF($P222="legacy_common_sample_8902245",1+COUNTIFS($C$5:$C$546,$C222,$P$5:$P$546,"legacy_common_sample_8902245",$I$5:$I$546,"&gt;"&amp;$I222),"")</x:f>
        <x:v>48</x:v>
      </x:c>
      <x:c r="B222" t="str">
        <x:v>gtja_077</x:v>
      </x:c>
      <x:c r="C222" s="50" t="n">
        <x:v>10</x:v>
      </x:c>
      <x:c r="D222" t="str">
        <x:f>IF(E222&gt;=0,"positive","negative")</x:f>
        <x:v>positive</x:v>
      </x:c>
      <x:c r="E222" s="30" t="n">
        <x:v>0.035037501642073206</x:v>
      </x:c>
      <x:c r="F222" s="30" t="n">
        <x:f>ABS(E222)</x:f>
        <x:v>0.035037501642073206</x:v>
      </x:c>
      <x:c r="G222" s="30" t="n">
        <x:v>0.08890781930598611</x:v>
      </x:c>
      <x:c r="H222" s="30" t="n">
        <x:v>0.3940879656657393</x:v>
      </x:c>
      <x:c r="I222" s="30" t="n">
        <x:f>ABS(H222)</x:f>
        <x:v>0.3940879656657393</x:v>
      </x:c>
      <x:c r="J222" s="30" t="n">
        <x:v>0.6659969864389754</x:v>
      </x:c>
      <x:c r="K222" s="30" t="n">
        <x:v>0.0217147627826924</x:v>
      </x:c>
      <x:c r="L222" s="30" t="n">
        <x:v>0.28427696175423695</x:v>
      </x:c>
      <x:c r="M222" s="30" t="n">
        <x:v>0.6202913108990457</x:v>
      </x:c>
      <x:c r="N222" s="19" t="n">
        <x:v>1991</x:v>
      </x:c>
      <x:c r="O222" t="b">
        <x:f>P222="legacy_common_sample_8902245"</x:f>
        <x:v>1</x:v>
      </x:c>
      <x:c r="P222" t="str">
        <x:v>legacy_common_sample_8902245</x:v>
      </x:c>
      <x:c r="Q222" s="74" t="n">
        <x:v>46211.309369814815</x:v>
      </x:c>
      <x:c r="R222" s="19" t="n">
        <x:v>8902245</x:v>
      </x:c>
      <x:c r="S222" t="str">
        <x:v>8f7e606554926462248cbcc654181861438ca768a0063f6b317223ede37d16fb</x:v>
      </x:c>
      <x:c r="T222" t="str">
        <x:v>factor_report/gtja191_batch/gtja_077/ic_summary.csv</x:v>
      </x:c>
    </x:row>
    <x:row r="223">
      <x:c r="A223" s="50" t="n">
        <x:f>IF($P223="legacy_common_sample_8902245",1+COUNTIFS($C$5:$C$546,$C223,$P$5:$P$546,"legacy_common_sample_8902245",$I$5:$I$546,"&gt;"&amp;$I223),"")</x:f>
        <x:v>49</x:v>
      </x:c>
      <x:c r="B223" t="str">
        <x:v>gtja_071</x:v>
      </x:c>
      <x:c r="C223" s="50" t="n">
        <x:v>10</x:v>
      </x:c>
      <x:c r="D223" t="str">
        <x:f>IF(E223&gt;=0,"positive","negative")</x:f>
        <x:v>negative</x:v>
      </x:c>
      <x:c r="E223" s="30" t="n">
        <x:v>-0.05464484689716381</x:v>
      </x:c>
      <x:c r="F223" s="30" t="n">
        <x:f>ABS(E223)</x:f>
        <x:v>0.05464484689716381</x:v>
      </x:c>
      <x:c r="G223" s="30" t="n">
        <x:v>0.1388974749681292</x:v>
      </x:c>
      <x:c r="H223" s="30" t="n">
        <x:v>-0.39341857661345087</x:v>
      </x:c>
      <x:c r="I223" s="30" t="n">
        <x:f>ABS(H223)</x:f>
        <x:v>0.39341857661345087</x:v>
      </x:c>
      <x:c r="J223" s="30" t="n">
        <x:v>0.35258663987945754</x:v>
      </x:c>
      <x:c r="K223" s="30" t="n">
        <x:v>-0.044846649613212185</x:v>
      </x:c>
      <x:c r="L223" s="30" t="n">
        <x:v>-0.364928560602853</x:v>
      </x:c>
      <x:c r="M223" s="30" t="n">
        <x:v>0.3566047212456052</x:v>
      </x:c>
      <x:c r="N223" s="19" t="n">
        <x:v>1991</x:v>
      </x:c>
      <x:c r="O223" t="b">
        <x:f>P223="legacy_common_sample_8902245"</x:f>
        <x:v>1</x:v>
      </x:c>
      <x:c r="P223" t="str">
        <x:v>legacy_common_sample_8902245</x:v>
      </x:c>
      <x:c r="Q223" s="74" t="n">
        <x:v>46210.420358854164</x:v>
      </x:c>
      <x:c r="R223" s="19" t="n">
        <x:v>8902245</x:v>
      </x:c>
      <x:c r="S223" t="str">
        <x:v>40355b29bce094aef0e99358bdfd4011b92e72a54440a67760de4afae4883c33</x:v>
      </x:c>
      <x:c r="T223" t="str">
        <x:v>factor_report/gtja191_batch/gtja_071/ic_summary.csv</x:v>
      </x:c>
    </x:row>
    <x:row r="224">
      <x:c r="A224" s="50" t="n">
        <x:f>IF($P224="legacy_common_sample_8902245",1+COUNTIFS($C$5:$C$546,$C224,$P$5:$P$546,"legacy_common_sample_8902245",$I$5:$I$546,"&gt;"&amp;$I224),"")</x:f>
        <x:v>50</x:v>
      </x:c>
      <x:c r="B224" t="str">
        <x:v>gtja_052</x:v>
      </x:c>
      <x:c r="C224" s="50" t="n">
        <x:v>10</x:v>
      </x:c>
      <x:c r="D224" t="str">
        <x:f>IF(E224&gt;=0,"positive","negative")</x:f>
        <x:v>negative</x:v>
      </x:c>
      <x:c r="E224" s="30" t="n">
        <x:v>-0.050813754781149335</x:v>
      </x:c>
      <x:c r="F224" s="30" t="n">
        <x:f>ABS(E224)</x:f>
        <x:v>0.050813754781149335</x:v>
      </x:c>
      <x:c r="G224" s="30" t="n">
        <x:v>0.13049459380513437</x:v>
      </x:c>
      <x:c r="H224" s="30" t="n">
        <x:v>-0.3893935625948517</x:v>
      </x:c>
      <x:c r="I224" s="30" t="n">
        <x:f>ABS(H224)</x:f>
        <x:v>0.3893935625948517</x:v>
      </x:c>
      <x:c r="J224" s="30" t="n">
        <x:v>0.34806629834254144</x:v>
      </x:c>
      <x:c r="K224" s="30" t="n">
        <x:v>-0.024715131502511947</x:v>
      </x:c>
      <x:c r="L224" s="30" t="n">
        <x:v>-0.2093159318397252</x:v>
      </x:c>
      <x:c r="M224" s="30" t="n">
        <x:v>0.4178804620793571</x:v>
      </x:c>
      <x:c r="N224" s="19" t="n">
        <x:v>1991</x:v>
      </x:c>
      <x:c r="O224" t="b">
        <x:f>P224="legacy_common_sample_8902245"</x:f>
        <x:v>1</x:v>
      </x:c>
      <x:c r="P224" t="str">
        <x:v>legacy_common_sample_8902245</x:v>
      </x:c>
      <x:c r="Q224" s="74" t="n">
        <x:v>46210.3353965162</x:v>
      </x:c>
      <x:c r="R224" s="19" t="n">
        <x:v>8902245</x:v>
      </x:c>
      <x:c r="S224" t="str">
        <x:v>40355b29bce094aef0e99358bdfd4011b92e72a54440a67760de4afae4883c33</x:v>
      </x:c>
      <x:c r="T224" t="str">
        <x:v>factor_report/gtja191_batch/gtja_052/ic_summary.csv</x:v>
      </x:c>
    </x:row>
    <x:row r="225">
      <x:c r="A225" s="50" t="n">
        <x:f>IF($P225="legacy_common_sample_8902245",1+COUNTIFS($C$5:$C$546,$C225,$P$5:$P$546,"legacy_common_sample_8902245",$I$5:$I$546,"&gt;"&amp;$I225),"")</x:f>
        <x:v>51</x:v>
      </x:c>
      <x:c r="B225" t="str">
        <x:v>gtja_190</x:v>
      </x:c>
      <x:c r="C225" s="50" t="n">
        <x:v>10</x:v>
      </x:c>
      <x:c r="D225" t="str">
        <x:f>IF(E225&gt;=0,"positive","negative")</x:f>
        <x:v>positive</x:v>
      </x:c>
      <x:c r="E225" s="30" t="n">
        <x:v>0.02983995003744111</x:v>
      </x:c>
      <x:c r="F225" s="30" t="n">
        <x:f>ABS(E225)</x:f>
        <x:v>0.02983995003744111</x:v>
      </x:c>
      <x:c r="G225" s="30" t="n">
        <x:v>0.07715753599318576</x:v>
      </x:c>
      <x:c r="H225" s="30" t="n">
        <x:v>0.38674057761611846</x:v>
      </x:c>
      <x:c r="I225" s="30" t="n">
        <x:f>ABS(H225)</x:f>
        <x:v>0.38674057761611846</x:v>
      </x:c>
      <x:c r="J225" s="30" t="n">
        <x:v>0.6438975389251632</x:v>
      </x:c>
      <x:c r="K225" s="30" t="n">
        <x:v>0.015162626513116088</x:v>
      </x:c>
      <x:c r="L225" s="30" t="n">
        <x:v>0.23485213834266688</x:v>
      </x:c>
      <x:c r="M225" s="30" t="n">
        <x:v>0.5911602209944752</x:v>
      </x:c>
      <x:c r="N225" s="19" t="n">
        <x:v>1991</x:v>
      </x:c>
      <x:c r="O225" t="b">
        <x:f>P225="legacy_common_sample_8902245"</x:f>
        <x:v>1</x:v>
      </x:c>
      <x:c r="P225" t="str">
        <x:v>legacy_common_sample_8902245</x:v>
      </x:c>
      <x:c r="Q225" s="74" t="n">
        <x:v>46211.55394319444</x:v>
      </x:c>
      <x:c r="R225" s="19" t="n">
        <x:v>8902245</x:v>
      </x:c>
      <x:c r="S225" t="str">
        <x:v>8f7e606554926462248cbcc654181861438ca768a0063f6b317223ede37d16fb</x:v>
      </x:c>
      <x:c r="T225" t="str">
        <x:v>factor_report/gtja191_batch/gtja_190/ic_summary.csv</x:v>
      </x:c>
    </x:row>
    <x:row r="226">
      <x:c r="A226" s="50" t="n">
        <x:f>IF($P226="legacy_common_sample_8902245",1+COUNTIFS($C$5:$C$546,$C226,$P$5:$P$546,"legacy_common_sample_8902245",$I$5:$I$546,"&gt;"&amp;$I226),"")</x:f>
        <x:v>52</x:v>
      </x:c>
      <x:c r="B226" t="str">
        <x:v>gtja_187</x:v>
      </x:c>
      <x:c r="C226" s="50" t="n">
        <x:v>10</x:v>
      </x:c>
      <x:c r="D226" t="str">
        <x:f>IF(E226&gt;=0,"positive","negative")</x:f>
        <x:v>negative</x:v>
      </x:c>
      <x:c r="E226" s="30" t="n">
        <x:v>-0.07167235594661475</x:v>
      </x:c>
      <x:c r="F226" s="30" t="n">
        <x:f>ABS(E226)</x:f>
        <x:v>0.07167235594661475</x:v>
      </x:c>
      <x:c r="G226" s="30" t="n">
        <x:v>0.18685390242020566</x:v>
      </x:c>
      <x:c r="H226" s="30" t="n">
        <x:v>-0.3835743060128049</x:v>
      </x:c>
      <x:c r="I226" s="30" t="n">
        <x:f>ABS(H226)</x:f>
        <x:v>0.3835743060128049</x:v>
      </x:c>
      <x:c r="J226" s="30" t="n">
        <x:v>0.37267704671019586</x:v>
      </x:c>
      <x:c r="K226" s="30" t="n">
        <x:v>-0.022812143742415223</x:v>
      </x:c>
      <x:c r="L226" s="30" t="n">
        <x:v>-0.19593868881525636</x:v>
      </x:c>
      <x:c r="M226" s="30" t="n">
        <x:v>0.42189854344550476</x:v>
      </x:c>
      <x:c r="N226" s="19" t="n">
        <x:v>1991</x:v>
      </x:c>
      <x:c r="O226" t="b">
        <x:f>P226="legacy_common_sample_8902245"</x:f>
        <x:v>1</x:v>
      </x:c>
      <x:c r="P226" t="str">
        <x:v>legacy_common_sample_8902245</x:v>
      </x:c>
      <x:c r="Q226" s="74" t="n">
        <x:v>46210.96675238426</x:v>
      </x:c>
      <x:c r="R226" s="19" t="n">
        <x:v>8902245</x:v>
      </x:c>
      <x:c r="S226" t="str">
        <x:v>40355b29bce094aef0e99358bdfd4011b92e72a54440a67760de4afae4883c33</x:v>
      </x:c>
      <x:c r="T226" t="str">
        <x:v>factor_report/gtja191_batch/gtja_187/ic_summary.csv</x:v>
      </x:c>
    </x:row>
    <x:row r="227">
      <x:c r="A227" s="50" t="n">
        <x:f>IF($P227="legacy_common_sample_8902245",1+COUNTIFS($C$5:$C$546,$C227,$P$5:$P$546,"legacy_common_sample_8902245",$I$5:$I$546,"&gt;"&amp;$I227),"")</x:f>
        <x:v>53</x:v>
      </x:c>
      <x:c r="B227" t="str">
        <x:v>gtja_110</x:v>
      </x:c>
      <x:c r="C227" s="50" t="n">
        <x:v>10</x:v>
      </x:c>
      <x:c r="D227" t="str">
        <x:f>IF(E227&gt;=0,"positive","negative")</x:f>
        <x:v>negative</x:v>
      </x:c>
      <x:c r="E227" s="30" t="n">
        <x:v>-0.043642664763510655</x:v>
      </x:c>
      <x:c r="F227" s="30" t="n">
        <x:f>ABS(E227)</x:f>
        <x:v>0.043642664763510655</x:v>
      </x:c>
      <x:c r="G227" s="30" t="n">
        <x:v>0.11457595385262612</x:v>
      </x:c>
      <x:c r="H227" s="30" t="n">
        <x:v>-0.3809059693244731</x:v>
      </x:c>
      <x:c r="I227" s="30" t="n">
        <x:f>ABS(H227)</x:f>
        <x:v>0.3809059693244731</x:v>
      </x:c>
      <x:c r="J227" s="30" t="n">
        <x:v>0.3420391762933199</x:v>
      </x:c>
      <x:c r="K227" s="30" t="n">
        <x:v>-0.01791632772608471</x:v>
      </x:c>
      <x:c r="L227" s="30" t="n">
        <x:v>-0.17280861109522086</x:v>
      </x:c>
      <x:c r="M227" s="30" t="n">
        <x:v>0.42692114515318935</x:v>
      </x:c>
      <x:c r="N227" s="19" t="n">
        <x:v>1991</x:v>
      </x:c>
      <x:c r="O227" t="b">
        <x:f>P227="legacy_common_sample_8902245"</x:f>
        <x:v>1</x:v>
      </x:c>
      <x:c r="P227" t="str">
        <x:v>legacy_common_sample_8902245</x:v>
      </x:c>
      <x:c r="Q227" s="74" t="n">
        <x:v>46210.616483287034</x:v>
      </x:c>
      <x:c r="R227" s="19" t="n">
        <x:v>8902245</x:v>
      </x:c>
      <x:c r="S227" t="str">
        <x:v>40355b29bce094aef0e99358bdfd4011b92e72a54440a67760de4afae4883c33</x:v>
      </x:c>
      <x:c r="T227" t="str">
        <x:v>factor_report/gtja191_batch/gtja_110/ic_summary.csv</x:v>
      </x:c>
    </x:row>
    <x:row r="228">
      <x:c r="A228" s="50" t="n">
        <x:f>IF($P228="legacy_common_sample_8902245",1+COUNTIFS($C$5:$C$546,$C228,$P$5:$P$546,"legacy_common_sample_8902245",$I$5:$I$546,"&gt;"&amp;$I228),"")</x:f>
        <x:v>54</x:v>
      </x:c>
      <x:c r="B228" t="str">
        <x:v>gtja_135</x:v>
      </x:c>
      <x:c r="C228" s="50" t="n">
        <x:v>10</x:v>
      </x:c>
      <x:c r="D228" t="str">
        <x:f>IF(E228&gt;=0,"positive","negative")</x:f>
        <x:v>negative</x:v>
      </x:c>
      <x:c r="E228" s="30" t="n">
        <x:v>-0.05522083927672666</x:v>
      </x:c>
      <x:c r="F228" s="30" t="n">
        <x:f>ABS(E228)</x:f>
        <x:v>0.05522083927672666</x:v>
      </x:c>
      <x:c r="G228" s="30" t="n">
        <x:v>0.14657356879982103</x:v>
      </x:c>
      <x:c r="H228" s="30" t="n">
        <x:v>-0.3767448642268038</x:v>
      </x:c>
      <x:c r="I228" s="30" t="n">
        <x:f>ABS(H228)</x:f>
        <x:v>0.3767448642268038</x:v>
      </x:c>
      <x:c r="J228" s="30" t="n">
        <x:v>0.3676544450025113</x:v>
      </x:c>
      <x:c r="K228" s="30" t="n">
        <x:v>-0.03012833026546205</x:v>
      </x:c>
      <x:c r="L228" s="30" t="n">
        <x:v>-0.23325526645128453</x:v>
      </x:c>
      <x:c r="M228" s="30" t="n">
        <x:v>0.40733299849321947</x:v>
      </x:c>
      <x:c r="N228" s="19" t="n">
        <x:v>1991</x:v>
      </x:c>
      <x:c r="O228" t="b">
        <x:f>P228="legacy_common_sample_8902245"</x:f>
        <x:v>1</x:v>
      </x:c>
      <x:c r="P228" t="str">
        <x:v>legacy_common_sample_8902245</x:v>
      </x:c>
      <x:c r="Q228" s="74" t="n">
        <x:v>46210.7465330787</x:v>
      </x:c>
      <x:c r="R228" s="19" t="n">
        <x:v>8902245</x:v>
      </x:c>
      <x:c r="S228" t="str">
        <x:v>40355b29bce094aef0e99358bdfd4011b92e72a54440a67760de4afae4883c33</x:v>
      </x:c>
      <x:c r="T228" t="str">
        <x:v>factor_report/gtja191_batch/gtja_135/ic_summary.csv</x:v>
      </x:c>
    </x:row>
    <x:row r="229">
      <x:c r="A229" s="50" t="n">
        <x:f>IF($P229="legacy_common_sample_8902245",1+COUNTIFS($C$5:$C$546,$C229,$P$5:$P$546,"legacy_common_sample_8902245",$I$5:$I$546,"&gt;"&amp;$I229),"")</x:f>
        <x:v>55</x:v>
      </x:c>
      <x:c r="B229" t="str">
        <x:v>gtja_185</x:v>
      </x:c>
      <x:c r="C229" s="50" t="n">
        <x:v>10</x:v>
      </x:c>
      <x:c r="D229" t="str">
        <x:f>IF(E229&gt;=0,"positive","negative")</x:f>
        <x:v>positive</x:v>
      </x:c>
      <x:c r="E229" s="30" t="n">
        <x:v>0.03876024836720656</x:v>
      </x:c>
      <x:c r="F229" s="30" t="n">
        <x:f>ABS(E229)</x:f>
        <x:v>0.03876024836720656</x:v>
      </x:c>
      <x:c r="G229" s="30" t="n">
        <x:v>0.10360042939084213</x:v>
      </x:c>
      <x:c r="H229" s="30" t="n">
        <x:v>0.37413212083301284</x:v>
      </x:c>
      <x:c r="I229" s="30" t="n">
        <x:f>ABS(H229)</x:f>
        <x:v>0.37413212083301284</x:v>
      </x:c>
      <x:c r="J229" s="30" t="n">
        <x:v>0.6880964339527875</x:v>
      </x:c>
      <x:c r="K229" s="30" t="n">
        <x:v>0.012780237431474672</x:v>
      </x:c>
      <x:c r="L229" s="30" t="n">
        <x:v>0.14585634294395994</x:v>
      </x:c>
      <x:c r="M229" s="30" t="n">
        <x:v>0.5670517327975891</x:v>
      </x:c>
      <x:c r="N229" s="19" t="n">
        <x:v>1991</x:v>
      </x:c>
      <x:c r="O229" t="b">
        <x:f>P229="legacy_common_sample_8902245"</x:f>
        <x:v>1</x:v>
      </x:c>
      <x:c r="P229" t="str">
        <x:v>legacy_common_sample_8902245</x:v>
      </x:c>
      <x:c r="Q229" s="74" t="n">
        <x:v>46211.545996712965</x:v>
      </x:c>
      <x:c r="R229" s="19" t="n">
        <x:v>8902245</x:v>
      </x:c>
      <x:c r="S229" t="str">
        <x:v>8f7e606554926462248cbcc654181861438ca768a0063f6b317223ede37d16fb</x:v>
      </x:c>
      <x:c r="T229" t="str">
        <x:v>factor_report/gtja191_batch/gtja_185/ic_summary.csv</x:v>
      </x:c>
    </x:row>
    <x:row r="230">
      <x:c r="A230" s="50" t="n">
        <x:f>IF($P230="legacy_common_sample_8902245",1+COUNTIFS($C$5:$C$546,$C230,$P$5:$P$546,"legacy_common_sample_8902245",$I$5:$I$546,"&gt;"&amp;$I230),"")</x:f>
        <x:v>56</x:v>
      </x:c>
      <x:c r="B230" t="str">
        <x:v>gtja_122</x:v>
      </x:c>
      <x:c r="C230" s="50" t="n">
        <x:v>10</x:v>
      </x:c>
      <x:c r="D230" t="str">
        <x:f>IF(E230&gt;=0,"positive","negative")</x:f>
        <x:v>negative</x:v>
      </x:c>
      <x:c r="E230" s="30" t="n">
        <x:v>-0.052148612256162144</x:v>
      </x:c>
      <x:c r="F230" s="30" t="n">
        <x:f>ABS(E230)</x:f>
        <x:v>0.052148612256162144</x:v>
      </x:c>
      <x:c r="G230" s="30" t="n">
        <x:v>0.14035188011403266</x:v>
      </x:c>
      <x:c r="H230" s="30" t="n">
        <x:v>-0.3715562072541715</x:v>
      </x:c>
      <x:c r="I230" s="30" t="n">
        <x:f>ABS(H230)</x:f>
        <x:v>0.3715562072541715</x:v>
      </x:c>
      <x:c r="J230" s="30" t="n">
        <x:v>0.3666499246609744</x:v>
      </x:c>
      <x:c r="K230" s="30" t="n">
        <x:v>-0.024475143507692615</x:v>
      </x:c>
      <x:c r="L230" s="30" t="n">
        <x:v>-0.2295061932223889</x:v>
      </x:c>
      <x:c r="M230" s="30" t="n">
        <x:v>0.41285786037167255</x:v>
      </x:c>
      <x:c r="N230" s="19" t="n">
        <x:v>1991</x:v>
      </x:c>
      <x:c r="O230" t="b">
        <x:f>P230="legacy_common_sample_8902245"</x:f>
        <x:v>1</x:v>
      </x:c>
      <x:c r="P230" t="str">
        <x:v>legacy_common_sample_8902245</x:v>
      </x:c>
      <x:c r="Q230" s="74" t="n">
        <x:v>46210.69213701389</x:v>
      </x:c>
      <x:c r="R230" s="19" t="n">
        <x:v>8902245</x:v>
      </x:c>
      <x:c r="S230" t="str">
        <x:v>40355b29bce094aef0e99358bdfd4011b92e72a54440a67760de4afae4883c33</x:v>
      </x:c>
      <x:c r="T230" t="str">
        <x:v>factor_report/gtja191_batch/gtja_122/ic_summary.csv</x:v>
      </x:c>
    </x:row>
    <x:row r="231">
      <x:c r="A231" s="50" t="n">
        <x:f>IF($P231="legacy_common_sample_8902245",1+COUNTIFS($C$5:$C$546,$C231,$P$5:$P$546,"legacy_common_sample_8902245",$I$5:$I$546,"&gt;"&amp;$I231),"")</x:f>
        <x:v>57</x:v>
      </x:c>
      <x:c r="B231" t="str">
        <x:v>gtja_109</x:v>
      </x:c>
      <x:c r="C231" s="50" t="n">
        <x:v>10</x:v>
      </x:c>
      <x:c r="D231" t="str">
        <x:f>IF(E231&gt;=0,"positive","negative")</x:f>
        <x:v>negative</x:v>
      </x:c>
      <x:c r="E231" s="30" t="n">
        <x:v>-0.03266799806433209</x:v>
      </x:c>
      <x:c r="F231" s="30" t="n">
        <x:f>ABS(E231)</x:f>
        <x:v>0.03266799806433209</x:v>
      </x:c>
      <x:c r="G231" s="30" t="n">
        <x:v>0.08834138438122036</x:v>
      </x:c>
      <x:c r="H231" s="30" t="n">
        <x:v>-0.3697926888190884</x:v>
      </x:c>
      <x:c r="I231" s="30" t="n">
        <x:f>ABS(H231)</x:f>
        <x:v>0.3697926888190884</x:v>
      </x:c>
      <x:c r="J231" s="30" t="n">
        <x:v>0.347564038171773</x:v>
      </x:c>
      <x:c r="K231" s="30" t="n">
        <x:v>-0.027631555426648767</x:v>
      </x:c>
      <x:c r="L231" s="30" t="n">
        <x:v>-0.3792458527601481</x:v>
      </x:c>
      <x:c r="M231" s="30" t="n">
        <x:v>0.3319939728779508</x:v>
      </x:c>
      <x:c r="N231" s="19" t="n">
        <x:v>1991</x:v>
      </x:c>
      <x:c r="O231" t="b">
        <x:f>P231="legacy_common_sample_8902245"</x:f>
        <x:v>1</x:v>
      </x:c>
      <x:c r="P231" t="str">
        <x:v>legacy_common_sample_8902245</x:v>
      </x:c>
      <x:c r="Q231" s="74" t="n">
        <x:v>46210.612487280094</x:v>
      </x:c>
      <x:c r="R231" s="19" t="n">
        <x:v>8902245</x:v>
      </x:c>
      <x:c r="S231" t="str">
        <x:v>40355b29bce094aef0e99358bdfd4011b92e72a54440a67760de4afae4883c33</x:v>
      </x:c>
      <x:c r="T231" t="str">
        <x:v>factor_report/gtja191_batch/gtja_109/ic_summary.csv</x:v>
      </x:c>
    </x:row>
    <x:row r="232">
      <x:c r="A232" s="50" t="n">
        <x:f>IF($P232="legacy_common_sample_8902245",1+COUNTIFS($C$5:$C$546,$C232,$P$5:$P$546,"legacy_common_sample_8902245",$I$5:$I$546,"&gt;"&amp;$I232),"")</x:f>
        <x:v>58</x:v>
      </x:c>
      <x:c r="B232" t="str">
        <x:v>gtja_147</x:v>
      </x:c>
      <x:c r="C232" s="50" t="n">
        <x:v>10</x:v>
      </x:c>
      <x:c r="D232" t="str">
        <x:f>IF(E232&gt;=0,"positive","negative")</x:f>
        <x:v>negative</x:v>
      </x:c>
      <x:c r="E232" s="30" t="n">
        <x:v>-0.04733611281094676</x:v>
      </x:c>
      <x:c r="F232" s="30" t="n">
        <x:f>ABS(E232)</x:f>
        <x:v>0.04733611281094676</x:v>
      </x:c>
      <x:c r="G232" s="30" t="n">
        <x:v>0.12830961741046526</x:v>
      </x:c>
      <x:c r="H232" s="30" t="n">
        <x:v>-0.36892100347799733</x:v>
      </x:c>
      <x:c r="I232" s="30" t="n">
        <x:f>ABS(H232)</x:f>
        <x:v>0.36892100347799733</x:v>
      </x:c>
      <x:c r="J232" s="30" t="n">
        <x:v>0.36715218483174283</x:v>
      </x:c>
      <x:c r="K232" s="30" t="n">
        <x:v>-0.017835875028339485</x:v>
      </x:c>
      <x:c r="L232" s="30" t="n">
        <x:v>-0.21896185017911277</x:v>
      </x:c>
      <x:c r="M232" s="30" t="n">
        <x:v>0.40733299849321947</x:v>
      </x:c>
      <x:c r="N232" s="19" t="n">
        <x:v>1991</x:v>
      </x:c>
      <x:c r="O232" t="b">
        <x:f>P232="legacy_common_sample_8902245"</x:f>
        <x:v>1</x:v>
      </x:c>
      <x:c r="P232" t="str">
        <x:v>legacy_common_sample_8902245</x:v>
      </x:c>
      <x:c r="Q232" s="74" t="n">
        <x:v>46210.805681736114</x:v>
      </x:c>
      <x:c r="R232" s="19" t="n">
        <x:v>8902245</x:v>
      </x:c>
      <x:c r="S232" t="str">
        <x:v>40355b29bce094aef0e99358bdfd4011b92e72a54440a67760de4afae4883c33</x:v>
      </x:c>
      <x:c r="T232" t="str">
        <x:v>factor_report/gtja191_batch/gtja_147/ic_summary.csv</x:v>
      </x:c>
    </x:row>
    <x:row r="233">
      <x:c r="A233" s="50" t="n">
        <x:f>IF($P233="legacy_common_sample_8902245",1+COUNTIFS($C$5:$C$546,$C233,$P$5:$P$546,"legacy_common_sample_8902245",$I$5:$I$546,"&gt;"&amp;$I233),"")</x:f>
        <x:v>59</x:v>
      </x:c>
      <x:c r="B233" t="str">
        <x:v>gtja_177</x:v>
      </x:c>
      <x:c r="C233" s="50" t="n">
        <x:v>10</x:v>
      </x:c>
      <x:c r="D233" t="str">
        <x:f>IF(E233&gt;=0,"positive","negative")</x:f>
        <x:v>negative</x:v>
      </x:c>
      <x:c r="E233" s="30" t="n">
        <x:v>-0.036733152768811825</x:v>
      </x:c>
      <x:c r="F233" s="30" t="n">
        <x:f>ABS(E233)</x:f>
        <x:v>0.036733152768811825</x:v>
      </x:c>
      <x:c r="G233" s="30" t="n">
        <x:v>0.10002325138444372</x:v>
      </x:c>
      <x:c r="H233" s="30" t="n">
        <x:v>-0.3672461378767458</x:v>
      </x:c>
      <x:c r="I233" s="30" t="n">
        <x:f>ABS(H233)</x:f>
        <x:v>0.3672461378767458</x:v>
      </x:c>
      <x:c r="J233" s="30" t="n">
        <x:v>0.34555499748869917</x:v>
      </x:c>
      <x:c r="K233" s="30" t="n">
        <x:v>-0.020202266396632317</x:v>
      </x:c>
      <x:c r="L233" s="30" t="n">
        <x:v>-0.2276377701098514</x:v>
      </x:c>
      <x:c r="M233" s="30" t="n">
        <x:v>0.4143646408839779</x:v>
      </x:c>
      <x:c r="N233" s="19" t="n">
        <x:v>1991</x:v>
      </x:c>
      <x:c r="O233" t="b">
        <x:f>P233="legacy_common_sample_8902245"</x:f>
        <x:v>1</x:v>
      </x:c>
      <x:c r="P233" t="str">
        <x:v>legacy_common_sample_8902245</x:v>
      </x:c>
      <x:c r="Q233" s="74" t="n">
        <x:v>46210.93332200232</x:v>
      </x:c>
      <x:c r="R233" s="19" t="n">
        <x:v>8902245</x:v>
      </x:c>
      <x:c r="S233" t="str">
        <x:v>40355b29bce094aef0e99358bdfd4011b92e72a54440a67760de4afae4883c33</x:v>
      </x:c>
      <x:c r="T233" t="str">
        <x:v>factor_report/gtja191_batch/gtja_177/ic_summary.csv</x:v>
      </x:c>
    </x:row>
    <x:row r="234">
      <x:c r="A234" s="50" t="n">
        <x:f>IF($P234="legacy_common_sample_8902245",1+COUNTIFS($C$5:$C$546,$C234,$P$5:$P$546,"legacy_common_sample_8902245",$I$5:$I$546,"&gt;"&amp;$I234),"")</x:f>
        <x:v>60</x:v>
      </x:c>
      <x:c r="B234" t="str">
        <x:v>gtja_133</x:v>
      </x:c>
      <x:c r="C234" s="50" t="n">
        <x:v>10</x:v>
      </x:c>
      <x:c r="D234" t="str">
        <x:f>IF(E234&gt;=0,"positive","negative")</x:f>
        <x:v>negative</x:v>
      </x:c>
      <x:c r="E234" s="30" t="n">
        <x:v>-0.04084182012441402</x:v>
      </x:c>
      <x:c r="F234" s="30" t="n">
        <x:f>ABS(E234)</x:f>
        <x:v>0.04084182012441402</x:v>
      </x:c>
      <x:c r="G234" s="30" t="n">
        <x:v>0.11138627748381413</x:v>
      </x:c>
      <x:c r="H234" s="30" t="n">
        <x:v>-0.3666683279755791</x:v>
      </x:c>
      <x:c r="I234" s="30" t="n">
        <x:f>ABS(H234)</x:f>
        <x:v>0.3666683279755791</x:v>
      </x:c>
      <x:c r="J234" s="30" t="n">
        <x:v>0.3616273229532898</x:v>
      </x:c>
      <x:c r="K234" s="30" t="n">
        <x:v>-0.02139512022640017</x:v>
      </x:c>
      <x:c r="L234" s="30" t="n">
        <x:v>-0.21591297865808465</x:v>
      </x:c>
      <x:c r="M234" s="30" t="n">
        <x:v>0.4294324460070316</x:v>
      </x:c>
      <x:c r="N234" s="19" t="n">
        <x:v>1991</x:v>
      </x:c>
      <x:c r="O234" t="b">
        <x:f>P234="legacy_common_sample_8902245"</x:f>
        <x:v>1</x:v>
      </x:c>
      <x:c r="P234" t="str">
        <x:v>legacy_common_sample_8902245</x:v>
      </x:c>
      <x:c r="Q234" s="74" t="n">
        <x:v>46210.73796425926</x:v>
      </x:c>
      <x:c r="R234" s="19" t="n">
        <x:v>8902245</x:v>
      </x:c>
      <x:c r="S234" t="str">
        <x:v>40355b29bce094aef0e99358bdfd4011b92e72a54440a67760de4afae4883c33</x:v>
      </x:c>
      <x:c r="T234" t="str">
        <x:v>factor_report/gtja191_batch/gtja_133/ic_summary.csv</x:v>
      </x:c>
    </x:row>
    <x:row r="235">
      <x:c r="A235" s="50" t="n">
        <x:f>IF($P235="legacy_common_sample_8902245",1+COUNTIFS($C$5:$C$546,$C235,$P$5:$P$546,"legacy_common_sample_8902245",$I$5:$I$546,"&gt;"&amp;$I235),"")</x:f>
        <x:v>61</x:v>
      </x:c>
      <x:c r="B235" t="str">
        <x:v>gtja_027</x:v>
      </x:c>
      <x:c r="C235" s="50" t="n">
        <x:v>10</x:v>
      </x:c>
      <x:c r="D235" t="str">
        <x:f>IF(E235&gt;=0,"positive","negative")</x:f>
        <x:v>negative</x:v>
      </x:c>
      <x:c r="E235" s="30" t="n">
        <x:v>-0.04865420573089825</x:v>
      </x:c>
      <x:c r="F235" s="30" t="n">
        <x:f>ABS(E235)</x:f>
        <x:v>0.04865420573089825</x:v>
      </x:c>
      <x:c r="G235" s="30" t="n">
        <x:v>0.13285489142566081</x:v>
      </x:c>
      <x:c r="H235" s="30" t="n">
        <x:v>-0.366220657807867</x:v>
      </x:c>
      <x:c r="I235" s="30" t="n">
        <x:f>ABS(H235)</x:f>
        <x:v>0.366220657807867</x:v>
      </x:c>
      <x:c r="J235" s="30" t="n">
        <x:v>0.3571069814163737</x:v>
      </x:c>
      <x:c r="K235" s="30" t="n">
        <x:v>-0.03923476520314543</x:v>
      </x:c>
      <x:c r="L235" s="30" t="n">
        <x:v>-0.338755004983672</x:v>
      </x:c>
      <x:c r="M235" s="30" t="n">
        <x:v>0.3656454043194375</x:v>
      </x:c>
      <x:c r="N235" s="19" t="n">
        <x:v>1991</x:v>
      </x:c>
      <x:c r="O235" t="b">
        <x:f>P235="legacy_common_sample_8902245"</x:f>
        <x:v>1</x:v>
      </x:c>
      <x:c r="P235" t="str">
        <x:v>legacy_common_sample_8902245</x:v>
      </x:c>
      <x:c r="Q235" s="74" t="n">
        <x:v>46210.22519262732</x:v>
      </x:c>
      <x:c r="R235" s="19" t="n">
        <x:v>8902245</x:v>
      </x:c>
      <x:c r="S235" t="str">
        <x:v>40355b29bce094aef0e99358bdfd4011b92e72a54440a67760de4afae4883c33</x:v>
      </x:c>
      <x:c r="T235" t="str">
        <x:v>factor_report/gtja191_batch/gtja_027/ic_summary.csv</x:v>
      </x:c>
    </x:row>
    <x:row r="236">
      <x:c r="A236" s="50" t="n">
        <x:f>IF($P236="legacy_common_sample_8902245",1+COUNTIFS($C$5:$C$546,$C236,$P$5:$P$546,"legacy_common_sample_8902245",$I$5:$I$546,"&gt;"&amp;$I236),"")</x:f>
        <x:v>62</x:v>
      </x:c>
      <x:c r="B236" t="str">
        <x:v>gtja_154</x:v>
      </x:c>
      <x:c r="C236" s="50" t="n">
        <x:v>10</x:v>
      </x:c>
      <x:c r="D236" t="str">
        <x:f>IF(E236&gt;=0,"positive","negative")</x:f>
        <x:v>positive</x:v>
      </x:c>
      <x:c r="E236" s="30" t="n">
        <x:v>0.029524560602556423</x:v>
      </x:c>
      <x:c r="F236" s="30" t="n">
        <x:f>ABS(E236)</x:f>
        <x:v>0.029524560602556423</x:v>
      </x:c>
      <x:c r="G236" s="30" t="n">
        <x:v>0.0810234334057085</x:v>
      </x:c>
      <x:c r="H236" s="30" t="n">
        <x:v>0.3643953281357276</x:v>
      </x:c>
      <x:c r="I236" s="30" t="n">
        <x:f>ABS(H236)</x:f>
        <x:v>0.3643953281357276</x:v>
      </x:c>
      <x:c r="J236" s="30" t="n">
        <x:v>0.6357258499730167</x:v>
      </x:c>
      <x:c r="K236" s="30" t="n">
        <x:v>0.012047097933755828</x:v>
      </x:c>
      <x:c r="L236" s="30" t="n">
        <x:v>0.17197659960525072</x:v>
      </x:c>
      <x:c r="M236" s="30" t="n">
        <x:v>0.5623313545601727</x:v>
      </x:c>
      <x:c r="N236" s="19" t="n">
        <x:v>1853</x:v>
      </x:c>
      <x:c r="O236" t="b">
        <x:f>P236="legacy_common_sample_8902245"</x:f>
        <x:v>1</x:v>
      </x:c>
      <x:c r="P236" t="str">
        <x:v>legacy_common_sample_8902245</x:v>
      </x:c>
      <x:c r="Q236" s="74" t="n">
        <x:v>46211.49520696759</x:v>
      </x:c>
      <x:c r="R236" s="19" t="n">
        <x:v>8902245</x:v>
      </x:c>
      <x:c r="S236" t="str">
        <x:v>8f7e606554926462248cbcc654181861438ca768a0063f6b317223ede37d16fb</x:v>
      </x:c>
      <x:c r="T236" t="str">
        <x:v>factor_report/gtja191_batch/gtja_154/ic_summary.csv</x:v>
      </x:c>
    </x:row>
    <x:row r="237">
      <x:c r="A237" s="50" t="n">
        <x:f>IF($P237="legacy_common_sample_8902245",1+COUNTIFS($C$5:$C$546,$C237,$P$5:$P$546,"legacy_common_sample_8902245",$I$5:$I$546,"&gt;"&amp;$I237),"")</x:f>
        <x:v>63</x:v>
      </x:c>
      <x:c r="B237" t="str">
        <x:v>gtja_175</x:v>
      </x:c>
      <x:c r="C237" s="50" t="n">
        <x:v>10</x:v>
      </x:c>
      <x:c r="D237" t="str">
        <x:f>IF(E237&gt;=0,"positive","negative")</x:f>
        <x:v>negative</x:v>
      </x:c>
      <x:c r="E237" s="30" t="n">
        <x:v>-0.06974166759422153</x:v>
      </x:c>
      <x:c r="F237" s="30" t="n">
        <x:f>ABS(E237)</x:f>
        <x:v>0.06974166759422153</x:v>
      </x:c>
      <x:c r="G237" s="30" t="n">
        <x:v>0.19172470275958414</x:v>
      </x:c>
      <x:c r="H237" s="30" t="n">
        <x:v>-0.3637594247918854</x:v>
      </x:c>
      <x:c r="I237" s="30" t="n">
        <x:f>ABS(H237)</x:f>
        <x:v>0.3637594247918854</x:v>
      </x:c>
      <x:c r="J237" s="30" t="n">
        <x:v>0.38623807132094423</x:v>
      </x:c>
      <x:c r="K237" s="30" t="n">
        <x:v>-0.021775359758837418</x:v>
      </x:c>
      <x:c r="L237" s="30" t="n">
        <x:v>-0.18496244406773937</x:v>
      </x:c>
      <x:c r="M237" s="30" t="n">
        <x:v>0.4404821697639377</x:v>
      </x:c>
      <x:c r="N237" s="19" t="n">
        <x:v>1991</x:v>
      </x:c>
      <x:c r="O237" t="b">
        <x:f>P237="legacy_common_sample_8902245"</x:f>
        <x:v>1</x:v>
      </x:c>
      <x:c r="P237" t="str">
        <x:v>legacy_common_sample_8902245</x:v>
      </x:c>
      <x:c r="Q237" s="74" t="n">
        <x:v>46210.925217731485</x:v>
      </x:c>
      <x:c r="R237" s="19" t="n">
        <x:v>8902245</x:v>
      </x:c>
      <x:c r="S237" t="str">
        <x:v>40355b29bce094aef0e99358bdfd4011b92e72a54440a67760de4afae4883c33</x:v>
      </x:c>
      <x:c r="T237" t="str">
        <x:v>factor_report/gtja191_batch/gtja_175/ic_summary.csv</x:v>
      </x:c>
    </x:row>
    <x:row r="238">
      <x:c r="A238" s="50" t="n">
        <x:f>IF($P238="legacy_common_sample_8902245",1+COUNTIFS($C$5:$C$546,$C238,$P$5:$P$546,"legacy_common_sample_8902245",$I$5:$I$546,"&gt;"&amp;$I238),"")</x:f>
        <x:v>64</x:v>
      </x:c>
      <x:c r="B238" t="str">
        <x:v>gtja_166</x:v>
      </x:c>
      <x:c r="C238" s="50" t="n">
        <x:v>10</x:v>
      </x:c>
      <x:c r="D238" t="str">
        <x:f>IF(E238&gt;=0,"positive","negative")</x:f>
        <x:v>positive</x:v>
      </x:c>
      <x:c r="E238" s="30" t="n">
        <x:v>0.030843813362062756</x:v>
      </x:c>
      <x:c r="F238" s="30" t="n">
        <x:f>ABS(E238)</x:f>
        <x:v>0.030843813362062756</x:v>
      </x:c>
      <x:c r="G238" s="30" t="n">
        <x:v>0.08696498295327573</x:v>
      </x:c>
      <x:c r="H238" s="30" t="n">
        <x:v>0.3546693429312166</x:v>
      </x:c>
      <x:c r="I238" s="30" t="n">
        <x:f>ABS(H238)</x:f>
        <x:v>0.3546693429312166</x:v>
      </x:c>
      <x:c r="J238" s="30" t="n">
        <x:v>0.6368658965344048</x:v>
      </x:c>
      <x:c r="K238" s="30" t="n">
        <x:v>0.01677278711383993</x:v>
      </x:c>
      <x:c r="L238" s="30" t="n">
        <x:v>0.23576858070709814</x:v>
      </x:c>
      <x:c r="M238" s="30" t="n">
        <x:v>0.5881466599698644</x:v>
      </x:c>
      <x:c r="N238" s="19" t="n">
        <x:v>1991</x:v>
      </x:c>
      <x:c r="O238" t="b">
        <x:f>P238="legacy_common_sample_8902245"</x:f>
        <x:v>1</x:v>
      </x:c>
      <x:c r="P238" t="str">
        <x:v>legacy_common_sample_8902245</x:v>
      </x:c>
      <x:c r="Q238" s="74" t="n">
        <x:v>46211.52024034722</x:v>
      </x:c>
      <x:c r="R238" s="19" t="n">
        <x:v>8902245</x:v>
      </x:c>
      <x:c r="S238" t="str">
        <x:v>8f7e606554926462248cbcc654181861438ca768a0063f6b317223ede37d16fb</x:v>
      </x:c>
      <x:c r="T238" t="str">
        <x:v>factor_report/gtja191_batch/gtja_166/ic_summary.csv</x:v>
      </x:c>
    </x:row>
    <x:row r="239">
      <x:c r="A239" s="50" t="n">
        <x:f>IF($P239="legacy_common_sample_8902245",1+COUNTIFS($C$5:$C$546,$C239,$P$5:$P$546,"legacy_common_sample_8902245",$I$5:$I$546,"&gt;"&amp;$I239),"")</x:f>
        <x:v>65</x:v>
      </x:c>
      <x:c r="B239" t="str">
        <x:v>gtja_035</x:v>
      </x:c>
      <x:c r="C239" s="50" t="n">
        <x:v>10</x:v>
      </x:c>
      <x:c r="D239" t="str">
        <x:f>IF(E239&gt;=0,"positive","negative")</x:f>
        <x:v>positive</x:v>
      </x:c>
      <x:c r="E239" s="30" t="n">
        <x:v>0.033680898953476535</x:v>
      </x:c>
      <x:c r="F239" s="30" t="n">
        <x:f>ABS(E239)</x:f>
        <x:v>0.033680898953476535</x:v>
      </x:c>
      <x:c r="G239" s="30" t="n">
        <x:v>0.09795333147615004</x:v>
      </x:c>
      <x:c r="H239" s="30" t="n">
        <x:v>0.34384638527253414</x:v>
      </x:c>
      <x:c r="I239" s="30" t="n">
        <x:f>ABS(H239)</x:f>
        <x:v>0.34384638527253414</x:v>
      </x:c>
      <x:c r="J239" s="30" t="n">
        <x:v>0.6494224008036162</x:v>
      </x:c>
      <x:c r="K239" s="30" t="n">
        <x:v>0.025416303370882704</x:v>
      </x:c>
      <x:c r="L239" s="30" t="n">
        <x:v>0.29428530777800493</x:v>
      </x:c>
      <x:c r="M239" s="30" t="n">
        <x:v>0.622802611752888</x:v>
      </x:c>
      <x:c r="N239" s="19" t="n">
        <x:v>1991</x:v>
      </x:c>
      <x:c r="O239" t="b">
        <x:f>P239="legacy_common_sample_8902245"</x:f>
        <x:v>1</x:v>
      </x:c>
      <x:c r="P239" t="str">
        <x:v>legacy_common_sample_8902245</x:v>
      </x:c>
      <x:c r="Q239" s="74" t="n">
        <x:v>46211.2335940162</x:v>
      </x:c>
      <x:c r="R239" s="19" t="n">
        <x:v>8902245</x:v>
      </x:c>
      <x:c r="S239" t="str">
        <x:v>8f7e606554926462248cbcc654181861438ca768a0063f6b317223ede37d16fb</x:v>
      </x:c>
      <x:c r="T239" t="str">
        <x:v>factor_report/gtja191_batch/gtja_035/ic_summary.csv</x:v>
      </x:c>
    </x:row>
    <x:row r="240">
      <x:c r="A240" s="50" t="n">
        <x:f>IF($P240="legacy_common_sample_8902245",1+COUNTIFS($C$5:$C$546,$C240,$P$5:$P$546,"legacy_common_sample_8902245",$I$5:$I$546,"&gt;"&amp;$I240),"")</x:f>
        <x:v>66</x:v>
      </x:c>
      <x:c r="B240" t="str">
        <x:v>gtja_024</x:v>
      </x:c>
      <x:c r="C240" s="50" t="n">
        <x:v>10</x:v>
      </x:c>
      <x:c r="D240" t="str">
        <x:f>IF(E240&gt;=0,"positive","negative")</x:f>
        <x:v>negative</x:v>
      </x:c>
      <x:c r="E240" s="30" t="n">
        <x:v>-0.04380781333991292</x:v>
      </x:c>
      <x:c r="F240" s="30" t="n">
        <x:f>ABS(E240)</x:f>
        <x:v>0.04380781333991292</x:v>
      </x:c>
      <x:c r="G240" s="30" t="n">
        <x:v>0.12816000438152558</x:v>
      </x:c>
      <x:c r="H240" s="30" t="n">
        <x:v>-0.34182125345048653</x:v>
      </x:c>
      <x:c r="I240" s="30" t="n">
        <x:f>ABS(H240)</x:f>
        <x:v>0.34182125345048653</x:v>
      </x:c>
      <x:c r="J240" s="30" t="n">
        <x:v>0.37167252636865894</x:v>
      </x:c>
      <x:c r="K240" s="30" t="n">
        <x:v>-0.02028255030162659</x:v>
      </x:c>
      <x:c r="L240" s="30" t="n">
        <x:v>-0.25435004776197906</x:v>
      </x:c>
      <x:c r="M240" s="30" t="n">
        <x:v>0.4083375188347564</x:v>
      </x:c>
      <x:c r="N240" s="19" t="n">
        <x:v>1991</x:v>
      </x:c>
      <x:c r="O240" t="b">
        <x:f>P240="legacy_common_sample_8902245"</x:f>
        <x:v>1</x:v>
      </x:c>
      <x:c r="P240" t="str">
        <x:v>legacy_common_sample_8902245</x:v>
      </x:c>
      <x:c r="Q240" s="74" t="n">
        <x:v>46210.21420491898</x:v>
      </x:c>
      <x:c r="R240" s="19" t="n">
        <x:v>8902245</x:v>
      </x:c>
      <x:c r="S240" t="str">
        <x:v>40355b29bce094aef0e99358bdfd4011b92e72a54440a67760de4afae4883c33</x:v>
      </x:c>
      <x:c r="T240" t="str">
        <x:v>factor_report/gtja191_batch/gtja_024/ic_summary.csv</x:v>
      </x:c>
    </x:row>
    <x:row r="241">
      <x:c r="A241" s="50" t="n">
        <x:f>IF($P241="legacy_common_sample_8902245",1+COUNTIFS($C$5:$C$546,$C241,$P$5:$P$546,"legacy_common_sample_8902245",$I$5:$I$546,"&gt;"&amp;$I241),"")</x:f>
        <x:v>67</x:v>
      </x:c>
      <x:c r="B241" t="str">
        <x:v>gtja_161</x:v>
      </x:c>
      <x:c r="C241" s="50" t="n">
        <x:v>10</x:v>
      </x:c>
      <x:c r="D241" t="str">
        <x:f>IF(E241&gt;=0,"positive","negative")</x:f>
        <x:v>negative</x:v>
      </x:c>
      <x:c r="E241" s="30" t="n">
        <x:v>-0.06624620031295926</x:v>
      </x:c>
      <x:c r="F241" s="30" t="n">
        <x:f>ABS(E241)</x:f>
        <x:v>0.06624620031295926</x:v>
      </x:c>
      <x:c r="G241" s="30" t="n">
        <x:v>0.1940851068409498</x:v>
      </x:c>
      <x:c r="H241" s="30" t="n">
        <x:v>-0.3413255215262197</x:v>
      </x:c>
      <x:c r="I241" s="30" t="n">
        <x:f>ABS(H241)</x:f>
        <x:v>0.3413255215262197</x:v>
      </x:c>
      <x:c r="J241" s="30" t="n">
        <x:v>0.3902561526870919</x:v>
      </x:c>
      <x:c r="K241" s="30" t="n">
        <x:v>-0.019156772473892764</x:v>
      </x:c>
      <x:c r="L241" s="30" t="n">
        <x:v>-0.16119128837669178</x:v>
      </x:c>
      <x:c r="M241" s="30" t="n">
        <x:v>0.44249121044701156</x:v>
      </x:c>
      <x:c r="N241" s="19" t="n">
        <x:v>1991</x:v>
      </x:c>
      <x:c r="O241" t="b">
        <x:f>P241="legacy_common_sample_8902245"</x:f>
        <x:v>1</x:v>
      </x:c>
      <x:c r="P241" t="str">
        <x:v>legacy_common_sample_8902245</x:v>
      </x:c>
      <x:c r="Q241" s="74" t="n">
        <x:v>46210.86347449074</x:v>
      </x:c>
      <x:c r="R241" s="19" t="n">
        <x:v>8902245</x:v>
      </x:c>
      <x:c r="S241" t="str">
        <x:v>40355b29bce094aef0e99358bdfd4011b92e72a54440a67760de4afae4883c33</x:v>
      </x:c>
      <x:c r="T241" t="str">
        <x:v>factor_report/gtja191_batch/gtja_161/ic_summary.csv</x:v>
      </x:c>
    </x:row>
    <x:row r="242">
      <x:c r="A242" s="50" t="n">
        <x:f>IF($P242="legacy_common_sample_8902245",1+COUNTIFS($C$5:$C$546,$C242,$P$5:$P$546,"legacy_common_sample_8902245",$I$5:$I$546,"&gt;"&amp;$I242),"")</x:f>
        <x:v>68</x:v>
      </x:c>
      <x:c r="B242" t="str">
        <x:v>gtja_144</x:v>
      </x:c>
      <x:c r="C242" s="50" t="n">
        <x:v>10</x:v>
      </x:c>
      <x:c r="D242" t="str">
        <x:f>IF(E242&gt;=0,"positive","negative")</x:f>
        <x:v>positive</x:v>
      </x:c>
      <x:c r="E242" s="30" t="n">
        <x:v>0.052773687297313424</x:v>
      </x:c>
      <x:c r="F242" s="30" t="n">
        <x:f>ABS(E242)</x:f>
        <x:v>0.052773687297313424</x:v>
      </x:c>
      <x:c r="G242" s="30" t="n">
        <x:v>0.154843361609323</x:v>
      </x:c>
      <x:c r="H242" s="30" t="n">
        <x:v>0.3408198242974335</x:v>
      </x:c>
      <x:c r="I242" s="30" t="n">
        <x:f>ABS(H242)</x:f>
        <x:v>0.3408198242974335</x:v>
      </x:c>
      <x:c r="J242" s="30" t="n">
        <x:v>0.6609743847312908</x:v>
      </x:c>
      <x:c r="K242" s="30" t="n">
        <x:v>0.028657345124829113</x:v>
      </x:c>
      <x:c r="L242" s="30" t="n">
        <x:v>0.3164822893816265</x:v>
      </x:c>
      <x:c r="M242" s="30" t="n">
        <x:v>0.6569563033651431</x:v>
      </x:c>
      <x:c r="N242" s="19" t="n">
        <x:v>1991</x:v>
      </x:c>
      <x:c r="O242" t="b">
        <x:f>P242="legacy_common_sample_8902245"</x:f>
        <x:v>1</x:v>
      </x:c>
      <x:c r="P242" t="str">
        <x:v>legacy_common_sample_8902245</x:v>
      </x:c>
      <x:c r="Q242" s="74" t="n">
        <x:v>46211.45256542824</x:v>
      </x:c>
      <x:c r="R242" s="19" t="n">
        <x:v>8902245</x:v>
      </x:c>
      <x:c r="S242" t="str">
        <x:v>8f7e606554926462248cbcc654181861438ca768a0063f6b317223ede37d16fb</x:v>
      </x:c>
      <x:c r="T242" t="str">
        <x:v>factor_report/gtja191_batch/gtja_144/ic_summary.csv</x:v>
      </x:c>
    </x:row>
    <x:row r="243">
      <x:c r="A243" s="50" t="n">
        <x:f>IF($P243="legacy_common_sample_8902245",1+COUNTIFS($C$5:$C$546,$C243,$P$5:$P$546,"legacy_common_sample_8902245",$I$5:$I$546,"&gt;"&amp;$I243),"")</x:f>
        <x:v>69</x:v>
      </x:c>
      <x:c r="B243" t="str">
        <x:v>gtja_130</x:v>
      </x:c>
      <x:c r="C243" s="50" t="n">
        <x:v>10</x:v>
      </x:c>
      <x:c r="D243" t="str">
        <x:f>IF(E243&gt;=0,"positive","negative")</x:f>
        <x:v>positive</x:v>
      </x:c>
      <x:c r="E243" s="30" t="n">
        <x:v>0.019332473959898393</x:v>
      </x:c>
      <x:c r="F243" s="30" t="n">
        <x:f>ABS(E243)</x:f>
        <x:v>0.019332473959898393</x:v>
      </x:c>
      <x:c r="G243" s="30" t="n">
        <x:v>0.05693808940221937</x:v>
      </x:c>
      <x:c r="H243" s="30" t="n">
        <x:v>0.33953499604334875</x:v>
      </x:c>
      <x:c r="I243" s="30" t="n">
        <x:f>ABS(H243)</x:f>
        <x:v>0.33953499604334875</x:v>
      </x:c>
      <x:c r="J243" s="30" t="n">
        <x:v>0.6373681567051733</x:v>
      </x:c>
      <x:c r="K243" s="30" t="n">
        <x:v>0.0016325517663179202</x:v>
      </x:c>
      <x:c r="L243" s="30" t="n">
        <x:v>0.08379374696833453</x:v>
      </x:c>
      <x:c r="M243" s="30" t="n">
        <x:v>0.4972375690607735</x:v>
      </x:c>
      <x:c r="N243" s="19" t="n">
        <x:v>1991</x:v>
      </x:c>
      <x:c r="O243" t="b">
        <x:f>P243="legacy_common_sample_8902245"</x:f>
        <x:v>1</x:v>
      </x:c>
      <x:c r="P243" t="str">
        <x:v>legacy_common_sample_8902245</x:v>
      </x:c>
      <x:c r="Q243" s="74" t="n">
        <x:v>46211.42025105324</x:v>
      </x:c>
      <x:c r="R243" s="19" t="n">
        <x:v>8902245</x:v>
      </x:c>
      <x:c r="S243" t="str">
        <x:v>8f7e606554926462248cbcc654181861438ca768a0063f6b317223ede37d16fb</x:v>
      </x:c>
      <x:c r="T243" t="str">
        <x:v>factor_report/gtja191_batch/gtja_130/ic_summary.csv</x:v>
      </x:c>
    </x:row>
    <x:row r="244">
      <x:c r="A244" s="50" t="n">
        <x:f>IF($P244="legacy_common_sample_8902245",1+COUNTIFS($C$5:$C$546,$C244,$P$5:$P$546,"legacy_common_sample_8902245",$I$5:$I$546,"&gt;"&amp;$I244),"")</x:f>
        <x:v>70</x:v>
      </x:c>
      <x:c r="B244" t="str">
        <x:v>gtja_079</x:v>
      </x:c>
      <x:c r="C244" s="50" t="n">
        <x:v>10</x:v>
      </x:c>
      <x:c r="D244" t="str">
        <x:f>IF(E244&gt;=0,"positive","negative")</x:f>
        <x:v>negative</x:v>
      </x:c>
      <x:c r="E244" s="30" t="n">
        <x:v>-0.04441185606748134</x:v>
      </x:c>
      <x:c r="F244" s="30" t="n">
        <x:f>ABS(E244)</x:f>
        <x:v>0.04441185606748134</x:v>
      </x:c>
      <x:c r="G244" s="30" t="n">
        <x:v>0.13128115904989424</x:v>
      </x:c>
      <x:c r="H244" s="30" t="n">
        <x:v>-0.3382957340481914</x:v>
      </x:c>
      <x:c r="I244" s="30" t="n">
        <x:f>ABS(H244)</x:f>
        <x:v>0.3382957340481914</x:v>
      </x:c>
      <x:c r="J244" s="30" t="n">
        <x:v>0.37769964841788045</x:v>
      </x:c>
      <x:c r="K244" s="30" t="n">
        <x:v>-0.020780330830408048</x:v>
      </x:c>
      <x:c r="L244" s="30" t="n">
        <x:v>-0.18341037559066184</x:v>
      </x:c>
      <x:c r="M244" s="30" t="n">
        <x:v>0.43545956805625313</x:v>
      </x:c>
      <x:c r="N244" s="19" t="n">
        <x:v>1991</x:v>
      </x:c>
      <x:c r="O244" t="b">
        <x:f>P244="legacy_common_sample_8902245"</x:f>
        <x:v>1</x:v>
      </x:c>
      <x:c r="P244" t="str">
        <x:v>legacy_common_sample_8902245</x:v>
      </x:c>
      <x:c r="Q244" s="74" t="n">
        <x:v>46210.47234655092</x:v>
      </x:c>
      <x:c r="R244" s="19" t="n">
        <x:v>8902245</x:v>
      </x:c>
      <x:c r="S244" t="str">
        <x:v>40355b29bce094aef0e99358bdfd4011b92e72a54440a67760de4afae4883c33</x:v>
      </x:c>
      <x:c r="T244" t="str">
        <x:v>factor_report/gtja191_batch/gtja_079/ic_summary.csv</x:v>
      </x:c>
    </x:row>
    <x:row r="245">
      <x:c r="A245" s="50" t="n">
        <x:f>IF($P245="legacy_common_sample_8902245",1+COUNTIFS($C$5:$C$546,$C245,$P$5:$P$546,"legacy_common_sample_8902245",$I$5:$I$546,"&gt;"&amp;$I245),"")</x:f>
        <x:v>71</x:v>
      </x:c>
      <x:c r="B245" t="str">
        <x:v>gtja_189</x:v>
      </x:c>
      <x:c r="C245" s="50" t="n">
        <x:v>10</x:v>
      </x:c>
      <x:c r="D245" t="str">
        <x:f>IF(E245&gt;=0,"positive","negative")</x:f>
        <x:v>negative</x:v>
      </x:c>
      <x:c r="E245" s="30" t="n">
        <x:v>-0.06157687027920172</x:v>
      </x:c>
      <x:c r="F245" s="30" t="n">
        <x:f>ABS(E245)</x:f>
        <x:v>0.06157687027920172</x:v>
      </x:c>
      <x:c r="G245" s="30" t="n">
        <x:v>0.18497392776181817</x:v>
      </x:c>
      <x:c r="H245" s="30" t="n">
        <x:v>-0.33289486266676044</x:v>
      </x:c>
      <x:c r="I245" s="30" t="n">
        <x:f>ABS(H245)</x:f>
        <x:v>0.33289486266676044</x:v>
      </x:c>
      <x:c r="J245" s="30" t="n">
        <x:v>0.39226519337016574</x:v>
      </x:c>
      <x:c r="K245" s="30" t="n">
        <x:v>-0.018868966323583366</x:v>
      </x:c>
      <x:c r="L245" s="30" t="n">
        <x:v>-0.17720192521079836</x:v>
      </x:c>
      <x:c r="M245" s="30" t="n">
        <x:v>0.44148669010547464</x:v>
      </x:c>
      <x:c r="N245" s="19" t="n">
        <x:v>1991</x:v>
      </x:c>
      <x:c r="O245" t="b">
        <x:f>P245="legacy_common_sample_8902245"</x:f>
        <x:v>1</x:v>
      </x:c>
      <x:c r="P245" t="str">
        <x:v>legacy_common_sample_8902245</x:v>
      </x:c>
      <x:c r="Q245" s="74" t="n">
        <x:v>46210.9753753125</x:v>
      </x:c>
      <x:c r="R245" s="19" t="n">
        <x:v>8902245</x:v>
      </x:c>
      <x:c r="S245" t="str">
        <x:v>40355b29bce094aef0e99358bdfd4011b92e72a54440a67760de4afae4883c33</x:v>
      </x:c>
      <x:c r="T245" t="str">
        <x:v>factor_report/gtja191_batch/gtja_189/ic_summary.csv</x:v>
      </x:c>
    </x:row>
    <x:row r="246">
      <x:c r="A246" s="50" t="n">
        <x:f>IF($P246="legacy_common_sample_8902245",1+COUNTIFS($C$5:$C$546,$C246,$P$5:$P$546,"legacy_common_sample_8902245",$I$5:$I$546,"&gt;"&amp;$I246),"")</x:f>
        <x:v>72</x:v>
      </x:c>
      <x:c r="B246" t="str">
        <x:v>gtja_168</x:v>
      </x:c>
      <x:c r="C246" s="50" t="n">
        <x:v>10</x:v>
      </x:c>
      <x:c r="D246" t="str">
        <x:f>IF(E246&gt;=0,"positive","negative")</x:f>
        <x:v>positive</x:v>
      </x:c>
      <x:c r="E246" s="30" t="n">
        <x:v>0.02736438952349721</x:v>
      </x:c>
      <x:c r="F246" s="30" t="n">
        <x:f>ABS(E246)</x:f>
        <x:v>0.02736438952349721</x:v>
      </x:c>
      <x:c r="G246" s="30" t="n">
        <x:v>0.08383360621500861</x:v>
      </x:c>
      <x:c r="H246" s="30" t="n">
        <x:v>0.3264131266560999</x:v>
      </x:c>
      <x:c r="I246" s="30" t="n">
        <x:f>ABS(H246)</x:f>
        <x:v>0.3264131266560999</x:v>
      </x:c>
      <x:c r="J246" s="30" t="n">
        <x:v>0.6438975389251632</x:v>
      </x:c>
      <x:c r="K246" s="30" t="n">
        <x:v>0.03313636369940044</x:v>
      </x:c>
      <x:c r="L246" s="30" t="n">
        <x:v>0.47772590429988915</x:v>
      </x:c>
      <x:c r="M246" s="30" t="n">
        <x:v>0.7051732797589151</x:v>
      </x:c>
      <x:c r="N246" s="19" t="n">
        <x:v>1991</x:v>
      </x:c>
      <x:c r="O246" t="b">
        <x:f>P246="legacy_common_sample_8902245"</x:f>
        <x:v>1</x:v>
      </x:c>
      <x:c r="P246" t="str">
        <x:v>legacy_common_sample_8902245</x:v>
      </x:c>
      <x:c r="Q246" s="74" t="n">
        <x:v>46211.52286168982</x:v>
      </x:c>
      <x:c r="R246" s="19" t="n">
        <x:v>8902245</x:v>
      </x:c>
      <x:c r="S246" t="str">
        <x:v>8f7e606554926462248cbcc654181861438ca768a0063f6b317223ede37d16fb</x:v>
      </x:c>
      <x:c r="T246" t="str">
        <x:v>factor_report/gtja191_batch/gtja_168/ic_summary.csv</x:v>
      </x:c>
    </x:row>
    <x:row r="247">
      <x:c r="A247" s="50" t="n">
        <x:f>IF($P247="legacy_common_sample_8902245",1+COUNTIFS($C$5:$C$546,$C247,$P$5:$P$546,"legacy_common_sample_8902245",$I$5:$I$546,"&gt;"&amp;$I247),"")</x:f>
        <x:v>73</x:v>
      </x:c>
      <x:c r="B247" t="str">
        <x:v>gtja_151</x:v>
      </x:c>
      <x:c r="C247" s="50" t="n">
        <x:v>10</x:v>
      </x:c>
      <x:c r="D247" t="str">
        <x:f>IF(E247&gt;=0,"positive","negative")</x:f>
        <x:v>negative</x:v>
      </x:c>
      <x:c r="E247" s="30" t="n">
        <x:v>-0.04543164372225063</x:v>
      </x:c>
      <x:c r="F247" s="30" t="n">
        <x:f>ABS(E247)</x:f>
        <x:v>0.04543164372225063</x:v>
      </x:c>
      <x:c r="G247" s="30" t="n">
        <x:v>0.13953071906118122</x:v>
      </x:c>
      <x:c r="H247" s="30" t="n">
        <x:v>-0.32560316486529267</x:v>
      </x:c>
      <x:c r="I247" s="30" t="n">
        <x:f>ABS(H247)</x:f>
        <x:v>0.32560316486529267</x:v>
      </x:c>
      <x:c r="J247" s="30" t="n">
        <x:v>0.3746860873932697</x:v>
      </x:c>
      <x:c r="K247" s="30" t="n">
        <x:v>-0.01073591069423631</x:v>
      </x:c>
      <x:c r="L247" s="30" t="n">
        <x:v>-0.11971982971209848</x:v>
      </x:c>
      <x:c r="M247" s="30" t="n">
        <x:v>0.45454545454545453</x:v>
      </x:c>
      <x:c r="N247" s="19" t="n">
        <x:v>1991</x:v>
      </x:c>
      <x:c r="O247" t="b">
        <x:f>P247="legacy_common_sample_8902245"</x:f>
        <x:v>1</x:v>
      </x:c>
      <x:c r="P247" t="str">
        <x:v>legacy_common_sample_8902245</x:v>
      </x:c>
      <x:c r="Q247" s="74" t="n">
        <x:v>46210.81806668981</x:v>
      </x:c>
      <x:c r="R247" s="19" t="n">
        <x:v>8902245</x:v>
      </x:c>
      <x:c r="S247" t="str">
        <x:v>40355b29bce094aef0e99358bdfd4011b92e72a54440a67760de4afae4883c33</x:v>
      </x:c>
      <x:c r="T247" t="str">
        <x:v>factor_report/gtja191_batch/gtja_151/ic_summary.csv</x:v>
      </x:c>
    </x:row>
    <x:row r="248">
      <x:c r="A248" s="50" t="n">
        <x:f>IF($P248="legacy_common_sample_8902245",1+COUNTIFS($C$5:$C$546,$C248,$P$5:$P$546,"legacy_common_sample_8902245",$I$5:$I$546,"&gt;"&amp;$I248),"")</x:f>
        <x:v>74</x:v>
      </x:c>
      <x:c r="B248" t="str">
        <x:v>gtja_103</x:v>
      </x:c>
      <x:c r="C248" s="50" t="n">
        <x:v>10</x:v>
      </x:c>
      <x:c r="D248" t="str">
        <x:f>IF(E248&gt;=0,"positive","negative")</x:f>
        <x:v>positive</x:v>
      </x:c>
      <x:c r="E248" s="30" t="n">
        <x:v>0.03330244144600269</x:v>
      </x:c>
      <x:c r="F248" s="30" t="n">
        <x:f>ABS(E248)</x:f>
        <x:v>0.03330244144600269</x:v>
      </x:c>
      <x:c r="G248" s="30" t="n">
        <x:v>0.10277969324317926</x:v>
      </x:c>
      <x:c r="H248" s="30" t="n">
        <x:v>0.32401771590433043</x:v>
      </x:c>
      <x:c r="I248" s="30" t="n">
        <x:f>ABS(H248)</x:f>
        <x:v>0.32401771590433043</x:v>
      </x:c>
      <x:c r="J248" s="30" t="n">
        <x:v>0.6017076845806127</x:v>
      </x:c>
      <x:c r="K248" s="30" t="n">
        <x:v>0.016119395577333318</x:v>
      </x:c>
      <x:c r="L248" s="30" t="n">
        <x:v>0.1845054853124663</x:v>
      </x:c>
      <x:c r="M248" s="30" t="n">
        <x:v>0.5474635861376193</x:v>
      </x:c>
      <x:c r="N248" s="19" t="n">
        <x:v>1991</x:v>
      </x:c>
      <x:c r="O248" t="b">
        <x:f>P248="legacy_common_sample_8902245"</x:f>
        <x:v>1</x:v>
      </x:c>
      <x:c r="P248" t="str">
        <x:v>legacy_common_sample_8902245</x:v>
      </x:c>
      <x:c r="Q248" s="74" t="n">
        <x:v>46211.35333019676</x:v>
      </x:c>
      <x:c r="R248" s="19" t="n">
        <x:v>8902245</x:v>
      </x:c>
      <x:c r="S248" t="str">
        <x:v>8f7e606554926462248cbcc654181861438ca768a0063f6b317223ede37d16fb</x:v>
      </x:c>
      <x:c r="T248" t="str">
        <x:v>factor_report/gtja191_batch/gtja_103/ic_summary.csv</x:v>
      </x:c>
    </x:row>
    <x:row r="249">
      <x:c r="A249" s="50" t="n">
        <x:f>IF($P249="legacy_common_sample_8902245",1+COUNTIFS($C$5:$C$546,$C249,$P$5:$P$546,"legacy_common_sample_8902245",$I$5:$I$546,"&gt;"&amp;$I249),"")</x:f>
        <x:v>75</x:v>
      </x:c>
      <x:c r="B249" t="str">
        <x:v>gtja_164</x:v>
      </x:c>
      <x:c r="C249" s="50" t="n">
        <x:v>10</x:v>
      </x:c>
      <x:c r="D249" t="str">
        <x:f>IF(E249&gt;=0,"positive","negative")</x:f>
        <x:v>positive</x:v>
      </x:c>
      <x:c r="E249" s="30" t="n">
        <x:v>0.05937842965949153</x:v>
      </x:c>
      <x:c r="F249" s="30" t="n">
        <x:f>ABS(E249)</x:f>
        <x:v>0.05937842965949153</x:v>
      </x:c>
      <x:c r="G249" s="30" t="n">
        <x:v>0.18339244463409524</x:v>
      </x:c>
      <x:c r="H249" s="30" t="n">
        <x:v>0.32377794940224186</x:v>
      </x:c>
      <x:c r="I249" s="30" t="n">
        <x:f>ABS(H249)</x:f>
        <x:v>0.32377794940224186</x:v>
      </x:c>
      <x:c r="J249" s="30" t="n">
        <x:v>0.6027122049221497</x:v>
      </x:c>
      <x:c r="K249" s="30" t="n">
        <x:v>0.015227190171499828</x:v>
      </x:c>
      <x:c r="L249" s="30" t="n">
        <x:v>0.1540096879950636</x:v>
      </x:c>
      <x:c r="M249" s="30" t="n">
        <x:v>0.5364138623807132</x:v>
      </x:c>
      <x:c r="N249" s="19" t="n">
        <x:v>1991</x:v>
      </x:c>
      <x:c r="O249" t="b">
        <x:f>P249="legacy_common_sample_8902245"</x:f>
        <x:v>1</x:v>
      </x:c>
      <x:c r="P249" t="str">
        <x:v>legacy_common_sample_8902245</x:v>
      </x:c>
      <x:c r="Q249" s="74" t="n">
        <x:v>46211.51530107639</x:v>
      </x:c>
      <x:c r="R249" s="19" t="n">
        <x:v>8902245</x:v>
      </x:c>
      <x:c r="S249" t="str">
        <x:v>8f7e606554926462248cbcc654181861438ca768a0063f6b317223ede37d16fb</x:v>
      </x:c>
      <x:c r="T249" t="str">
        <x:v>factor_report/gtja191_batch/gtja_164/ic_summary.csv</x:v>
      </x:c>
    </x:row>
    <x:row r="250">
      <x:c r="A250" s="50" t="n">
        <x:f>IF($P250="legacy_common_sample_8902245",1+COUNTIFS($C$5:$C$546,$C250,$P$5:$P$546,"legacy_common_sample_8902245",$I$5:$I$546,"&gt;"&amp;$I250),"")</x:f>
        <x:v>76</x:v>
      </x:c>
      <x:c r="B250" t="str">
        <x:v>gtja_148</x:v>
      </x:c>
      <x:c r="C250" s="50" t="n">
        <x:v>10</x:v>
      </x:c>
      <x:c r="D250" t="str">
        <x:f>IF(E250&gt;=0,"positive","negative")</x:f>
        <x:v>positive</x:v>
      </x:c>
      <x:c r="E250" s="30" t="n">
        <x:v>0.029721592729636395</x:v>
      </x:c>
      <x:c r="F250" s="30" t="n">
        <x:f>ABS(E250)</x:f>
        <x:v>0.029721592729636395</x:v>
      </x:c>
      <x:c r="G250" s="30" t="n">
        <x:v>0.09209976179930796</x:v>
      </x:c>
      <x:c r="H250" s="30" t="n">
        <x:v>0.32271085341568956</x:v>
      </x:c>
      <x:c r="I250" s="30" t="n">
        <x:f>ABS(H250)</x:f>
        <x:v>0.32271085341568956</x:v>
      </x:c>
      <x:c r="J250" s="30" t="n">
        <x:v>0.627718765806778</x:v>
      </x:c>
      <x:c r="K250" s="30" t="n">
        <x:v>0.012274824945200083</x:v>
      </x:c>
      <x:c r="L250" s="30" t="n">
        <x:v>0.15534897586552715</x:v>
      </x:c>
      <x:c r="M250" s="30" t="n">
        <x:v>0.5649974709155285</x:v>
      </x:c>
      <x:c r="N250" s="19" t="n">
        <x:v>1977</x:v>
      </x:c>
      <x:c r="O250" t="b">
        <x:f>P250="legacy_common_sample_8902245"</x:f>
        <x:v>1</x:v>
      </x:c>
      <x:c r="P250" t="str">
        <x:v>legacy_common_sample_8902245</x:v>
      </x:c>
      <x:c r="Q250" s="74" t="n">
        <x:v>46211.47057563657</x:v>
      </x:c>
      <x:c r="R250" s="19" t="n">
        <x:v>8902245</x:v>
      </x:c>
      <x:c r="S250" t="str">
        <x:v>8f7e606554926462248cbcc654181861438ca768a0063f6b317223ede37d16fb</x:v>
      </x:c>
      <x:c r="T250" t="str">
        <x:v>factor_report/gtja191_batch/gtja_148/ic_summary.csv</x:v>
      </x:c>
    </x:row>
    <x:row r="251">
      <x:c r="A251" s="50" t="n">
        <x:f>IF($P251="legacy_common_sample_8902245",1+COUNTIFS($C$5:$C$546,$C251,$P$5:$P$546,"legacy_common_sample_8902245",$I$5:$I$546,"&gt;"&amp;$I251),"")</x:f>
        <x:v>77</x:v>
      </x:c>
      <x:c r="B251" t="str">
        <x:v>gtja_046</x:v>
      </x:c>
      <x:c r="C251" s="50" t="n">
        <x:v>10</x:v>
      </x:c>
      <x:c r="D251" t="str">
        <x:f>IF(E251&gt;=0,"positive","negative")</x:f>
        <x:v>positive</x:v>
      </x:c>
      <x:c r="E251" s="30" t="n">
        <x:v>0.04280589597514839</x:v>
      </x:c>
      <x:c r="F251" s="30" t="n">
        <x:f>ABS(E251)</x:f>
        <x:v>0.04280589597514839</x:v>
      </x:c>
      <x:c r="G251" s="30" t="n">
        <x:v>0.13582111413615888</x:v>
      </x:c>
      <x:c r="H251" s="30" t="n">
        <x:v>0.3151637817683931</x:v>
      </x:c>
      <x:c r="I251" s="30" t="n">
        <x:f>ABS(H251)</x:f>
        <x:v>0.3151637817683931</x:v>
      </x:c>
      <x:c r="J251" s="30" t="n">
        <x:v>0.6122551481667504</x:v>
      </x:c>
      <x:c r="K251" s="30" t="n">
        <x:v>0.03662436844716769</x:v>
      </x:c>
      <x:c r="L251" s="30" t="n">
        <x:v>0.3139471464993922</x:v>
      </x:c>
      <x:c r="M251" s="30" t="n">
        <x:v>0.623807132094425</x:v>
      </x:c>
      <x:c r="N251" s="19" t="n">
        <x:v>1991</x:v>
      </x:c>
      <x:c r="O251" t="b">
        <x:f>P251="legacy_common_sample_8902245"</x:f>
        <x:v>1</x:v>
      </x:c>
      <x:c r="P251" t="str">
        <x:v>legacy_common_sample_8902245</x:v>
      </x:c>
      <x:c r="Q251" s="74" t="n">
        <x:v>46211.26878402778</x:v>
      </x:c>
      <x:c r="R251" s="19" t="n">
        <x:v>8902245</x:v>
      </x:c>
      <x:c r="S251" t="str">
        <x:v>8f7e606554926462248cbcc654181861438ca768a0063f6b317223ede37d16fb</x:v>
      </x:c>
      <x:c r="T251" t="str">
        <x:v>factor_report/gtja191_batch/gtja_046/ic_summary.csv</x:v>
      </x:c>
    </x:row>
    <x:row r="252">
      <x:c r="A252" s="50" t="n">
        <x:f>IF($P252="legacy_common_sample_8902245",1+COUNTIFS($C$5:$C$546,$C252,$P$5:$P$546,"legacy_common_sample_8902245",$I$5:$I$546,"&gt;"&amp;$I252),"")</x:f>
        <x:v>78</x:v>
      </x:c>
      <x:c r="B252" t="str">
        <x:v>gtja_128</x:v>
      </x:c>
      <x:c r="C252" s="50" t="n">
        <x:v>10</x:v>
      </x:c>
      <x:c r="D252" t="str">
        <x:f>IF(E252&gt;=0,"positive","negative")</x:f>
        <x:v>negative</x:v>
      </x:c>
      <x:c r="E252" s="30" t="n">
        <x:v>-0.032949282801604314</x:v>
      </x:c>
      <x:c r="F252" s="30" t="n">
        <x:f>ABS(E252)</x:f>
        <x:v>0.032949282801604314</x:v>
      </x:c>
      <x:c r="G252" s="30" t="n">
        <x:v>0.10843444644072324</x:v>
      </x:c>
      <x:c r="H252" s="30" t="n">
        <x:v>-0.30386361422167046</x:v>
      </x:c>
      <x:c r="I252" s="30" t="n">
        <x:f>ABS(H252)</x:f>
        <x:v>0.30386361422167046</x:v>
      </x:c>
      <x:c r="J252" s="30" t="n">
        <x:v>0.38372677046710196</x:v>
      </x:c>
      <x:c r="K252" s="30" t="n">
        <x:v>-0.013528478648441136</x:v>
      </x:c>
      <x:c r="L252" s="30" t="n">
        <x:v>-0.14388326474367796</x:v>
      </x:c>
      <x:c r="M252" s="30" t="n">
        <x:v>0.4480160723254646</x:v>
      </x:c>
      <x:c r="N252" s="19" t="n">
        <x:v>1991</x:v>
      </x:c>
      <x:c r="O252" t="b">
        <x:f>P252="legacy_common_sample_8902245"</x:f>
        <x:v>1</x:v>
      </x:c>
      <x:c r="P252" t="str">
        <x:v>legacy_common_sample_8902245</x:v>
      </x:c>
      <x:c r="Q252" s="74" t="n">
        <x:v>46210.71593150463</x:v>
      </x:c>
      <x:c r="R252" s="19" t="n">
        <x:v>8902245</x:v>
      </x:c>
      <x:c r="S252" t="str">
        <x:v>40355b29bce094aef0e99358bdfd4011b92e72a54440a67760de4afae4883c33</x:v>
      </x:c>
      <x:c r="T252" t="str">
        <x:v>factor_report/gtja191_batch/gtja_128/ic_summary.csv</x:v>
      </x:c>
    </x:row>
    <x:row r="253">
      <x:c r="A253" s="50" t="n">
        <x:f>IF($P253="legacy_common_sample_8902245",1+COUNTIFS($C$5:$C$546,$C253,$P$5:$P$546,"legacy_common_sample_8902245",$I$5:$I$546,"&gt;"&amp;$I253),"")</x:f>
        <x:v>79</x:v>
      </x:c>
      <x:c r="B253" t="str">
        <x:v>gtja_136</x:v>
      </x:c>
      <x:c r="C253" s="50" t="n">
        <x:v>10</x:v>
      </x:c>
      <x:c r="D253" t="str">
        <x:f>IF(E253&gt;=0,"positive","negative")</x:f>
        <x:v>positive</x:v>
      </x:c>
      <x:c r="E253" s="30" t="n">
        <x:v>0.022192194068804304</x:v>
      </x:c>
      <x:c r="F253" s="30" t="n">
        <x:f>ABS(E253)</x:f>
        <x:v>0.022192194068804304</x:v>
      </x:c>
      <x:c r="G253" s="30" t="n">
        <x:v>0.07372370694543334</x:v>
      </x:c>
      <x:c r="H253" s="30" t="n">
        <x:v>0.301018423900332</x:v>
      </x:c>
      <x:c r="I253" s="30" t="n">
        <x:f>ABS(H253)</x:f>
        <x:v>0.301018423900332</x:v>
      </x:c>
      <x:c r="J253" s="30" t="n">
        <x:v>0.6328478151682572</x:v>
      </x:c>
      <x:c r="K253" s="30" t="n">
        <x:v>0.017253119940112763</x:v>
      </x:c>
      <x:c r="L253" s="30" t="n">
        <x:v>0.27831133816329895</x:v>
      </x:c>
      <x:c r="M253" s="30" t="n">
        <x:v>0.6092415871421396</x:v>
      </x:c>
      <x:c r="N253" s="19" t="n">
        <x:v>1991</x:v>
      </x:c>
      <x:c r="O253" t="b">
        <x:f>P253="legacy_common_sample_8902245"</x:f>
        <x:v>1</x:v>
      </x:c>
      <x:c r="P253" t="str">
        <x:v>legacy_common_sample_8902245</x:v>
      </x:c>
      <x:c r="Q253" s="74" t="n">
        <x:v>46211.42709479167</x:v>
      </x:c>
      <x:c r="R253" s="19" t="n">
        <x:v>8902245</x:v>
      </x:c>
      <x:c r="S253" t="str">
        <x:v>8f7e606554926462248cbcc654181861438ca768a0063f6b317223ede37d16fb</x:v>
      </x:c>
      <x:c r="T253" t="str">
        <x:v>factor_report/gtja191_batch/gtja_136/ic_summary.csv</x:v>
      </x:c>
    </x:row>
    <x:row r="254">
      <x:c r="A254" s="50" t="n">
        <x:f>IF($P254="legacy_common_sample_8902245",1+COUNTIFS($C$5:$C$546,$C254,$P$5:$P$546,"legacy_common_sample_8902245",$I$5:$I$546,"&gt;"&amp;$I254),"")</x:f>
        <x:v>80</x:v>
      </x:c>
      <x:c r="B254" t="str">
        <x:v>gtja_043</x:v>
      </x:c>
      <x:c r="C254" s="50" t="n">
        <x:v>10</x:v>
      </x:c>
      <x:c r="D254" t="str">
        <x:f>IF(E254&gt;=0,"positive","negative")</x:f>
        <x:v>negative</x:v>
      </x:c>
      <x:c r="E254" s="30" t="n">
        <x:v>-0.02657135519980472</x:v>
      </x:c>
      <x:c r="F254" s="30" t="n">
        <x:f>ABS(E254)</x:f>
        <x:v>0.02657135519980472</x:v>
      </x:c>
      <x:c r="G254" s="30" t="n">
        <x:v>0.08854096997230874</x:v>
      </x:c>
      <x:c r="H254" s="30" t="n">
        <x:v>-0.3001023730383226</x:v>
      </x:c>
      <x:c r="I254" s="30" t="n">
        <x:f>ABS(H254)</x:f>
        <x:v>0.3001023730383226</x:v>
      </x:c>
      <x:c r="J254" s="30" t="n">
        <x:v>0.3807132094424912</x:v>
      </x:c>
      <x:c r="K254" s="30" t="n">
        <x:v>-0.01390558776035445</x:v>
      </x:c>
      <x:c r="L254" s="30" t="n">
        <x:v>-0.24880850811603059</x:v>
      </x:c>
      <x:c r="M254" s="30" t="n">
        <x:v>0.39276745354093423</x:v>
      </x:c>
      <x:c r="N254" s="19" t="n">
        <x:v>1991</x:v>
      </x:c>
      <x:c r="O254" t="b">
        <x:f>P254="legacy_common_sample_8902245"</x:f>
        <x:v>1</x:v>
      </x:c>
      <x:c r="P254" t="str">
        <x:v>legacy_common_sample_8902245</x:v>
      </x:c>
      <x:c r="Q254" s="74" t="n">
        <x:v>46210.29250166666</x:v>
      </x:c>
      <x:c r="R254" s="19" t="n">
        <x:v>8902245</x:v>
      </x:c>
      <x:c r="S254" t="str">
        <x:v>40355b29bce094aef0e99358bdfd4011b92e72a54440a67760de4afae4883c33</x:v>
      </x:c>
      <x:c r="T254" t="str">
        <x:v>factor_report/gtja191_batch/gtja_043/ic_summary.csv</x:v>
      </x:c>
    </x:row>
    <x:row r="255">
      <x:c r="A255" s="50" t="n">
        <x:f>IF($P255="legacy_common_sample_8902245",1+COUNTIFS($C$5:$C$546,$C255,$P$5:$P$546,"legacy_common_sample_8902245",$I$5:$I$546,"&gt;"&amp;$I255),"")</x:f>
        <x:v>81</x:v>
      </x:c>
      <x:c r="B255" t="str">
        <x:v>gtja_029</x:v>
      </x:c>
      <x:c r="C255" s="50" t="n">
        <x:v>10</x:v>
      </x:c>
      <x:c r="D255" t="str">
        <x:f>IF(E255&gt;=0,"positive","negative")</x:f>
        <x:v>negative</x:v>
      </x:c>
      <x:c r="E255" s="30" t="n">
        <x:v>-0.03161670993285054</x:v>
      </x:c>
      <x:c r="F255" s="30" t="n">
        <x:f>ABS(E255)</x:f>
        <x:v>0.03161670993285054</x:v>
      </x:c>
      <x:c r="G255" s="30" t="n">
        <x:v>0.10584119237246778</x:v>
      </x:c>
      <x:c r="H255" s="30" t="n">
        <x:v>-0.2987183838744708</x:v>
      </x:c>
      <x:c r="I255" s="30" t="n">
        <x:f>ABS(H255)</x:f>
        <x:v>0.2987183838744708</x:v>
      </x:c>
      <x:c r="J255" s="30" t="n">
        <x:v>0.3937719738824711</x:v>
      </x:c>
      <x:c r="K255" s="30" t="n">
        <x:v>-0.028740183137501273</x:v>
      </x:c>
      <x:c r="L255" s="30" t="n">
        <x:v>-0.4524841006052018</x:v>
      </x:c>
      <x:c r="M255" s="30" t="n">
        <x:v>0.31039678553490707</x:v>
      </x:c>
      <x:c r="N255" s="19" t="n">
        <x:v>1991</x:v>
      </x:c>
      <x:c r="O255" t="b">
        <x:f>P255="legacy_common_sample_8902245"</x:f>
        <x:v>1</x:v>
      </x:c>
      <x:c r="P255" t="str">
        <x:v>legacy_common_sample_8902245</x:v>
      </x:c>
      <x:c r="Q255" s="74" t="n">
        <x:v>46210.234402939815</x:v>
      </x:c>
      <x:c r="R255" s="19" t="n">
        <x:v>8902245</x:v>
      </x:c>
      <x:c r="S255" t="str">
        <x:v>40355b29bce094aef0e99358bdfd4011b92e72a54440a67760de4afae4883c33</x:v>
      </x:c>
      <x:c r="T255" t="str">
        <x:v>factor_report/gtja191_batch/gtja_029/ic_summary.csv</x:v>
      </x:c>
    </x:row>
    <x:row r="256">
      <x:c r="A256" s="50" t="n">
        <x:f>IF($P256="legacy_common_sample_8902245",1+COUNTIFS($C$5:$C$546,$C256,$P$5:$P$546,"legacy_common_sample_8902245",$I$5:$I$546,"&gt;"&amp;$I256),"")</x:f>
        <x:v>82</x:v>
      </x:c>
      <x:c r="B256" t="str">
        <x:v>gtja_056</x:v>
      </x:c>
      <x:c r="C256" s="50" t="n">
        <x:v>10</x:v>
      </x:c>
      <x:c r="D256" t="str">
        <x:f>IF(E256&gt;=0,"positive","negative")</x:f>
        <x:v>positive</x:v>
      </x:c>
      <x:c r="E256" s="30" t="n">
        <x:v>0.024696541184129516</x:v>
      </x:c>
      <x:c r="F256" s="30" t="n">
        <x:f>ABS(E256)</x:f>
        <x:v>0.024696541184129516</x:v>
      </x:c>
      <x:c r="G256" s="30" t="n">
        <x:v>0.08441852211642062</x:v>
      </x:c>
      <x:c r="H256" s="30" t="n">
        <x:v>0.2925488455018295</x:v>
      </x:c>
      <x:c r="I256" s="30" t="n">
        <x:f>ABS(H256)</x:f>
        <x:v>0.2925488455018295</x:v>
      </x:c>
      <x:c r="J256" s="30" t="n">
        <x:v>0.6045454545454545</x:v>
      </x:c>
      <x:c r="K256" s="30" t="n">
        <x:v>0.010996001451732415</x:v>
      </x:c>
      <x:c r="L256" s="30" t="n">
        <x:v>0.1506663569712983</x:v>
      </x:c>
      <x:c r="M256" s="30" t="n">
        <x:v>0.5601010101010101</x:v>
      </x:c>
      <x:c r="N256" s="19" t="n">
        <x:v>1980</x:v>
      </x:c>
      <x:c r="O256" t="b">
        <x:f>P256="legacy_common_sample_8902245"</x:f>
        <x:v>1</x:v>
      </x:c>
      <x:c r="P256" t="str">
        <x:v>legacy_common_sample_8902245</x:v>
      </x:c>
      <x:c r="Q256" s="74" t="n">
        <x:v>46211.28159711805</x:v>
      </x:c>
      <x:c r="R256" s="19" t="n">
        <x:v>8902245</x:v>
      </x:c>
      <x:c r="S256" t="str">
        <x:v>8f7e606554926462248cbcc654181861438ca768a0063f6b317223ede37d16fb</x:v>
      </x:c>
      <x:c r="T256" t="str">
        <x:v>factor_report/gtja191_batch/gtja_056/ic_summary.csv</x:v>
      </x:c>
    </x:row>
    <x:row r="257">
      <x:c r="A257" s="50" t="n">
        <x:f>IF($P257="legacy_common_sample_8902245",1+COUNTIFS($C$5:$C$546,$C257,$P$5:$P$546,"legacy_common_sample_8902245",$I$5:$I$546,"&gt;"&amp;$I257),"")</x:f>
        <x:v>83</x:v>
      </x:c>
      <x:c r="B257" t="str">
        <x:v>gtja_021</x:v>
      </x:c>
      <x:c r="C257" s="50" t="n">
        <x:v>10</x:v>
      </x:c>
      <x:c r="D257" t="str">
        <x:f>IF(E257&gt;=0,"positive","negative")</x:f>
        <x:v>negative</x:v>
      </x:c>
      <x:c r="E257" s="30" t="n">
        <x:v>-0.03594981210637164</x:v>
      </x:c>
      <x:c r="F257" s="30" t="n">
        <x:f>ABS(E257)</x:f>
        <x:v>0.03594981210637164</x:v>
      </x:c>
      <x:c r="G257" s="30" t="n">
        <x:v>0.12294838126188924</x:v>
      </x:c>
      <x:c r="H257" s="30" t="n">
        <x:v>-0.2923976040790309</x:v>
      </x:c>
      <x:c r="I257" s="30" t="n">
        <x:f>ABS(H257)</x:f>
        <x:v>0.2923976040790309</x:v>
      </x:c>
      <x:c r="J257" s="30" t="n">
        <x:v>0.3937719738824711</x:v>
      </x:c>
      <x:c r="K257" s="30" t="n">
        <x:v>-0.016966858972330152</x:v>
      </x:c>
      <x:c r="L257" s="30" t="n">
        <x:v>-0.22297248416638568</x:v>
      </x:c>
      <x:c r="M257" s="30" t="n">
        <x:v>0.40783525866398795</x:v>
      </x:c>
      <x:c r="N257" s="19" t="n">
        <x:v>1991</x:v>
      </x:c>
      <x:c r="O257" t="b">
        <x:f>P257="legacy_common_sample_8902245"</x:f>
        <x:v>1</x:v>
      </x:c>
      <x:c r="P257" t="str">
        <x:v>legacy_common_sample_8902245</x:v>
      </x:c>
      <x:c r="Q257" s="74" t="n">
        <x:v>46210.1997081713</x:v>
      </x:c>
      <x:c r="R257" s="19" t="n">
        <x:v>8902245</x:v>
      </x:c>
      <x:c r="S257" t="str">
        <x:v>40355b29bce094aef0e99358bdfd4011b92e72a54440a67760de4afae4883c33</x:v>
      </x:c>
      <x:c r="T257" t="str">
        <x:v>factor_report/gtja191_batch/gtja_021/ic_summary.csv</x:v>
      </x:c>
    </x:row>
    <x:row r="258">
      <x:c r="A258" s="50" t="n">
        <x:f>IF($P258="legacy_common_sample_8902245",1+COUNTIFS($C$5:$C$546,$C258,$P$5:$P$546,"legacy_common_sample_8902245",$I$5:$I$546,"&gt;"&amp;$I258),"")</x:f>
        <x:v>84</x:v>
      </x:c>
      <x:c r="B258" t="str">
        <x:v>gtja_169</x:v>
      </x:c>
      <x:c r="C258" s="50" t="n">
        <x:v>10</x:v>
      </x:c>
      <x:c r="D258" t="str">
        <x:f>IF(E258&gt;=0,"positive","negative")</x:f>
        <x:v>negative</x:v>
      </x:c>
      <x:c r="E258" s="30" t="n">
        <x:v>-0.03531465236762509</x:v>
      </x:c>
      <x:c r="F258" s="30" t="n">
        <x:f>ABS(E258)</x:f>
        <x:v>0.03531465236762509</x:v>
      </x:c>
      <x:c r="G258" s="30" t="n">
        <x:v>0.12099802504427162</x:v>
      </x:c>
      <x:c r="H258" s="30" t="n">
        <x:v>-0.2918613948839571</x:v>
      </x:c>
      <x:c r="I258" s="30" t="n">
        <x:f>ABS(H258)</x:f>
        <x:v>0.2918613948839571</x:v>
      </x:c>
      <x:c r="J258" s="30" t="n">
        <x:v>0.38824711200401807</x:v>
      </x:c>
      <x:c r="K258" s="30" t="n">
        <x:v>-0.012268271408027236</x:v>
      </x:c>
      <x:c r="L258" s="30" t="n">
        <x:v>-0.16450321861663025</x:v>
      </x:c>
      <x:c r="M258" s="30" t="n">
        <x:v>0.4324460070316424</x:v>
      </x:c>
      <x:c r="N258" s="19" t="n">
        <x:v>1991</x:v>
      </x:c>
      <x:c r="O258" t="b">
        <x:f>P258="legacy_common_sample_8902245"</x:f>
        <x:v>1</x:v>
      </x:c>
      <x:c r="P258" t="str">
        <x:v>legacy_common_sample_8902245</x:v>
      </x:c>
      <x:c r="Q258" s="74" t="n">
        <x:v>46210.89785068287</x:v>
      </x:c>
      <x:c r="R258" s="19" t="n">
        <x:v>8902245</x:v>
      </x:c>
      <x:c r="S258" t="str">
        <x:v>40355b29bce094aef0e99358bdfd4011b92e72a54440a67760de4afae4883c33</x:v>
      </x:c>
      <x:c r="T258" t="str">
        <x:v>factor_report/gtja191_batch/gtja_169/ic_summary.csv</x:v>
      </x:c>
    </x:row>
    <x:row r="259">
      <x:c r="A259" s="50" t="n">
        <x:f>IF($P259="legacy_common_sample_8902245",1+COUNTIFS($C$5:$C$546,$C259,$P$5:$P$546,"legacy_common_sample_8902245",$I$5:$I$546,"&gt;"&amp;$I259),"")</x:f>
        <x:v>85</x:v>
      </x:c>
      <x:c r="B259" t="str">
        <x:v>gtja_051</x:v>
      </x:c>
      <x:c r="C259" s="50" t="n">
        <x:v>10</x:v>
      </x:c>
      <x:c r="D259" t="str">
        <x:f>IF(E259&gt;=0,"positive","negative")</x:f>
        <x:v>negative</x:v>
      </x:c>
      <x:c r="E259" s="30" t="n">
        <x:v>-0.03477125480346933</x:v>
      </x:c>
      <x:c r="F259" s="30" t="n">
        <x:f>ABS(E259)</x:f>
        <x:v>0.03477125480346933</x:v>
      </x:c>
      <x:c r="G259" s="30" t="n">
        <x:v>0.11981678207975749</x:v>
      </x:c>
      <x:c r="H259" s="30" t="n">
        <x:v>-0.2902035441105689</x:v>
      </x:c>
      <x:c r="I259" s="30" t="n">
        <x:f>ABS(H259)</x:f>
        <x:v>0.2902035441105689</x:v>
      </x:c>
      <x:c r="J259" s="30" t="n">
        <x:v>0.3842290306378704</x:v>
      </x:c>
      <x:c r="K259" s="30" t="n">
        <x:v>-0.015040672060575458</x:v>
      </x:c>
      <x:c r="L259" s="30" t="n">
        <x:v>-0.1460496777160081</x:v>
      </x:c>
      <x:c r="M259" s="30" t="n">
        <x:v>0.4455047714716223</x:v>
      </x:c>
      <x:c r="N259" s="19" t="n">
        <x:v>1991</x:v>
      </x:c>
      <x:c r="O259" t="b">
        <x:f>P259="legacy_common_sample_8902245"</x:f>
        <x:v>1</x:v>
      </x:c>
      <x:c r="P259" t="str">
        <x:v>legacy_common_sample_8902245</x:v>
      </x:c>
      <x:c r="Q259" s="74" t="n">
        <x:v>46210.33137918982</x:v>
      </x:c>
      <x:c r="R259" s="19" t="n">
        <x:v>8902245</x:v>
      </x:c>
      <x:c r="S259" t="str">
        <x:v>40355b29bce094aef0e99358bdfd4011b92e72a54440a67760de4afae4883c33</x:v>
      </x:c>
      <x:c r="T259" t="str">
        <x:v>factor_report/gtja191_batch/gtja_051/ic_summary.csv</x:v>
      </x:c>
    </x:row>
    <x:row r="260">
      <x:c r="A260" s="50" t="n">
        <x:f>IF($P260="legacy_common_sample_8902245",1+COUNTIFS($C$5:$C$546,$C260,$P$5:$P$546,"legacy_common_sample_8902245",$I$5:$I$546,"&gt;"&amp;$I260),"")</x:f>
        <x:v>86</x:v>
      </x:c>
      <x:c r="B260" t="str">
        <x:v>gtja_050</x:v>
      </x:c>
      <x:c r="C260" s="50" t="n">
        <x:v>10</x:v>
      </x:c>
      <x:c r="D260" t="str">
        <x:f>IF(E260&gt;=0,"positive","negative")</x:f>
        <x:v>negative</x:v>
      </x:c>
      <x:c r="E260" s="30" t="n">
        <x:v>-0.03477122181071436</x:v>
      </x:c>
      <x:c r="F260" s="30" t="n">
        <x:f>ABS(E260)</x:f>
        <x:v>0.03477122181071436</x:v>
      </x:c>
      <x:c r="G260" s="30" t="n">
        <x:v>0.11981674532954434</x:v>
      </x:c>
      <x:c r="H260" s="30" t="n">
        <x:v>-0.2902033577617176</x:v>
      </x:c>
      <x:c r="I260" s="30" t="n">
        <x:f>ABS(H260)</x:f>
        <x:v>0.2902033577617176</x:v>
      </x:c>
      <x:c r="J260" s="30" t="n">
        <x:v>0.38372677046710196</x:v>
      </x:c>
      <x:c r="K260" s="30" t="n">
        <x:v>-0.015040672060575456</x:v>
      </x:c>
      <x:c r="L260" s="30" t="n">
        <x:v>-0.1460496777160081</x:v>
      </x:c>
      <x:c r="M260" s="30" t="n">
        <x:v>0.4455047714716223</x:v>
      </x:c>
      <x:c r="N260" s="19" t="n">
        <x:v>1991</x:v>
      </x:c>
      <x:c r="O260" t="b">
        <x:f>P260="legacy_common_sample_8902245"</x:f>
        <x:v>1</x:v>
      </x:c>
      <x:c r="P260" t="str">
        <x:v>legacy_common_sample_8902245</x:v>
      </x:c>
      <x:c r="Q260" s="74" t="n">
        <x:v>46210.32673208333</x:v>
      </x:c>
      <x:c r="R260" s="19" t="n">
        <x:v>8902245</x:v>
      </x:c>
      <x:c r="S260" t="str">
        <x:v>40355b29bce094aef0e99358bdfd4011b92e72a54440a67760de4afae4883c33</x:v>
      </x:c>
      <x:c r="T260" t="str">
        <x:v>factor_report/gtja191_batch/gtja_050/ic_summary.csv</x:v>
      </x:c>
    </x:row>
    <x:row r="261">
      <x:c r="A261" s="50" t="n">
        <x:f>IF($P261="legacy_common_sample_8902245",1+COUNTIFS($C$5:$C$546,$C261,$P$5:$P$546,"legacy_common_sample_8902245",$I$5:$I$546,"&gt;"&amp;$I261),"")</x:f>
        <x:v>87</x:v>
      </x:c>
      <x:c r="B261" t="str">
        <x:v>gtja_049</x:v>
      </x:c>
      <x:c r="C261" s="50" t="n">
        <x:v>10</x:v>
      </x:c>
      <x:c r="D261" t="str">
        <x:f>IF(E261&gt;=0,"positive","negative")</x:f>
        <x:v>positive</x:v>
      </x:c>
      <x:c r="E261" s="30" t="n">
        <x:v>0.03477123378486243</x:v>
      </x:c>
      <x:c r="F261" s="30" t="n">
        <x:f>ABS(E261)</x:f>
        <x:v>0.03477123378486243</x:v>
      </x:c>
      <x:c r="G261" s="30" t="n">
        <x:v>0.11981679299964852</x:v>
      </x:c>
      <x:c r="H261" s="30" t="n">
        <x:v>0.29020334223905014</x:v>
      </x:c>
      <x:c r="I261" s="30" t="n">
        <x:f>ABS(H261)</x:f>
        <x:v>0.29020334223905014</x:v>
      </x:c>
      <x:c r="J261" s="30" t="n">
        <x:v>0.6162732295328981</x:v>
      </x:c>
      <x:c r="K261" s="30" t="n">
        <x:v>0.01504067206057546</x:v>
      </x:c>
      <x:c r="L261" s="30" t="n">
        <x:v>0.14604967771600813</x:v>
      </x:c>
      <x:c r="M261" s="30" t="n">
        <x:v>0.5544952285283777</x:v>
      </x:c>
      <x:c r="N261" s="19" t="n">
        <x:v>1991</x:v>
      </x:c>
      <x:c r="O261" t="b">
        <x:f>P261="legacy_common_sample_8902245"</x:f>
        <x:v>1</x:v>
      </x:c>
      <x:c r="P261" t="str">
        <x:v>legacy_common_sample_8902245</x:v>
      </x:c>
      <x:c r="Q261" s="74" t="n">
        <x:v>46211.27667114583</x:v>
      </x:c>
      <x:c r="R261" s="19" t="n">
        <x:v>8902245</x:v>
      </x:c>
      <x:c r="S261" t="str">
        <x:v>8f7e606554926462248cbcc654181861438ca768a0063f6b317223ede37d16fb</x:v>
      </x:c>
      <x:c r="T261" t="str">
        <x:v>factor_report/gtja191_batch/gtja_049/ic_summary.csv</x:v>
      </x:c>
    </x:row>
    <x:row r="262">
      <x:c r="A262" s="50" t="n">
        <x:f>IF($P262="legacy_common_sample_8902245",1+COUNTIFS($C$5:$C$546,$C262,$P$5:$P$546,"legacy_common_sample_8902245",$I$5:$I$546,"&gt;"&amp;$I262),"")</x:f>
        <x:v>88</x:v>
      </x:c>
      <x:c r="B262" t="str">
        <x:v>gtja_120</x:v>
      </x:c>
      <x:c r="C262" s="50" t="n">
        <x:v>10</x:v>
      </x:c>
      <x:c r="D262" t="str">
        <x:f>IF(E262&gt;=0,"positive","negative")</x:f>
        <x:v>positive</x:v>
      </x:c>
      <x:c r="E262" s="30" t="n">
        <x:v>0.04280983328161368</x:v>
      </x:c>
      <x:c r="F262" s="30" t="n">
        <x:f>ABS(E262)</x:f>
        <x:v>0.04280983328161368</x:v>
      </x:c>
      <x:c r="G262" s="30" t="n">
        <x:v>0.14817752102517875</x:v>
      </x:c>
      <x:c r="H262" s="30" t="n">
        <x:v>0.2889090935347698</x:v>
      </x:c>
      <x:c r="I262" s="30" t="n">
        <x:f>ABS(H262)</x:f>
        <x:v>0.2889090935347698</x:v>
      </x:c>
      <x:c r="J262" s="30" t="n">
        <x:v>0.6057257659467604</x:v>
      </x:c>
      <x:c r="K262" s="30" t="n">
        <x:v>0.011589263433386444</x:v>
      </x:c>
      <x:c r="L262" s="30" t="n">
        <x:v>0.29039432628402406</x:v>
      </x:c>
      <x:c r="M262" s="30" t="n">
        <x:v>0.55700652938222</x:v>
      </x:c>
      <x:c r="N262" s="19" t="n">
        <x:v>1991</x:v>
      </x:c>
      <x:c r="O262" t="b">
        <x:f>P262="legacy_common_sample_8902245"</x:f>
        <x:v>1</x:v>
      </x:c>
      <x:c r="P262" t="str">
        <x:v>legacy_common_sample_8902245</x:v>
      </x:c>
      <x:c r="Q262" s="74" t="n">
        <x:v>46211.39541752315</x:v>
      </x:c>
      <x:c r="R262" s="19" t="n">
        <x:v>8902245</x:v>
      </x:c>
      <x:c r="S262" t="str">
        <x:v>8f7e606554926462248cbcc654181861438ca768a0063f6b317223ede37d16fb</x:v>
      </x:c>
      <x:c r="T262" t="str">
        <x:v>factor_report/gtja191_batch/gtja_120/ic_summary.csv</x:v>
      </x:c>
    </x:row>
    <x:row r="263">
      <x:c r="A263" s="50" t="n">
        <x:f>IF($P263="legacy_common_sample_8902245",1+COUNTIFS($C$5:$C$546,$C263,$P$5:$P$546,"legacy_common_sample_8902245",$I$5:$I$546,"&gt;"&amp;$I263),"")</x:f>
        <x:v>89</x:v>
      </x:c>
      <x:c r="B263" t="str">
        <x:v>gtja_003</x:v>
      </x:c>
      <x:c r="C263" s="50" t="n">
        <x:v>10</x:v>
      </x:c>
      <x:c r="D263" t="str">
        <x:f>IF(E263&gt;=0,"positive","negative")</x:f>
        <x:v>negative</x:v>
      </x:c>
      <x:c r="E263" s="30" t="n">
        <x:v>-0.03472088085404721</x:v>
      </x:c>
      <x:c r="F263" s="30" t="n">
        <x:f>ABS(E263)</x:f>
        <x:v>0.03472088085404721</x:v>
      </x:c>
      <x:c r="G263" s="30" t="n">
        <x:v>0.12049476181299378</x:v>
      </x:c>
      <x:c r="H263" s="30" t="n">
        <x:v>-0.28815261619366944</x:v>
      </x:c>
      <x:c r="I263" s="30" t="n">
        <x:f>ABS(H263)</x:f>
        <x:v>0.28815261619366944</x:v>
      </x:c>
      <x:c r="J263" s="30" t="n">
        <x:v>0.3902561526870919</x:v>
      </x:c>
      <x:c r="K263" s="30" t="n">
        <x:v>-0.019479019302020853</x:v>
      </x:c>
      <x:c r="L263" s="30" t="n">
        <x:v>-0.2560200010647641</x:v>
      </x:c>
      <x:c r="M263" s="30" t="n">
        <x:v>0.40632847815168255</x:v>
      </x:c>
      <x:c r="N263" s="19" t="n">
        <x:v>1991</x:v>
      </x:c>
      <x:c r="O263" t="b">
        <x:f>P263="legacy_common_sample_8902245"</x:f>
        <x:v>1</x:v>
      </x:c>
      <x:c r="P263" t="str">
        <x:v>legacy_common_sample_8902245</x:v>
      </x:c>
      <x:c r="Q263" s="74" t="n">
        <x:v>46210.119879363425</x:v>
      </x:c>
      <x:c r="R263" s="19" t="n">
        <x:v>8902245</x:v>
      </x:c>
      <x:c r="S263" t="str">
        <x:v>40355b29bce094aef0e99358bdfd4011b92e72a54440a67760de4afae4883c33</x:v>
      </x:c>
      <x:c r="T263" t="str">
        <x:v>factor_report/gtja191_batch/gtja_003/ic_summary.csv</x:v>
      </x:c>
    </x:row>
    <x:row r="264">
      <x:c r="A264" s="50" t="n">
        <x:f>IF($P264="legacy_common_sample_8902245",1+COUNTIFS($C$5:$C$546,$C264,$P$5:$P$546,"legacy_common_sample_8902245",$I$5:$I$546,"&gt;"&amp;$I264),"")</x:f>
        <x:v>90</x:v>
      </x:c>
      <x:c r="B264" t="str">
        <x:v>gtja_031</x:v>
      </x:c>
      <x:c r="C264" s="50" t="n">
        <x:v>10</x:v>
      </x:c>
      <x:c r="D264" t="str">
        <x:f>IF(E264&gt;=0,"positive","negative")</x:f>
        <x:v>negative</x:v>
      </x:c>
      <x:c r="E264" s="30" t="n">
        <x:v>-0.03805880603715265</x:v>
      </x:c>
      <x:c r="F264" s="30" t="n">
        <x:f>ABS(E264)</x:f>
        <x:v>0.03805880603715265</x:v>
      </x:c>
      <x:c r="G264" s="30" t="n">
        <x:v>0.13268875982438466</x:v>
      </x:c>
      <x:c r="H264" s="30" t="n">
        <x:v>-0.2868276565967154</x:v>
      </x:c>
      <x:c r="I264" s="30" t="n">
        <x:f>ABS(H264)</x:f>
        <x:v>0.2868276565967154</x:v>
      </x:c>
      <x:c r="J264" s="30" t="n">
        <x:v>0.3987945755901557</x:v>
      </x:c>
      <x:c r="K264" s="30" t="n">
        <x:v>-0.03753859343306854</x:v>
      </x:c>
      <x:c r="L264" s="30" t="n">
        <x:v>-0.3341549314506358</x:v>
      </x:c>
      <x:c r="M264" s="30" t="n">
        <x:v>0.36916122551481667</x:v>
      </x:c>
      <x:c r="N264" s="19" t="n">
        <x:v>1991</x:v>
      </x:c>
      <x:c r="O264" t="b">
        <x:f>P264="legacy_common_sample_8902245"</x:f>
        <x:v>1</x:v>
      </x:c>
      <x:c r="P264" t="str">
        <x:v>legacy_common_sample_8902245</x:v>
      </x:c>
      <x:c r="Q264" s="74" t="n">
        <x:v>46210.23892871528</x:v>
      </x:c>
      <x:c r="R264" s="19" t="n">
        <x:v>8902245</x:v>
      </x:c>
      <x:c r="S264" t="str">
        <x:v>40355b29bce094aef0e99358bdfd4011b92e72a54440a67760de4afae4883c33</x:v>
      </x:c>
      <x:c r="T264" t="str">
        <x:v>factor_report/gtja191_batch/gtja_031/ic_summary.csv</x:v>
      </x:c>
    </x:row>
    <x:row r="265">
      <x:c r="A265" s="50" t="n">
        <x:f>IF($P265="legacy_common_sample_8902245",1+COUNTIFS($C$5:$C$546,$C265,$P$5:$P$546,"legacy_common_sample_8902245",$I$5:$I$546,"&gt;"&amp;$I265),"")</x:f>
        <x:v>91</x:v>
      </x:c>
      <x:c r="B265" t="str">
        <x:v>gtja_034</x:v>
      </x:c>
      <x:c r="C265" s="50" t="n">
        <x:v>10</x:v>
      </x:c>
      <x:c r="D265" t="str">
        <x:f>IF(E265&gt;=0,"positive","negative")</x:f>
        <x:v>positive</x:v>
      </x:c>
      <x:c r="E265" s="30" t="n">
        <x:v>0.03805878762791508</x:v>
      </x:c>
      <x:c r="F265" s="30" t="n">
        <x:f>ABS(E265)</x:f>
        <x:v>0.03805878762791508</x:v>
      </x:c>
      <x:c r="G265" s="30" t="n">
        <x:v>0.132688738618553</x:v>
      </x:c>
      <x:c r="H265" s="30" t="n">
        <x:v>0.2868275636964535</x:v>
      </x:c>
      <x:c r="I265" s="30" t="n">
        <x:f>ABS(H265)</x:f>
        <x:v>0.2868275636964535</x:v>
      </x:c>
      <x:c r="J265" s="30" t="n">
        <x:v>0.6012054244098443</x:v>
      </x:c>
      <x:c r="K265" s="30" t="n">
        <x:v>0.0327528515186383</x:v>
      </x:c>
      <x:c r="L265" s="30" t="n">
        <x:v>0.2910644671297059</x:v>
      </x:c>
      <x:c r="M265" s="30" t="n">
        <x:v>0.6137619286790558</x:v>
      </x:c>
      <x:c r="N265" s="19" t="n">
        <x:v>1991</x:v>
      </x:c>
      <x:c r="O265" t="b">
        <x:f>P265="legacy_common_sample_8902245"</x:f>
        <x:v>1</x:v>
      </x:c>
      <x:c r="P265" t="str">
        <x:v>legacy_common_sample_8902245</x:v>
      </x:c>
      <x:c r="Q265" s="74" t="n">
        <x:v>46211.230695833336</x:v>
      </x:c>
      <x:c r="R265" s="19" t="n">
        <x:v>8902245</x:v>
      </x:c>
      <x:c r="S265" t="str">
        <x:v>8f7e606554926462248cbcc654181861438ca768a0063f6b317223ede37d16fb</x:v>
      </x:c>
      <x:c r="T265" t="str">
        <x:v>factor_report/gtja191_batch/gtja_034/ic_summary.csv</x:v>
      </x:c>
    </x:row>
    <x:row r="266">
      <x:c r="A266" s="50" t="n">
        <x:f>IF($P266="legacy_common_sample_8902245",1+COUNTIFS($C$5:$C$546,$C266,$P$5:$P$546,"legacy_common_sample_8902245",$I$5:$I$546,"&gt;"&amp;$I266),"")</x:f>
        <x:v>92</x:v>
      </x:c>
      <x:c r="B266" t="str">
        <x:v>gtja_038</x:v>
      </x:c>
      <x:c r="C266" s="50" t="n">
        <x:v>10</x:v>
      </x:c>
      <x:c r="D266" t="str">
        <x:f>IF(E266&gt;=0,"positive","negative")</x:f>
        <x:v>positive</x:v>
      </x:c>
      <x:c r="E266" s="30" t="n">
        <x:v>0.022366618714618012</x:v>
      </x:c>
      <x:c r="F266" s="30" t="n">
        <x:f>ABS(E266)</x:f>
        <x:v>0.022366618714618012</x:v>
      </x:c>
      <x:c r="G266" s="30" t="n">
        <x:v>0.07811720635842967</x:v>
      </x:c>
      <x:c r="H266" s="30" t="n">
        <x:v>0.2863212825608736</x:v>
      </x:c>
      <x:c r="I266" s="30" t="n">
        <x:f>ABS(H266)</x:f>
        <x:v>0.2863212825608736</x:v>
      </x:c>
      <x:c r="J266" s="30" t="n">
        <x:v>0.6212958312405826</x:v>
      </x:c>
      <x:c r="K266" s="30" t="n">
        <x:v>0.01734247186048436</x:v>
      </x:c>
      <x:c r="L266" s="30" t="n">
        <x:v>0.28778502182195476</x:v>
      </x:c>
      <x:c r="M266" s="30" t="n">
        <x:v>0.6248116524359618</x:v>
      </x:c>
      <x:c r="N266" s="19" t="n">
        <x:v>1991</x:v>
      </x:c>
      <x:c r="O266" t="b">
        <x:f>P266="legacy_common_sample_8902245"</x:f>
        <x:v>1</x:v>
      </x:c>
      <x:c r="P266" t="str">
        <x:v>legacy_common_sample_8902245</x:v>
      </x:c>
      <x:c r="Q266" s="74" t="n">
        <x:v>46211.24138539352</x:v>
      </x:c>
      <x:c r="R266" s="19" t="n">
        <x:v>8902245</x:v>
      </x:c>
      <x:c r="S266" t="str">
        <x:v>8f7e606554926462248cbcc654181861438ca768a0063f6b317223ede37d16fb</x:v>
      </x:c>
      <x:c r="T266" t="str">
        <x:v>factor_report/gtja191_batch/gtja_038/ic_summary.csv</x:v>
      </x:c>
    </x:row>
    <x:row r="267">
      <x:c r="A267" s="50" t="n">
        <x:f>IF($P267="legacy_common_sample_8902245",1+COUNTIFS($C$5:$C$546,$C267,$P$5:$P$546,"legacy_common_sample_8902245",$I$5:$I$546,"&gt;"&amp;$I267),"")</x:f>
        <x:v>93</x:v>
      </x:c>
      <x:c r="B267" t="str">
        <x:v>gtja_078</x:v>
      </x:c>
      <x:c r="C267" s="50" t="n">
        <x:v>10</x:v>
      </x:c>
      <x:c r="D267" t="str">
        <x:f>IF(E267&gt;=0,"positive","negative")</x:f>
        <x:v>negative</x:v>
      </x:c>
      <x:c r="E267" s="30" t="n">
        <x:v>-0.033764471884845174</x:v>
      </x:c>
      <x:c r="F267" s="30" t="n">
        <x:f>ABS(E267)</x:f>
        <x:v>0.033764471884845174</x:v>
      </x:c>
      <x:c r="G267" s="30" t="n">
        <x:v>0.11797777440863583</x:v>
      </x:c>
      <x:c r="H267" s="30" t="n">
        <x:v>-0.2861934974963696</x:v>
      </x:c>
      <x:c r="I267" s="30" t="n">
        <x:f>ABS(H267)</x:f>
        <x:v>0.2861934974963696</x:v>
      </x:c>
      <x:c r="J267" s="30" t="n">
        <x:v>0.38824711200401807</x:v>
      </x:c>
      <x:c r="K267" s="30" t="n">
        <x:v>-0.021482251485646774</x:v>
      </x:c>
      <x:c r="L267" s="30" t="n">
        <x:v>-0.2142051593635828</x:v>
      </x:c>
      <x:c r="M267" s="30" t="n">
        <x:v>0.4103465595178302</x:v>
      </x:c>
      <x:c r="N267" s="19" t="n">
        <x:v>1991</x:v>
      </x:c>
      <x:c r="O267" t="b">
        <x:f>P267="legacy_common_sample_8902245"</x:f>
        <x:v>1</x:v>
      </x:c>
      <x:c r="P267" t="str">
        <x:v>legacy_common_sample_8902245</x:v>
      </x:c>
      <x:c r="Q267" s="74" t="n">
        <x:v>46210.46714320602</x:v>
      </x:c>
      <x:c r="R267" s="19" t="n">
        <x:v>8902245</x:v>
      </x:c>
      <x:c r="S267" t="str">
        <x:v>40355b29bce094aef0e99358bdfd4011b92e72a54440a67760de4afae4883c33</x:v>
      </x:c>
      <x:c r="T267" t="str">
        <x:v>factor_report/gtja191_batch/gtja_078/ic_summary.csv</x:v>
      </x:c>
    </x:row>
    <x:row r="268">
      <x:c r="A268" s="50" t="n">
        <x:f>IF($P268="legacy_common_sample_8902245",1+COUNTIFS($C$5:$C$546,$C268,$P$5:$P$546,"legacy_common_sample_8902245",$I$5:$I$546,"&gt;"&amp;$I268),"")</x:f>
        <x:v>94</x:v>
      </x:c>
      <x:c r="B268" t="str">
        <x:v>gtja_087</x:v>
      </x:c>
      <x:c r="C268" s="50" t="n">
        <x:v>10</x:v>
      </x:c>
      <x:c r="D268" t="str">
        <x:f>IF(E268&gt;=0,"positive","negative")</x:f>
        <x:v>positive</x:v>
      </x:c>
      <x:c r="E268" s="30" t="n">
        <x:v>0.025257446979528055</x:v>
      </x:c>
      <x:c r="F268" s="30" t="n">
        <x:f>ABS(E268)</x:f>
        <x:v>0.025257446979528055</x:v>
      </x:c>
      <x:c r="G268" s="30" t="n">
        <x:v>0.08909173682014304</x:v>
      </x:c>
      <x:c r="H268" s="30" t="n">
        <x:v>0.28349932194629207</x:v>
      </x:c>
      <x:c r="I268" s="30" t="n">
        <x:f>ABS(H268)</x:f>
        <x:v>0.28349932194629207</x:v>
      </x:c>
      <x:c r="J268" s="30" t="n">
        <x:v>0.6012054244098443</x:v>
      </x:c>
      <x:c r="K268" s="30" t="n">
        <x:v>0.014354629131697558</x:v>
      </x:c>
      <x:c r="L268" s="30" t="n">
        <x:v>0.18274086498301684</x:v>
      </x:c>
      <x:c r="M268" s="30" t="n">
        <x:v>0.5645404319437468</x:v>
      </x:c>
      <x:c r="N268" s="19" t="n">
        <x:v>1991</x:v>
      </x:c>
      <x:c r="O268" t="b">
        <x:f>P268="legacy_common_sample_8902245"</x:f>
        <x:v>1</x:v>
      </x:c>
      <x:c r="P268" t="str">
        <x:v>legacy_common_sample_8902245</x:v>
      </x:c>
      <x:c r="Q268" s="74" t="n">
        <x:v>46211.33017637731</x:v>
      </x:c>
      <x:c r="R268" s="19" t="n">
        <x:v>8902245</x:v>
      </x:c>
      <x:c r="S268" t="str">
        <x:v>8f7e606554926462248cbcc654181861438ca768a0063f6b317223ede37d16fb</x:v>
      </x:c>
      <x:c r="T268" t="str">
        <x:v>factor_report/gtja191_batch/gtja_087/ic_summary.csv</x:v>
      </x:c>
    </x:row>
    <x:row r="269">
      <x:c r="A269" s="50" t="n">
        <x:f>IF($P269="legacy_common_sample_8902245",1+COUNTIFS($C$5:$C$546,$C269,$P$5:$P$546,"legacy_common_sample_8902245",$I$5:$I$546,"&gt;"&amp;$I269),"")</x:f>
        <x:v>95</x:v>
      </x:c>
      <x:c r="B269" t="str">
        <x:v>gtja_068</x:v>
      </x:c>
      <x:c r="C269" s="50" t="n">
        <x:v>10</x:v>
      </x:c>
      <x:c r="D269" t="str">
        <x:f>IF(E269&gt;=0,"positive","negative")</x:f>
        <x:v>negative</x:v>
      </x:c>
      <x:c r="E269" s="30" t="n">
        <x:v>-0.034587875926085955</x:v>
      </x:c>
      <x:c r="F269" s="30" t="n">
        <x:f>ABS(E269)</x:f>
        <x:v>0.034587875926085955</x:v>
      </x:c>
      <x:c r="G269" s="30" t="n">
        <x:v>0.12286666440775093</x:v>
      </x:c>
      <x:c r="H269" s="30" t="n">
        <x:v>-0.2815074055506305</x:v>
      </x:c>
      <x:c r="I269" s="30" t="n">
        <x:f>ABS(H269)</x:f>
        <x:v>0.2815074055506305</x:v>
      </x:c>
      <x:c r="J269" s="30" t="n">
        <x:v>0.39578101456554493</x:v>
      </x:c>
      <x:c r="K269" s="30" t="n">
        <x:v>-0.0030821408368721065</x:v>
      </x:c>
      <x:c r="L269" s="30" t="n">
        <x:v>-0.10673399982339912</x:v>
      </x:c>
      <x:c r="M269" s="30" t="n">
        <x:v>0.4540431943746861</x:v>
      </x:c>
      <x:c r="N269" s="19" t="n">
        <x:v>1991</x:v>
      </x:c>
      <x:c r="O269" t="b">
        <x:f>P269="legacy_common_sample_8902245"</x:f>
        <x:v>1</x:v>
      </x:c>
      <x:c r="P269" t="str">
        <x:v>legacy_common_sample_8902245</x:v>
      </x:c>
      <x:c r="Q269" s="74" t="n">
        <x:v>46210.407986018516</x:v>
      </x:c>
      <x:c r="R269" s="19" t="n">
        <x:v>8902245</x:v>
      </x:c>
      <x:c r="S269" t="str">
        <x:v>40355b29bce094aef0e99358bdfd4011b92e72a54440a67760de4afae4883c33</x:v>
      </x:c>
      <x:c r="T269" t="str">
        <x:v>factor_report/gtja191_batch/gtja_068/ic_summary.csv</x:v>
      </x:c>
    </x:row>
    <x:row r="270">
      <x:c r="A270" s="50" t="n">
        <x:f>IF($P270="legacy_common_sample_8902245",1+COUNTIFS($C$5:$C$546,$C270,$P$5:$P$546,"legacy_common_sample_8902245",$I$5:$I$546,"&gt;"&amp;$I270),"")</x:f>
        <x:v>96</x:v>
      </x:c>
      <x:c r="B270" t="str">
        <x:v>gtja_098</x:v>
      </x:c>
      <x:c r="C270" s="50" t="n">
        <x:v>10</x:v>
      </x:c>
      <x:c r="D270" t="str">
        <x:f>IF(E270&gt;=0,"positive","negative")</x:f>
        <x:v>positive</x:v>
      </x:c>
      <x:c r="E270" s="30" t="n">
        <x:v>0.029519967003921076</x:v>
      </x:c>
      <x:c r="F270" s="30" t="n">
        <x:f>ABS(E270)</x:f>
        <x:v>0.029519967003921076</x:v>
      </x:c>
      <x:c r="G270" s="30" t="n">
        <x:v>0.10716074914773877</x:v>
      </x:c>
      <x:c r="H270" s="30" t="n">
        <x:v>0.27547369012158485</x:v>
      </x:c>
      <x:c r="I270" s="30" t="n">
        <x:f>ABS(H270)</x:f>
        <x:v>0.27547369012158485</x:v>
      </x:c>
      <x:c r="J270" s="30" t="n">
        <x:v>0.6112506278252134</x:v>
      </x:c>
      <x:c r="K270" s="30" t="n">
        <x:v>0.019006160800267687</x:v>
      </x:c>
      <x:c r="L270" s="30" t="n">
        <x:v>0.27274099341698826</x:v>
      </x:c>
      <x:c r="M270" s="30" t="n">
        <x:v>0.6082370668006027</x:v>
      </x:c>
      <x:c r="N270" s="19" t="n">
        <x:v>1991</x:v>
      </x:c>
      <x:c r="O270" t="b">
        <x:f>P270="legacy_common_sample_8902245"</x:f>
        <x:v>1</x:v>
      </x:c>
      <x:c r="P270" t="str">
        <x:v>legacy_common_sample_8902245</x:v>
      </x:c>
      <x:c r="Q270" s="74" t="n">
        <x:v>46211.34572662037</x:v>
      </x:c>
      <x:c r="R270" s="19" t="n">
        <x:v>8902245</x:v>
      </x:c>
      <x:c r="S270" t="str">
        <x:v>8f7e606554926462248cbcc654181861438ca768a0063f6b317223ede37d16fb</x:v>
      </x:c>
      <x:c r="T270" t="str">
        <x:v>factor_report/gtja191_batch/gtja_098/ic_summary.csv</x:v>
      </x:c>
    </x:row>
    <x:row r="271">
      <x:c r="A271" s="50" t="n">
        <x:f>IF($P271="legacy_common_sample_8902245",1+COUNTIFS($C$5:$C$546,$C271,$P$5:$P$546,"legacy_common_sample_8902245",$I$5:$I$546,"&gt;"&amp;$I271),"")</x:f>
        <x:v>97</x:v>
      </x:c>
      <x:c r="B271" t="str">
        <x:v>gtja_089</x:v>
      </x:c>
      <x:c r="C271" s="50" t="n">
        <x:v>10</x:v>
      </x:c>
      <x:c r="D271" t="str">
        <x:f>IF(E271&gt;=0,"positive","negative")</x:f>
        <x:v>negative</x:v>
      </x:c>
      <x:c r="E271" s="30" t="n">
        <x:v>-0.03330943745475121</x:v>
      </x:c>
      <x:c r="F271" s="30" t="n">
        <x:f>ABS(E271)</x:f>
        <x:v>0.03330943745475121</x:v>
      </x:c>
      <x:c r="G271" s="30" t="n">
        <x:v>0.12099497138113786</x:v>
      </x:c>
      <x:c r="H271" s="30" t="n">
        <x:v>-0.27529604804670327</x:v>
      </x:c>
      <x:c r="I271" s="30" t="n">
        <x:f>ABS(H271)</x:f>
        <x:v>0.27529604804670327</x:v>
      </x:c>
      <x:c r="J271" s="30" t="n">
        <x:v>0.4098442993470618</x:v>
      </x:c>
      <x:c r="K271" s="30" t="n">
        <x:v>-0.017942828700761672</x:v>
      </x:c>
      <x:c r="L271" s="30" t="n">
        <x:v>-0.23884868876677479</x:v>
      </x:c>
      <x:c r="M271" s="30" t="n">
        <x:v>0.4098442993470618</x:v>
      </x:c>
      <x:c r="N271" s="19" t="n">
        <x:v>1991</x:v>
      </x:c>
      <x:c r="O271" t="b">
        <x:f>P271="legacy_common_sample_8902245"</x:f>
        <x:v>1</x:v>
      </x:c>
      <x:c r="P271" t="str">
        <x:v>legacy_common_sample_8902245</x:v>
      </x:c>
      <x:c r="Q271" s="74" t="n">
        <x:v>46210.52408989584</x:v>
      </x:c>
      <x:c r="R271" s="19" t="n">
        <x:v>8902245</x:v>
      </x:c>
      <x:c r="S271" t="str">
        <x:v>40355b29bce094aef0e99358bdfd4011b92e72a54440a67760de4afae4883c33</x:v>
      </x:c>
      <x:c r="T271" t="str">
        <x:v>factor_report/gtja191_batch/gtja_089/ic_summary.csv</x:v>
      </x:c>
    </x:row>
    <x:row r="272">
      <x:c r="A272" s="50" t="n">
        <x:f>IF($P272="legacy_common_sample_8902245",1+COUNTIFS($C$5:$C$546,$C272,$P$5:$P$546,"legacy_common_sample_8902245",$I$5:$I$546,"&gt;"&amp;$I272),"")</x:f>
        <x:v>98</x:v>
      </x:c>
      <x:c r="B272" t="str">
        <x:v>gtja_058</x:v>
      </x:c>
      <x:c r="C272" s="50" t="n">
        <x:v>10</x:v>
      </x:c>
      <x:c r="D272" t="str">
        <x:f>IF(E272&gt;=0,"positive","negative")</x:f>
        <x:v>negative</x:v>
      </x:c>
      <x:c r="E272" s="30" t="n">
        <x:v>-0.027364265891806076</x:v>
      </x:c>
      <x:c r="F272" s="30" t="n">
        <x:f>ABS(E272)</x:f>
        <x:v>0.027364265891806076</x:v>
      </x:c>
      <x:c r="G272" s="30" t="n">
        <x:v>0.10033307426134769</x:v>
      </x:c>
      <x:c r="H272" s="30" t="n">
        <x:v>-0.27273425132501783</x:v>
      </x:c>
      <x:c r="I272" s="30" t="n">
        <x:f>ABS(H272)</x:f>
        <x:v>0.27273425132501783</x:v>
      </x:c>
      <x:c r="J272" s="30" t="n">
        <x:v>0.41587142139628325</x:v>
      </x:c>
      <x:c r="K272" s="30" t="n">
        <x:v>-0.011066097293152184</x:v>
      </x:c>
      <x:c r="L272" s="30" t="n">
        <x:v>-0.12320854866680127</x:v>
      </x:c>
      <x:c r="M272" s="30" t="n">
        <x:v>0.472626820693119</x:v>
      </x:c>
      <x:c r="N272" s="19" t="n">
        <x:v>1991</x:v>
      </x:c>
      <x:c r="O272" t="b">
        <x:f>P272="legacy_common_sample_8902245"</x:f>
        <x:v>1</x:v>
      </x:c>
      <x:c r="P272" t="str">
        <x:v>legacy_common_sample_8902245</x:v>
      </x:c>
      <x:c r="Q272" s="74" t="n">
        <x:v>46210.36385592593</x:v>
      </x:c>
      <x:c r="R272" s="19" t="n">
        <x:v>8902245</x:v>
      </x:c>
      <x:c r="S272" t="str">
        <x:v>40355b29bce094aef0e99358bdfd4011b92e72a54440a67760de4afae4883c33</x:v>
      </x:c>
      <x:c r="T272" t="str">
        <x:v>factor_report/gtja191_batch/gtja_058/ic_summary.csv</x:v>
      </x:c>
    </x:row>
    <x:row r="273">
      <x:c r="A273" s="50" t="n">
        <x:f>IF($P273="legacy_common_sample_8902245",1+COUNTIFS($C$5:$C$546,$C273,$P$5:$P$546,"legacy_common_sample_8902245",$I$5:$I$546,"&gt;"&amp;$I273),"")</x:f>
        <x:v>99</x:v>
      </x:c>
      <x:c r="B273" t="str">
        <x:v>gtja_108</x:v>
      </x:c>
      <x:c r="C273" s="50" t="n">
        <x:v>10</x:v>
      </x:c>
      <x:c r="D273" t="str">
        <x:f>IF(E273&gt;=0,"positive","negative")</x:f>
        <x:v>positive</x:v>
      </x:c>
      <x:c r="E273" s="30" t="n">
        <x:v>0.021305135627949195</x:v>
      </x:c>
      <x:c r="F273" s="30" t="n">
        <x:f>ABS(E273)</x:f>
        <x:v>0.021305135627949195</x:v>
      </x:c>
      <x:c r="G273" s="30" t="n">
        <x:v>0.07875033393800031</x:v>
      </x:c>
      <x:c r="H273" s="30" t="n">
        <x:v>0.2705402575781153</x:v>
      </x:c>
      <x:c r="I273" s="30" t="n">
        <x:f>ABS(H273)</x:f>
        <x:v>0.2705402575781153</x:v>
      </x:c>
      <x:c r="J273" s="30" t="n">
        <x:v>0.6093506493506493</x:v>
      </x:c>
      <x:c r="K273" s="30" t="n">
        <x:v>0.007696022181379278</x:v>
      </x:c>
      <x:c r="L273" s="30" t="n">
        <x:v>0.12098458268346816</x:v>
      </x:c>
      <x:c r="M273" s="30" t="n">
        <x:v>0.5449350649350649</x:v>
      </x:c>
      <x:c r="N273" s="19" t="n">
        <x:v>1925</x:v>
      </x:c>
      <x:c r="O273" t="b">
        <x:f>P273="legacy_common_sample_8902245"</x:f>
        <x:v>1</x:v>
      </x:c>
      <x:c r="P273" t="str">
        <x:v>legacy_common_sample_8902245</x:v>
      </x:c>
      <x:c r="Q273" s="74" t="n">
        <x:v>46211.360724976854</x:v>
      </x:c>
      <x:c r="R273" s="19" t="n">
        <x:v>8902245</x:v>
      </x:c>
      <x:c r="S273" t="str">
        <x:v>8f7e606554926462248cbcc654181861438ca768a0063f6b317223ede37d16fb</x:v>
      </x:c>
      <x:c r="T273" t="str">
        <x:v>factor_report/gtja191_batch/gtja_108/ic_summary.csv</x:v>
      </x:c>
    </x:row>
    <x:row r="274">
      <x:c r="A274" s="50" t="n">
        <x:f>IF($P274="legacy_common_sample_8902245",1+COUNTIFS($C$5:$C$546,$C274,$P$5:$P$546,"legacy_common_sample_8902245",$I$5:$I$546,"&gt;"&amp;$I274),"")</x:f>
        <x:v>100</x:v>
      </x:c>
      <x:c r="B274" t="str">
        <x:v>gtja_174</x:v>
      </x:c>
      <x:c r="C274" s="50" t="n">
        <x:v>10</x:v>
      </x:c>
      <x:c r="D274" t="str">
        <x:f>IF(E274&gt;=0,"positive","negative")</x:f>
        <x:v>negative</x:v>
      </x:c>
      <x:c r="E274" s="30" t="n">
        <x:v>-0.05213777627165509</x:v>
      </x:c>
      <x:c r="F274" s="30" t="n">
        <x:f>ABS(E274)</x:f>
        <x:v>0.05213777627165509</x:v>
      </x:c>
      <x:c r="G274" s="30" t="n">
        <x:v>0.19446770880498002</x:v>
      </x:c>
      <x:c r="H274" s="30" t="n">
        <x:v>-0.2681050576059439</x:v>
      </x:c>
      <x:c r="I274" s="30" t="n">
        <x:f>ABS(H274)</x:f>
        <x:v>0.2681050576059439</x:v>
      </x:c>
      <x:c r="J274" s="30" t="n">
        <x:v>0.41637368156705173</x:v>
      </x:c>
      <x:c r="K274" s="30" t="n">
        <x:v>-0.013777827805586281</x:v>
      </x:c>
      <x:c r="L274" s="30" t="n">
        <x:v>-0.11842131435359517</x:v>
      </x:c>
      <x:c r="M274" s="30" t="n">
        <x:v>0.46760421898543447</x:v>
      </x:c>
      <x:c r="N274" s="19" t="n">
        <x:v>1991</x:v>
      </x:c>
      <x:c r="O274" t="b">
        <x:f>P274="legacy_common_sample_8902245"</x:f>
        <x:v>1</x:v>
      </x:c>
      <x:c r="P274" t="str">
        <x:v>legacy_common_sample_8902245</x:v>
      </x:c>
      <x:c r="Q274" s="74" t="n">
        <x:v>46210.92118445602</x:v>
      </x:c>
      <x:c r="R274" s="19" t="n">
        <x:v>8902245</x:v>
      </x:c>
      <x:c r="S274" t="str">
        <x:v>40355b29bce094aef0e99358bdfd4011b92e72a54440a67760de4afae4883c33</x:v>
      </x:c>
      <x:c r="T274" t="str">
        <x:v>factor_report/gtja191_batch/gtja_174/ic_summary.csv</x:v>
      </x:c>
    </x:row>
    <x:row r="275">
      <x:c r="A275" s="50" t="n">
        <x:f>IF($P275="legacy_common_sample_8902245",1+COUNTIFS($C$5:$C$546,$C275,$P$5:$P$546,"legacy_common_sample_8902245",$I$5:$I$546,"&gt;"&amp;$I275),"")</x:f>
        <x:v>101</x:v>
      </x:c>
      <x:c r="B275" t="str">
        <x:v>gtja_020</x:v>
      </x:c>
      <x:c r="C275" s="50" t="n">
        <x:v>10</x:v>
      </x:c>
      <x:c r="D275" t="str">
        <x:f>IF(E275&gt;=0,"positive","negative")</x:f>
        <x:v>negative</x:v>
      </x:c>
      <x:c r="E275" s="30" t="n">
        <x:v>-0.0343093540926392</x:v>
      </x:c>
      <x:c r="F275" s="30" t="n">
        <x:f>ABS(E275)</x:f>
        <x:v>0.0343093540926392</x:v>
      </x:c>
      <x:c r="G275" s="30" t="n">
        <x:v>0.12825689113604943</x:v>
      </x:c>
      <x:c r="H275" s="30" t="n">
        <x:v>-0.2675049565660008</x:v>
      </x:c>
      <x:c r="I275" s="30" t="n">
        <x:f>ABS(H275)</x:f>
        <x:v>0.2675049565660008</x:v>
      </x:c>
      <x:c r="J275" s="30" t="n">
        <x:v>0.40683073832245104</x:v>
      </x:c>
      <x:c r="K275" s="30" t="n">
        <x:v>-0.033971393917230926</x:v>
      </x:c>
      <x:c r="L275" s="30" t="n">
        <x:v>-0.31608747112701624</x:v>
      </x:c>
      <x:c r="M275" s="30" t="n">
        <x:v>0.3797086891009543</x:v>
      </x:c>
      <x:c r="N275" s="19" t="n">
        <x:v>1991</x:v>
      </x:c>
      <x:c r="O275" t="b">
        <x:f>P275="legacy_common_sample_8902245"</x:f>
        <x:v>1</x:v>
      </x:c>
      <x:c r="P275" t="str">
        <x:v>legacy_common_sample_8902245</x:v>
      </x:c>
      <x:c r="Q275" s="74" t="n">
        <x:v>46210.19493413194</x:v>
      </x:c>
      <x:c r="R275" s="19" t="n">
        <x:v>8902245</x:v>
      </x:c>
      <x:c r="S275" t="str">
        <x:v>40355b29bce094aef0e99358bdfd4011b92e72a54440a67760de4afae4883c33</x:v>
      </x:c>
      <x:c r="T275" t="str">
        <x:v>factor_report/gtja191_batch/gtja_020/ic_summary.csv</x:v>
      </x:c>
    </x:row>
    <x:row r="276">
      <x:c r="A276" s="50" t="n">
        <x:f>IF($P276="legacy_common_sample_8902245",1+COUNTIFS($C$5:$C$546,$C276,$P$5:$P$546,"legacy_common_sample_8902245",$I$5:$I$546,"&gt;"&amp;$I276),"")</x:f>
        <x:v>102</x:v>
      </x:c>
      <x:c r="B276" t="str">
        <x:v>gtja_054</x:v>
      </x:c>
      <x:c r="C276" s="50" t="n">
        <x:v>10</x:v>
      </x:c>
      <x:c r="D276" t="str">
        <x:f>IF(E276&gt;=0,"positive","negative")</x:f>
        <x:v>positive</x:v>
      </x:c>
      <x:c r="E276" s="30" t="n">
        <x:v>0.030596478125827956</x:v>
      </x:c>
      <x:c r="F276" s="30" t="n">
        <x:f>ABS(E276)</x:f>
        <x:v>0.030596478125827956</x:v>
      </x:c>
      <x:c r="G276" s="30" t="n">
        <x:v>0.11460406788306993</x:v>
      </x:c>
      <x:c r="H276" s="30" t="n">
        <x:v>0.26697549826106887</x:v>
      </x:c>
      <x:c r="I276" s="30" t="n">
        <x:f>ABS(H276)</x:f>
        <x:v>0.26697549826106887</x:v>
      </x:c>
      <x:c r="J276" s="30" t="n">
        <x:v>0.6012054244098443</x:v>
      </x:c>
      <x:c r="K276" s="30" t="n">
        <x:v>0.015139462484562929</x:v>
      </x:c>
      <x:c r="L276" s="30" t="n">
        <x:v>0.1541752660383803</x:v>
      </x:c>
      <x:c r="M276" s="30" t="n">
        <x:v>0.5620291310899046</x:v>
      </x:c>
      <x:c r="N276" s="19" t="n">
        <x:v>1991</x:v>
      </x:c>
      <x:c r="O276" t="b">
        <x:f>P276="legacy_common_sample_8902245"</x:f>
        <x:v>1</x:v>
      </x:c>
      <x:c r="P276" t="str">
        <x:v>legacy_common_sample_8902245</x:v>
      </x:c>
      <x:c r="Q276" s="74" t="n">
        <x:v>46211.27909778935</x:v>
      </x:c>
      <x:c r="R276" s="19" t="n">
        <x:v>8902245</x:v>
      </x:c>
      <x:c r="S276" t="str">
        <x:v>8f7e606554926462248cbcc654181861438ca768a0063f6b317223ede37d16fb</x:v>
      </x:c>
      <x:c r="T276" t="str">
        <x:v>factor_report/gtja191_batch/gtja_054/ic_summary.csv</x:v>
      </x:c>
    </x:row>
    <x:row r="277">
      <x:c r="A277" s="50" t="n">
        <x:f>IF($P277="legacy_common_sample_8902245",1+COUNTIFS($C$5:$C$546,$C277,$P$5:$P$546,"legacy_common_sample_8902245",$I$5:$I$546,"&gt;"&amp;$I277),"")</x:f>
        <x:v>103</x:v>
      </x:c>
      <x:c r="B277" t="str">
        <x:v>gtja_129</x:v>
      </x:c>
      <x:c r="C277" s="50" t="n">
        <x:v>10</x:v>
      </x:c>
      <x:c r="D277" t="str">
        <x:f>IF(E277&gt;=0,"positive","negative")</x:f>
        <x:v>negative</x:v>
      </x:c>
      <x:c r="E277" s="30" t="n">
        <x:v>-0.0509041396665654</x:v>
      </x:c>
      <x:c r="F277" s="30" t="n">
        <x:f>ABS(E277)</x:f>
        <x:v>0.0509041396665654</x:v>
      </x:c>
      <x:c r="G277" s="30" t="n">
        <x:v>0.19094637461516814</x:v>
      </x:c>
      <x:c r="H277" s="30" t="n">
        <x:v>-0.2665886679920329</x:v>
      </x:c>
      <x:c r="I277" s="30" t="n">
        <x:f>ABS(H277)</x:f>
        <x:v>0.2665886679920329</x:v>
      </x:c>
      <x:c r="J277" s="30" t="n">
        <x:v>0.41285786037167255</x:v>
      </x:c>
      <x:c r="K277" s="30" t="n">
        <x:v>-0.012417655079050209</x:v>
      </x:c>
      <x:c r="L277" s="30" t="n">
        <x:v>-0.11267565603851061</x:v>
      </x:c>
      <x:c r="M277" s="30" t="n">
        <x:v>0.4630838774485183</x:v>
      </x:c>
      <x:c r="N277" s="19" t="n">
        <x:v>1991</x:v>
      </x:c>
      <x:c r="O277" t="b">
        <x:f>P277="legacy_common_sample_8902245"</x:f>
        <x:v>1</x:v>
      </x:c>
      <x:c r="P277" t="str">
        <x:v>legacy_common_sample_8902245</x:v>
      </x:c>
      <x:c r="Q277" s="74" t="n">
        <x:v>46210.71993697916</x:v>
      </x:c>
      <x:c r="R277" s="19" t="n">
        <x:v>8902245</x:v>
      </x:c>
      <x:c r="S277" t="str">
        <x:v>40355b29bce094aef0e99358bdfd4011b92e72a54440a67760de4afae4883c33</x:v>
      </x:c>
      <x:c r="T277" t="str">
        <x:v>factor_report/gtja191_batch/gtja_129/ic_summary.csv</x:v>
      </x:c>
    </x:row>
    <x:row r="278">
      <x:c r="A278" s="50" t="n">
        <x:f>IF($P278="legacy_common_sample_8902245",1+COUNTIFS($C$5:$C$546,$C278,$P$5:$P$546,"legacy_common_sample_8902245",$I$5:$I$546,"&gt;"&amp;$I278),"")</x:f>
        <x:v>104</x:v>
      </x:c>
      <x:c r="B278" t="str">
        <x:v>gtja_112</x:v>
      </x:c>
      <x:c r="C278" s="50" t="n">
        <x:v>10</x:v>
      </x:c>
      <x:c r="D278" t="str">
        <x:f>IF(E278&gt;=0,"positive","negative")</x:f>
        <x:v>negative</x:v>
      </x:c>
      <x:c r="E278" s="30" t="n">
        <x:v>-0.03326163017810002</x:v>
      </x:c>
      <x:c r="F278" s="30" t="n">
        <x:f>ABS(E278)</x:f>
        <x:v>0.03326163017810002</x:v>
      </x:c>
      <x:c r="G278" s="30" t="n">
        <x:v>0.12499538795255624</x:v>
      </x:c>
      <x:c r="H278" s="30" t="n">
        <x:v>-0.26610285965690944</x:v>
      </x:c>
      <x:c r="I278" s="30" t="n">
        <x:f>ABS(H278)</x:f>
        <x:v>0.26610285965690944</x:v>
      </x:c>
      <x:c r="J278" s="30" t="n">
        <x:v>0.39678553490708185</x:v>
      </x:c>
      <x:c r="K278" s="30" t="n">
        <x:v>-0.015010345689516157</x:v>
      </x:c>
      <x:c r="L278" s="30" t="n">
        <x:v>-0.14058271491296429</x:v>
      </x:c>
      <x:c r="M278" s="30" t="n">
        <x:v>0.45554997488699145</x:v>
      </x:c>
      <x:c r="N278" s="19" t="n">
        <x:v>1991</x:v>
      </x:c>
      <x:c r="O278" t="b">
        <x:f>P278="legacy_common_sample_8902245"</x:f>
        <x:v>1</x:v>
      </x:c>
      <x:c r="P278" t="str">
        <x:v>legacy_common_sample_8902245</x:v>
      </x:c>
      <x:c r="Q278" s="74" t="n">
        <x:v>46210.62560251157</x:v>
      </x:c>
      <x:c r="R278" s="19" t="n">
        <x:v>8902245</x:v>
      </x:c>
      <x:c r="S278" t="str">
        <x:v>40355b29bce094aef0e99358bdfd4011b92e72a54440a67760de4afae4883c33</x:v>
      </x:c>
      <x:c r="T278" t="str">
        <x:v>factor_report/gtja191_batch/gtja_112/ic_summary.csv</x:v>
      </x:c>
    </x:row>
    <x:row r="279">
      <x:c r="A279" s="50" t="n">
        <x:f>IF($P279="legacy_common_sample_8902245",1+COUNTIFS($C$5:$C$546,$C279,$P$5:$P$546,"legacy_common_sample_8902245",$I$5:$I$546,"&gt;"&amp;$I279),"")</x:f>
        <x:v>105</x:v>
      </x:c>
      <x:c r="B279" t="str">
        <x:v>gtja_033</x:v>
      </x:c>
      <x:c r="C279" s="50" t="n">
        <x:v>10</x:v>
      </x:c>
      <x:c r="D279" t="str">
        <x:f>IF(E279&gt;=0,"positive","negative")</x:f>
        <x:v>positive</x:v>
      </x:c>
      <x:c r="E279" s="30" t="n">
        <x:v>0.030623947788683107</x:v>
      </x:c>
      <x:c r="F279" s="30" t="n">
        <x:f>ABS(E279)</x:f>
        <x:v>0.030623947788683107</x:v>
      </x:c>
      <x:c r="G279" s="30" t="n">
        <x:v>0.11567378323717986</x:v>
      </x:c>
      <x:c r="H279" s="30" t="n">
        <x:v>0.26474406673369666</x:v>
      </x:c>
      <x:c r="I279" s="30" t="n">
        <x:f>ABS(H279)</x:f>
        <x:v>0.26474406673369666</x:v>
      </x:c>
      <x:c r="J279" s="30" t="n">
        <x:v>0.5975677169707021</x:v>
      </x:c>
      <x:c r="K279" s="30" t="n">
        <x:v>0.011926812227976993</x:v>
      </x:c>
      <x:c r="L279" s="30" t="n">
        <x:v>0.18221411123524017</x:v>
      </x:c>
      <x:c r="M279" s="30" t="n">
        <x:v>0.5732448866777226</x:v>
      </x:c>
      <x:c r="N279" s="19" t="n">
        <x:v>1809</x:v>
      </x:c>
      <x:c r="O279" t="b">
        <x:f>P279="legacy_common_sample_8902245"</x:f>
        <x:v>1</x:v>
      </x:c>
      <x:c r="P279" t="str">
        <x:v>legacy_common_sample_8902245</x:v>
      </x:c>
      <x:c r="Q279" s="74" t="n">
        <x:v>46211.22782114583</x:v>
      </x:c>
      <x:c r="R279" s="19" t="n">
        <x:v>8902245</x:v>
      </x:c>
      <x:c r="S279" t="str">
        <x:v>8f7e606554926462248cbcc654181861438ca768a0063f6b317223ede37d16fb</x:v>
      </x:c>
      <x:c r="T279" t="str">
        <x:v>factor_report/gtja191_batch/gtja_033/ic_summary.csv</x:v>
      </x:c>
    </x:row>
    <x:row r="280">
      <x:c r="A280" s="50" t="n">
        <x:f>IF($P280="legacy_common_sample_8902245",1+COUNTIFS($C$5:$C$546,$C280,$P$5:$P$546,"legacy_common_sample_8902245",$I$5:$I$546,"&gt;"&amp;$I280),"")</x:f>
        <x:v>106</x:v>
      </x:c>
      <x:c r="B280" t="str">
        <x:v>gtja_086</x:v>
      </x:c>
      <x:c r="C280" s="50" t="n">
        <x:v>10</x:v>
      </x:c>
      <x:c r="D280" t="str">
        <x:f>IF(E280&gt;=0,"positive","negative")</x:f>
        <x:v>positive</x:v>
      </x:c>
      <x:c r="E280" s="30" t="n">
        <x:v>0.025539523204946915</x:v>
      </x:c>
      <x:c r="F280" s="30" t="n">
        <x:f>ABS(E280)</x:f>
        <x:v>0.025539523204946915</x:v>
      </x:c>
      <x:c r="G280" s="30" t="n">
        <x:v>0.09729114568561431</x:v>
      </x:c>
      <x:c r="H280" s="30" t="n">
        <x:v>0.2625061409747922</x:v>
      </x:c>
      <x:c r="I280" s="30" t="n">
        <x:f>ABS(H280)</x:f>
        <x:v>0.2625061409747922</x:v>
      </x:c>
      <x:c r="J280" s="30" t="n">
        <x:v>0.6092415871421396</x:v>
      </x:c>
      <x:c r="K280" s="30" t="n">
        <x:v>0.017918035488940574</x:v>
      </x:c>
      <x:c r="L280" s="30" t="n">
        <x:v>0.22682212357816375</x:v>
      </x:c>
      <x:c r="M280" s="30" t="n">
        <x:v>0.5966850828729282</x:v>
      </x:c>
      <x:c r="N280" s="19" t="n">
        <x:v>1991</x:v>
      </x:c>
      <x:c r="O280" t="b">
        <x:f>P280="legacy_common_sample_8902245"</x:f>
        <x:v>1</x:v>
      </x:c>
      <x:c r="P280" t="str">
        <x:v>legacy_common_sample_8902245</x:v>
      </x:c>
      <x:c r="Q280" s="74" t="n">
        <x:v>46211.32645658565</x:v>
      </x:c>
      <x:c r="R280" s="19" t="n">
        <x:v>8902245</x:v>
      </x:c>
      <x:c r="S280" t="str">
        <x:v>8f7e606554926462248cbcc654181861438ca768a0063f6b317223ede37d16fb</x:v>
      </x:c>
      <x:c r="T280" t="str">
        <x:v>factor_report/gtja191_batch/gtja_086/ic_summary.csv</x:v>
      </x:c>
    </x:row>
    <x:row r="281">
      <x:c r="A281" s="50" t="n">
        <x:f>IF($P281="legacy_common_sample_8902245",1+COUNTIFS($C$5:$C$546,$C281,$P$5:$P$546,"legacy_common_sample_8902245",$I$5:$I$546,"&gt;"&amp;$I281),"")</x:f>
        <x:v>107</x:v>
      </x:c>
      <x:c r="B281" t="str">
        <x:v>gtja_092</x:v>
      </x:c>
      <x:c r="C281" s="50" t="n">
        <x:v>10</x:v>
      </x:c>
      <x:c r="D281" t="str">
        <x:f>IF(E281&gt;=0,"positive","negative")</x:f>
        <x:v>positive</x:v>
      </x:c>
      <x:c r="E281" s="30" t="n">
        <x:v>0.020594322057518277</x:v>
      </x:c>
      <x:c r="F281" s="30" t="n">
        <x:f>ABS(E281)</x:f>
        <x:v>0.020594322057518277</x:v>
      </x:c>
      <x:c r="G281" s="30" t="n">
        <x:v>0.07853710402334353</x:v>
      </x:c>
      <x:c r="H281" s="30" t="n">
        <x:v>0.2622241081285228</x:v>
      </x:c>
      <x:c r="I281" s="30" t="n">
        <x:f>ABS(H281)</x:f>
        <x:v>0.2622241081285228</x:v>
      </x:c>
      <x:c r="J281" s="30" t="n">
        <x:v>0.595108695652174</x:v>
      </x:c>
      <x:c r="K281" s="30" t="n">
        <x:v>0.011682597965926732</x:v>
      </x:c>
      <x:c r="L281" s="30" t="n">
        <x:v>0.17129607381799627</x:v>
      </x:c>
      <x:c r="M281" s="30" t="n">
        <x:v>0.5625</x:v>
      </x:c>
      <x:c r="N281" s="19" t="n">
        <x:v>1840</x:v>
      </x:c>
      <x:c r="O281" t="b">
        <x:f>P281="legacy_common_sample_8902245"</x:f>
        <x:v>1</x:v>
      </x:c>
      <x:c r="P281" t="str">
        <x:v>legacy_common_sample_8902245</x:v>
      </x:c>
      <x:c r="Q281" s="74" t="n">
        <x:v>46211.339528993056</x:v>
      </x:c>
      <x:c r="R281" s="19" t="n">
        <x:v>8902245</x:v>
      </x:c>
      <x:c r="S281" t="str">
        <x:v>8f7e606554926462248cbcc654181861438ca768a0063f6b317223ede37d16fb</x:v>
      </x:c>
      <x:c r="T281" t="str">
        <x:v>factor_report/gtja191_batch/gtja_092/ic_summary.csv</x:v>
      </x:c>
    </x:row>
    <x:row r="282">
      <x:c r="A282" s="50" t="n">
        <x:f>IF($P282="legacy_common_sample_8902245",1+COUNTIFS($C$5:$C$546,$C282,$P$5:$P$546,"legacy_common_sample_8902245",$I$5:$I$546,"&gt;"&amp;$I282),"")</x:f>
        <x:v>108</x:v>
      </x:c>
      <x:c r="B282" t="str">
        <x:v>gtja_184</x:v>
      </x:c>
      <x:c r="C282" s="50" t="n">
        <x:v>10</x:v>
      </x:c>
      <x:c r="D282" t="str">
        <x:f>IF(E282&gt;=0,"positive","negative")</x:f>
        <x:v>positive</x:v>
      </x:c>
      <x:c r="E282" s="30" t="n">
        <x:v>0.02710165719105542</x:v>
      </x:c>
      <x:c r="F282" s="30" t="n">
        <x:f>ABS(E282)</x:f>
        <x:v>0.02710165719105542</x:v>
      </x:c>
      <x:c r="G282" s="30" t="n">
        <x:v>0.10365133916922002</x:v>
      </x:c>
      <x:c r="H282" s="30" t="n">
        <x:v>0.26146943597911027</x:v>
      </x:c>
      <x:c r="I282" s="30" t="n">
        <x:f>ABS(H282)</x:f>
        <x:v>0.26146943597911027</x:v>
      </x:c>
      <x:c r="J282" s="30" t="n">
        <x:v>0.6122228231476474</x:v>
      </x:c>
      <x:c r="K282" s="30" t="n">
        <x:v>0.016970638076864275</x:v>
      </x:c>
      <x:c r="L282" s="30" t="n">
        <x:v>0.19049194970414374</x:v>
      </x:c>
      <x:c r="M282" s="30" t="n">
        <x:v>0.5797728501892915</x:v>
      </x:c>
      <x:c r="N282" s="19" t="n">
        <x:v>1849</x:v>
      </x:c>
      <x:c r="O282" t="b">
        <x:f>P282="legacy_common_sample_8902245"</x:f>
        <x:v>1</x:v>
      </x:c>
      <x:c r="P282" t="str">
        <x:v>legacy_common_sample_8902245</x:v>
      </x:c>
      <x:c r="Q282" s="74" t="n">
        <x:v>46211.54342018518</x:v>
      </x:c>
      <x:c r="R282" s="19" t="n">
        <x:v>8902245</x:v>
      </x:c>
      <x:c r="S282" t="str">
        <x:v>8f7e606554926462248cbcc654181861438ca768a0063f6b317223ede37d16fb</x:v>
      </x:c>
      <x:c r="T282" t="str">
        <x:v>factor_report/gtja191_batch/gtja_184/ic_summary.csv</x:v>
      </x:c>
    </x:row>
    <x:row r="283">
      <x:c r="A283" s="50" t="n">
        <x:f>IF($P283="legacy_common_sample_8902245",1+COUNTIFS($C$5:$C$546,$C283,$P$5:$P$546,"legacy_common_sample_8902245",$I$5:$I$546,"&gt;"&amp;$I283),"")</x:f>
        <x:v>109</x:v>
      </x:c>
      <x:c r="B283" t="str">
        <x:v>gtja_102</x:v>
      </x:c>
      <x:c r="C283" s="50" t="n">
        <x:v>10</x:v>
      </x:c>
      <x:c r="D283" t="str">
        <x:f>IF(E283&gt;=0,"positive","negative")</x:f>
        <x:v>negative</x:v>
      </x:c>
      <x:c r="E283" s="30" t="n">
        <x:v>-0.020352867178194785</x:v>
      </x:c>
      <x:c r="F283" s="30" t="n">
        <x:f>ABS(E283)</x:f>
        <x:v>0.020352867178194785</x:v>
      </x:c>
      <x:c r="G283" s="30" t="n">
        <x:v>0.08028253890730953</x:v>
      </x:c>
      <x:c r="H283" s="30" t="n">
        <x:v>-0.2535154898588005</x:v>
      </x:c>
      <x:c r="I283" s="30" t="n">
        <x:f>ABS(H283)</x:f>
        <x:v>0.2535154898588005</x:v>
      </x:c>
      <x:c r="J283" s="30" t="n">
        <x:v>0.3907584128578604</x:v>
      </x:c>
      <x:c r="K283" s="30" t="n">
        <x:v>-0.02063103421074769</x:v>
      </x:c>
      <x:c r="L283" s="30" t="n">
        <x:v>-0.30285786741832277</x:v>
      </x:c>
      <x:c r="M283" s="30" t="n">
        <x:v>0.36212958312405824</x:v>
      </x:c>
      <x:c r="N283" s="19" t="n">
        <x:v>1991</x:v>
      </x:c>
      <x:c r="O283" t="b">
        <x:f>P283="legacy_common_sample_8902245"</x:f>
        <x:v>1</x:v>
      </x:c>
      <x:c r="P283" t="str">
        <x:v>legacy_common_sample_8902245</x:v>
      </x:c>
      <x:c r="Q283" s="74" t="n">
        <x:v>46210.58357934028</x:v>
      </x:c>
      <x:c r="R283" s="19" t="n">
        <x:v>8902245</x:v>
      </x:c>
      <x:c r="S283" t="str">
        <x:v>40355b29bce094aef0e99358bdfd4011b92e72a54440a67760de4afae4883c33</x:v>
      </x:c>
      <x:c r="T283" t="str">
        <x:v>factor_report/gtja191_batch/gtja_102/ic_summary.csv</x:v>
      </x:c>
    </x:row>
    <x:row r="284">
      <x:c r="A284" s="50" t="n">
        <x:f>IF($P284="legacy_common_sample_8902245",1+COUNTIFS($C$5:$C$546,$C284,$P$5:$P$546,"legacy_common_sample_8902245",$I$5:$I$546,"&gt;"&amp;$I284),"")</x:f>
        <x:v>110</x:v>
      </x:c>
      <x:c r="B284" t="str">
        <x:v>gtja_063</x:v>
      </x:c>
      <x:c r="C284" s="50" t="n">
        <x:v>10</x:v>
      </x:c>
      <x:c r="D284" t="str">
        <x:f>IF(E284&gt;=0,"positive","negative")</x:f>
        <x:v>negative</x:v>
      </x:c>
      <x:c r="E284" s="30" t="n">
        <x:v>-0.03214577550026036</x:v>
      </x:c>
      <x:c r="F284" s="30" t="n">
        <x:f>ABS(E284)</x:f>
        <x:v>0.03214577550026036</x:v>
      </x:c>
      <x:c r="G284" s="30" t="n">
        <x:v>0.127850657984467</x:v>
      </x:c>
      <x:c r="H284" s="30" t="n">
        <x:v>-0.25143222574705765</x:v>
      </x:c>
      <x:c r="I284" s="30" t="n">
        <x:f>ABS(H284)</x:f>
        <x:v>0.25143222574705765</x:v>
      </x:c>
      <x:c r="J284" s="30" t="n">
        <x:v>0.40733299849321947</x:v>
      </x:c>
      <x:c r="K284" s="30" t="n">
        <x:v>-0.015548512248533087</x:v>
      </x:c>
      <x:c r="L284" s="30" t="n">
        <x:v>-0.1423407382215584</x:v>
      </x:c>
      <x:c r="M284" s="30" t="n">
        <x:v>0.45605223505775994</x:v>
      </x:c>
      <x:c r="N284" s="19" t="n">
        <x:v>1991</x:v>
      </x:c>
      <x:c r="O284" t="b">
        <x:f>P284="legacy_common_sample_8902245"</x:f>
        <x:v>1</x:v>
      </x:c>
      <x:c r="P284" t="str">
        <x:v>legacy_common_sample_8902245</x:v>
      </x:c>
      <x:c r="Q284" s="74" t="n">
        <x:v>46210.385858483794</x:v>
      </x:c>
      <x:c r="R284" s="19" t="n">
        <x:v>8902245</x:v>
      </x:c>
      <x:c r="S284" t="str">
        <x:v>40355b29bce094aef0e99358bdfd4011b92e72a54440a67760de4afae4883c33</x:v>
      </x:c>
      <x:c r="T284" t="str">
        <x:v>factor_report/gtja191_batch/gtja_063/ic_summary.csv</x:v>
      </x:c>
    </x:row>
    <x:row r="285">
      <x:c r="A285" s="50" t="n">
        <x:f>IF($P285="legacy_common_sample_8902245",1+COUNTIFS($C$5:$C$546,$C285,$P$5:$P$546,"legacy_common_sample_8902245",$I$5:$I$546,"&gt;"&amp;$I285),"")</x:f>
        <x:v>111</x:v>
      </x:c>
      <x:c r="B285" t="str">
        <x:v>gtja_014</x:v>
      </x:c>
      <x:c r="C285" s="50" t="n">
        <x:v>10</x:v>
      </x:c>
      <x:c r="D285" t="str">
        <x:f>IF(E285&gt;=0,"positive","negative")</x:f>
        <x:v>negative</x:v>
      </x:c>
      <x:c r="E285" s="30" t="n">
        <x:v>-0.03142291890680758</x:v>
      </x:c>
      <x:c r="F285" s="30" t="n">
        <x:f>ABS(E285)</x:f>
        <x:v>0.03142291890680758</x:v>
      </x:c>
      <x:c r="G285" s="30" t="n">
        <x:v>0.12734572528294255</x:v>
      </x:c>
      <x:c r="H285" s="30" t="n">
        <x:v>-0.24675283632010972</x:v>
      </x:c>
      <x:c r="I285" s="30" t="n">
        <x:f>ABS(H285)</x:f>
        <x:v>0.24675283632010972</x:v>
      </x:c>
      <x:c r="J285" s="30" t="n">
        <x:v>0.41838272225012557</x:v>
      </x:c>
      <x:c r="K285" s="30" t="n">
        <x:v>-0.017759678154142988</x:v>
      </x:c>
      <x:c r="L285" s="30" t="n">
        <x:v>-0.2272579460873305</x:v>
      </x:c>
      <x:c r="M285" s="30" t="n">
        <x:v>0.41285786037167255</x:v>
      </x:c>
      <x:c r="N285" s="19" t="n">
        <x:v>1991</x:v>
      </x:c>
      <x:c r="O285" t="b">
        <x:f>P285="legacy_common_sample_8902245"</x:f>
        <x:v>1</x:v>
      </x:c>
      <x:c r="P285" t="str">
        <x:v>legacy_common_sample_8902245</x:v>
      </x:c>
      <x:c r="Q285" s="74" t="n">
        <x:v>46210.170149652775</x:v>
      </x:c>
      <x:c r="R285" s="19" t="n">
        <x:v>8902245</x:v>
      </x:c>
      <x:c r="S285" t="str">
        <x:v>40355b29bce094aef0e99358bdfd4011b92e72a54440a67760de4afae4883c33</x:v>
      </x:c>
      <x:c r="T285" t="str">
        <x:v>factor_report/gtja191_batch/gtja_014/ic_summary.csv</x:v>
      </x:c>
    </x:row>
    <x:row r="286">
      <x:c r="A286" s="50" t="n">
        <x:f>IF($P286="legacy_common_sample_8902245",1+COUNTIFS($C$5:$C$546,$C286,$P$5:$P$546,"legacy_common_sample_8902245",$I$5:$I$546,"&gt;"&amp;$I286),"")</x:f>
        <x:v>112</x:v>
      </x:c>
      <x:c r="B286" t="str">
        <x:v>gtja_019</x:v>
      </x:c>
      <x:c r="C286" s="50" t="n">
        <x:v>10</x:v>
      </x:c>
      <x:c r="D286" t="str">
        <x:f>IF(E286&gt;=0,"positive","negative")</x:f>
        <x:v>negative</x:v>
      </x:c>
      <x:c r="E286" s="30" t="n">
        <x:v>-0.03136635532491433</x:v>
      </x:c>
      <x:c r="F286" s="30" t="n">
        <x:f>ABS(E286)</x:f>
        <x:v>0.03136635532491433</x:v>
      </x:c>
      <x:c r="G286" s="30" t="n">
        <x:v>0.12751382677292808</x:v>
      </x:c>
      <x:c r="H286" s="30" t="n">
        <x:v>-0.24598395420106384</x:v>
      </x:c>
      <x:c r="I286" s="30" t="n">
        <x:f>ABS(H286)</x:f>
        <x:v>0.24598395420106384</x:v>
      </x:c>
      <x:c r="J286" s="30" t="n">
        <x:v>0.4229030637870417</x:v>
      </x:c>
      <x:c r="K286" s="30" t="n">
        <x:v>-0.028714518019066083</x:v>
      </x:c>
      <x:c r="L286" s="30" t="n">
        <x:v>-0.2671101004335701</x:v>
      </x:c>
      <x:c r="M286" s="30" t="n">
        <x:v>0.40281265695630336</x:v>
      </x:c>
      <x:c r="N286" s="19" t="n">
        <x:v>1991</x:v>
      </x:c>
      <x:c r="O286" t="b">
        <x:f>P286="legacy_common_sample_8902245"</x:f>
        <x:v>1</x:v>
      </x:c>
      <x:c r="P286" t="str">
        <x:v>legacy_common_sample_8902245</x:v>
      </x:c>
      <x:c r="Q286" s="74" t="n">
        <x:v>46210.190837372684</x:v>
      </x:c>
      <x:c r="R286" s="19" t="n">
        <x:v>8902245</x:v>
      </x:c>
      <x:c r="S286" t="str">
        <x:v>40355b29bce094aef0e99358bdfd4011b92e72a54440a67760de4afae4883c33</x:v>
      </x:c>
      <x:c r="T286" t="str">
        <x:v>factor_report/gtja191_batch/gtja_019/ic_summary.csv</x:v>
      </x:c>
    </x:row>
    <x:row r="287">
      <x:c r="A287" s="50" t="n">
        <x:f>IF($P287="legacy_common_sample_8902245",1+COUNTIFS($C$5:$C$546,$C287,$P$5:$P$546,"legacy_common_sample_8902245",$I$5:$I$546,"&gt;"&amp;$I287),"")</x:f>
        <x:v>113</x:v>
      </x:c>
      <x:c r="B287" t="str">
        <x:v>gtja_018</x:v>
      </x:c>
      <x:c r="C287" s="50" t="n">
        <x:v>10</x:v>
      </x:c>
      <x:c r="D287" t="str">
        <x:f>IF(E287&gt;=0,"positive","negative")</x:f>
        <x:v>negative</x:v>
      </x:c>
      <x:c r="E287" s="30" t="n">
        <x:v>-0.03136636231735738</x:v>
      </x:c>
      <x:c r="F287" s="30" t="n">
        <x:f>ABS(E287)</x:f>
        <x:v>0.03136636231735738</x:v>
      </x:c>
      <x:c r="G287" s="30" t="n">
        <x:v>0.1275138870474672</x:v>
      </x:c>
      <x:c r="H287" s="30" t="n">
        <x:v>-0.2459838927636267</x:v>
      </x:c>
      <x:c r="I287" s="30" t="n">
        <x:f>ABS(H287)</x:f>
        <x:v>0.2459838927636267</x:v>
      </x:c>
      <x:c r="J287" s="30" t="n">
        <x:v>0.4229030637870417</x:v>
      </x:c>
      <x:c r="K287" s="30" t="n">
        <x:v>-0.032493228262562054</x:v>
      </x:c>
      <x:c r="L287" s="30" t="n">
        <x:v>-0.30628476127026943</x:v>
      </x:c>
      <x:c r="M287" s="30" t="n">
        <x:v>0.3832245102963335</x:v>
      </x:c>
      <x:c r="N287" s="19" t="n">
        <x:v>1991</x:v>
      </x:c>
      <x:c r="O287" t="b">
        <x:f>P287="legacy_common_sample_8902245"</x:f>
        <x:v>1</x:v>
      </x:c>
      <x:c r="P287" t="str">
        <x:v>legacy_common_sample_8902245</x:v>
      </x:c>
      <x:c r="Q287" s="74" t="n">
        <x:v>46210.18674793981</x:v>
      </x:c>
      <x:c r="R287" s="19" t="n">
        <x:v>8902245</x:v>
      </x:c>
      <x:c r="S287" t="str">
        <x:v>40355b29bce094aef0e99358bdfd4011b92e72a54440a67760de4afae4883c33</x:v>
      </x:c>
      <x:c r="T287" t="str">
        <x:v>factor_report/gtja191_batch/gtja_018/ic_summary.csv</x:v>
      </x:c>
    </x:row>
    <x:row r="288">
      <x:c r="A288" s="50" t="n">
        <x:f>IF($P288="legacy_common_sample_8902245",1+COUNTIFS($C$5:$C$546,$C288,$P$5:$P$546,"legacy_common_sample_8902245",$I$5:$I$546,"&gt;"&amp;$I288),"")</x:f>
        <x:v>114</x:v>
      </x:c>
      <x:c r="B288" t="str">
        <x:v>gtja_010</x:v>
      </x:c>
      <x:c r="C288" s="50" t="n">
        <x:v>10</x:v>
      </x:c>
      <x:c r="D288" t="str">
        <x:f>IF(E288&gt;=0,"positive","negative")</x:f>
        <x:v>negative</x:v>
      </x:c>
      <x:c r="E288" s="30" t="n">
        <x:v>-0.043108207262912986</x:v>
      </x:c>
      <x:c r="F288" s="30" t="n">
        <x:f>ABS(E288)</x:f>
        <x:v>0.043108207262912986</x:v>
      </x:c>
      <x:c r="G288" s="30" t="n">
        <x:v>0.1762684657157494</x:v>
      </x:c>
      <x:c r="H288" s="30" t="n">
        <x:v>-0.2445599505723803</x:v>
      </x:c>
      <x:c r="I288" s="30" t="n">
        <x:f>ABS(H288)</x:f>
        <x:v>0.2445599505723803</x:v>
      </x:c>
      <x:c r="J288" s="30" t="n">
        <x:v>0.43194374686087394</x:v>
      </x:c>
      <x:c r="K288" s="30" t="n">
        <x:v>-0.02479708182577304</x:v>
      </x:c>
      <x:c r="L288" s="30" t="n">
        <x:v>-0.16565603284888863</x:v>
      </x:c>
      <x:c r="M288" s="30" t="n">
        <x:v>0.45705675539929685</x:v>
      </x:c>
      <x:c r="N288" s="19" t="n">
        <x:v>1991</x:v>
      </x:c>
      <x:c r="O288" t="b">
        <x:f>P288="legacy_common_sample_8902245"</x:f>
        <x:v>1</x:v>
      </x:c>
      <x:c r="P288" t="str">
        <x:v>legacy_common_sample_8902245</x:v>
      </x:c>
      <x:c r="Q288" s="74" t="n">
        <x:v>46210.15392069444</x:v>
      </x:c>
      <x:c r="R288" s="19" t="n">
        <x:v>8902245</x:v>
      </x:c>
      <x:c r="S288" t="str">
        <x:v>40355b29bce094aef0e99358bdfd4011b92e72a54440a67760de4afae4883c33</x:v>
      </x:c>
      <x:c r="T288" t="str">
        <x:v>factor_report/gtja191_batch/gtja_010/ic_summary.csv</x:v>
      </x:c>
    </x:row>
    <x:row r="289">
      <x:c r="A289" s="50" t="n">
        <x:f>IF($P289="legacy_common_sample_8902245",1+COUNTIFS($C$5:$C$546,$C289,$P$5:$P$546,"legacy_common_sample_8902245",$I$5:$I$546,"&gt;"&amp;$I289),"")</x:f>
        <x:v>115</x:v>
      </x:c>
      <x:c r="B289" t="str">
        <x:v>gtja_023</x:v>
      </x:c>
      <x:c r="C289" s="50" t="n">
        <x:v>10</x:v>
      </x:c>
      <x:c r="D289" t="str">
        <x:f>IF(E289&gt;=0,"positive","negative")</x:f>
        <x:v>negative</x:v>
      </x:c>
      <x:c r="E289" s="30" t="n">
        <x:v>-0.02421312567684757</x:v>
      </x:c>
      <x:c r="F289" s="30" t="n">
        <x:f>ABS(E289)</x:f>
        <x:v>0.02421312567684757</x:v>
      </x:c>
      <x:c r="G289" s="30" t="n">
        <x:v>0.09959494554874267</x:v>
      </x:c>
      <x:c r="H289" s="30" t="n">
        <x:v>-0.24311600898458693</x:v>
      </x:c>
      <x:c r="I289" s="30" t="n">
        <x:f>ABS(H289)</x:f>
        <x:v>0.24311600898458693</x:v>
      </x:c>
      <x:c r="J289" s="30" t="n">
        <x:v>0.40683073832245104</x:v>
      </x:c>
      <x:c r="K289" s="30" t="n">
        <x:v>-0.01126758616397598</x:v>
      </x:c>
      <x:c r="L289" s="30" t="n">
        <x:v>-0.1301398451543293</x:v>
      </x:c>
      <x:c r="M289" s="30" t="n">
        <x:v>0.4731290808638875</x:v>
      </x:c>
      <x:c r="N289" s="19" t="n">
        <x:v>1991</x:v>
      </x:c>
      <x:c r="O289" t="b">
        <x:f>P289="legacy_common_sample_8902245"</x:f>
        <x:v>1</x:v>
      </x:c>
      <x:c r="P289" t="str">
        <x:v>legacy_common_sample_8902245</x:v>
      </x:c>
      <x:c r="Q289" s="74" t="n">
        <x:v>46210.20966594907</x:v>
      </x:c>
      <x:c r="R289" s="19" t="n">
        <x:v>8902245</x:v>
      </x:c>
      <x:c r="S289" t="str">
        <x:v>40355b29bce094aef0e99358bdfd4011b92e72a54440a67760de4afae4883c33</x:v>
      </x:c>
      <x:c r="T289" t="str">
        <x:v>factor_report/gtja191_batch/gtja_023/ic_summary.csv</x:v>
      </x:c>
    </x:row>
    <x:row r="290">
      <x:c r="A290" s="50" t="n">
        <x:f>IF($P290="legacy_common_sample_8902245",1+COUNTIFS($C$5:$C$546,$C290,$P$5:$P$546,"legacy_common_sample_8902245",$I$5:$I$546,"&gt;"&amp;$I290),"")</x:f>
        <x:v>116</x:v>
      </x:c>
      <x:c r="B290" t="str">
        <x:v>gtja_107</x:v>
      </x:c>
      <x:c r="C290" s="50" t="n">
        <x:v>10</x:v>
      </x:c>
      <x:c r="D290" t="str">
        <x:f>IF(E290&gt;=0,"positive","negative")</x:f>
        <x:v>negative</x:v>
      </x:c>
      <x:c r="E290" s="30" t="n">
        <x:v>-0.022211442200144024</x:v>
      </x:c>
      <x:c r="F290" s="30" t="n">
        <x:f>ABS(E290)</x:f>
        <x:v>0.022211442200144024</x:v>
      </x:c>
      <x:c r="G290" s="30" t="n">
        <x:v>0.09177100230858579</x:v>
      </x:c>
      <x:c r="H290" s="30" t="n">
        <x:v>-0.2420311606214853</x:v>
      </x:c>
      <x:c r="I290" s="30" t="n">
        <x:f>ABS(H290)</x:f>
        <x:v>0.2420311606214853</x:v>
      </x:c>
      <x:c r="J290" s="30" t="n">
        <x:v>0.37920642893018586</x:v>
      </x:c>
      <x:c r="K290" s="30" t="n">
        <x:v>0.004073234886513534</x:v>
      </x:c>
      <x:c r="L290" s="30" t="n">
        <x:v>0.05960643291249547</x:v>
      </x:c>
      <x:c r="M290" s="30" t="n">
        <x:v>0.5313912606730287</x:v>
      </x:c>
      <x:c r="N290" s="19" t="n">
        <x:v>1991</x:v>
      </x:c>
      <x:c r="O290" t="b">
        <x:f>P290="legacy_common_sample_8902245"</x:f>
        <x:v>1</x:v>
      </x:c>
      <x:c r="P290" t="str">
        <x:v>legacy_common_sample_8902245</x:v>
      </x:c>
      <x:c r="Q290" s="74" t="n">
        <x:v>46210.60368208333</x:v>
      </x:c>
      <x:c r="R290" s="19" t="n">
        <x:v>8902245</x:v>
      </x:c>
      <x:c r="S290" t="str">
        <x:v>40355b29bce094aef0e99358bdfd4011b92e72a54440a67760de4afae4883c33</x:v>
      </x:c>
      <x:c r="T290" t="str">
        <x:v>factor_report/gtja191_batch/gtja_107/ic_summary.csv</x:v>
      </x:c>
    </x:row>
    <x:row r="291">
      <x:c r="A291" s="50" t="n">
        <x:f>IF($P291="legacy_common_sample_8902245",1+COUNTIFS($C$5:$C$546,$C291,$P$5:$P$546,"legacy_common_sample_8902245",$I$5:$I$546,"&gt;"&amp;$I291),"")</x:f>
        <x:v>117</x:v>
      </x:c>
      <x:c r="B291" t="str">
        <x:v>gtja_173</x:v>
      </x:c>
      <x:c r="C291" s="50" t="n">
        <x:v>10</x:v>
      </x:c>
      <x:c r="D291" t="str">
        <x:f>IF(E291&gt;=0,"positive","negative")</x:f>
        <x:v>negative</x:v>
      </x:c>
      <x:c r="E291" s="30" t="n">
        <x:v>-0.04325381637287457</x:v>
      </x:c>
      <x:c r="F291" s="30" t="n">
        <x:f>ABS(E291)</x:f>
        <x:v>0.04325381637287457</x:v>
      </x:c>
      <x:c r="G291" s="30" t="n">
        <x:v>0.18323903446816028</x:v>
      </x:c>
      <x:c r="H291" s="30" t="n">
        <x:v>-0.236051322243735</x:v>
      </x:c>
      <x:c r="I291" s="30" t="n">
        <x:f>ABS(H291)</x:f>
        <x:v>0.236051322243735</x:v>
      </x:c>
      <x:c r="J291" s="30" t="n">
        <x:v>0.4339527875439478</x:v>
      </x:c>
      <x:c r="K291" s="30" t="n">
        <x:v>-0.012017363443812084</x:v>
      </x:c>
      <x:c r="L291" s="30" t="n">
        <x:v>-0.12756805940960642</x:v>
      </x:c>
      <x:c r="M291" s="30" t="n">
        <x:v>0.4490205926670015</x:v>
      </x:c>
      <x:c r="N291" s="19" t="n">
        <x:v>1991</x:v>
      </x:c>
      <x:c r="O291" t="b">
        <x:f>P291="legacy_common_sample_8902245"</x:f>
        <x:v>1</x:v>
      </x:c>
      <x:c r="P291" t="str">
        <x:v>legacy_common_sample_8902245</x:v>
      </x:c>
      <x:c r="Q291" s="74" t="n">
        <x:v>46210.91649931713</x:v>
      </x:c>
      <x:c r="R291" s="19" t="n">
        <x:v>8902245</x:v>
      </x:c>
      <x:c r="S291" t="str">
        <x:v>40355b29bce094aef0e99358bdfd4011b92e72a54440a67760de4afae4883c33</x:v>
      </x:c>
      <x:c r="T291" t="str">
        <x:v>factor_report/gtja191_batch/gtja_173/ic_summary.csv</x:v>
      </x:c>
    </x:row>
    <x:row r="292">
      <x:c r="A292" s="50" t="n">
        <x:f>IF($P292="legacy_common_sample_8902245",1+COUNTIFS($C$5:$C$546,$C292,$P$5:$P$546,"legacy_common_sample_8902245",$I$5:$I$546,"&gt;"&amp;$I292),"")</x:f>
        <x:v>118</x:v>
      </x:c>
      <x:c r="B292" t="str">
        <x:v>gtja_160</x:v>
      </x:c>
      <x:c r="C292" s="50" t="n">
        <x:v>10</x:v>
      </x:c>
      <x:c r="D292" t="str">
        <x:f>IF(E292&gt;=0,"positive","negative")</x:f>
        <x:v>negative</x:v>
      </x:c>
      <x:c r="E292" s="30" t="n">
        <x:v>-0.04511477824717248</x:v>
      </x:c>
      <x:c r="F292" s="30" t="n">
        <x:f>ABS(E292)</x:f>
        <x:v>0.04511477824717248</x:v>
      </x:c>
      <x:c r="G292" s="30" t="n">
        <x:v>0.19401638603805693</x:v>
      </x:c>
      <x:c r="H292" s="30" t="n">
        <x:v>-0.23253076283115112</x:v>
      </x:c>
      <x:c r="I292" s="30" t="n">
        <x:f>ABS(H292)</x:f>
        <x:v>0.23253076283115112</x:v>
      </x:c>
      <x:c r="J292" s="30" t="n">
        <x:v>0.4244098442993471</x:v>
      </x:c>
      <x:c r="K292" s="30" t="n">
        <x:v>-0.009295237853912735</x:v>
      </x:c>
      <x:c r="L292" s="30" t="n">
        <x:v>-0.0827914451816224</x:v>
      </x:c>
      <x:c r="M292" s="30" t="n">
        <x:v>0.472626820693119</x:v>
      </x:c>
      <x:c r="N292" s="19" t="n">
        <x:v>1991</x:v>
      </x:c>
      <x:c r="O292" t="b">
        <x:f>P292="legacy_common_sample_8902245"</x:f>
        <x:v>1</x:v>
      </x:c>
      <x:c r="P292" t="str">
        <x:v>legacy_common_sample_8902245</x:v>
      </x:c>
      <x:c r="Q292" s="74" t="n">
        <x:v>46210.859459722225</x:v>
      </x:c>
      <x:c r="R292" s="19" t="n">
        <x:v>8902245</x:v>
      </x:c>
      <x:c r="S292" t="str">
        <x:v>40355b29bce094aef0e99358bdfd4011b92e72a54440a67760de4afae4883c33</x:v>
      </x:c>
      <x:c r="T292" t="str">
        <x:v>factor_report/gtja191_batch/gtja_160/ic_summary.csv</x:v>
      </x:c>
    </x:row>
    <x:row r="293">
      <x:c r="A293" s="50" t="n">
        <x:f>IF($P293="legacy_common_sample_8902245",1+COUNTIFS($C$5:$C$546,$C293,$P$5:$P$546,"legacy_common_sample_8902245",$I$5:$I$546,"&gt;"&amp;$I293),"")</x:f>
        <x:v>119</x:v>
      </x:c>
      <x:c r="B293" t="str">
        <x:v>gtja_126</x:v>
      </x:c>
      <x:c r="C293" s="50" t="n">
        <x:v>10</x:v>
      </x:c>
      <x:c r="D293" t="str">
        <x:f>IF(E293&gt;=0,"positive","negative")</x:f>
        <x:v>negative</x:v>
      </x:c>
      <x:c r="E293" s="30" t="n">
        <x:v>-0.042572173846866894</x:v>
      </x:c>
      <x:c r="F293" s="30" t="n">
        <x:f>ABS(E293)</x:f>
        <x:v>0.042572173846866894</x:v>
      </x:c>
      <x:c r="G293" s="30" t="n">
        <x:v>0.1832020042299717</x:v>
      </x:c>
      <x:c r="H293" s="30" t="n">
        <x:v>-0.2323783193628518</x:v>
      </x:c>
      <x:c r="I293" s="30" t="n">
        <x:f>ABS(H293)</x:f>
        <x:v>0.2323783193628518</x:v>
      </x:c>
      <x:c r="J293" s="30" t="n">
        <x:v>0.4359618282270216</x:v>
      </x:c>
      <x:c r="K293" s="30" t="n">
        <x:v>-0.011005281052114966</x:v>
      </x:c>
      <x:c r="L293" s="30" t="n">
        <x:v>-0.12050208375655233</x:v>
      </x:c>
      <x:c r="M293" s="30" t="n">
        <x:v>0.4530386740331492</x:v>
      </x:c>
      <x:c r="N293" s="19" t="n">
        <x:v>1991</x:v>
      </x:c>
      <x:c r="O293" t="b">
        <x:f>P293="legacy_common_sample_8902245"</x:f>
        <x:v>1</x:v>
      </x:c>
      <x:c r="P293" t="str">
        <x:v>legacy_common_sample_8902245</x:v>
      </x:c>
      <x:c r="Q293" s="74" t="n">
        <x:v>46210.70792734954</x:v>
      </x:c>
      <x:c r="R293" s="19" t="n">
        <x:v>8902245</x:v>
      </x:c>
      <x:c r="S293" t="str">
        <x:v>40355b29bce094aef0e99358bdfd4011b92e72a54440a67760de4afae4883c33</x:v>
      </x:c>
      <x:c r="T293" t="str">
        <x:v>factor_report/gtja191_batch/gtja_126/ic_summary.csv</x:v>
      </x:c>
    </x:row>
    <x:row r="294">
      <x:c r="A294" s="50" t="n">
        <x:f>IF($P294="legacy_common_sample_8902245",1+COUNTIFS($C$5:$C$546,$C294,$P$5:$P$546,"legacy_common_sample_8902245",$I$5:$I$546,"&gt;"&amp;$I294),"")</x:f>
        <x:v>120</x:v>
      </x:c>
      <x:c r="B294" t="str">
        <x:v>gtja_048</x:v>
      </x:c>
      <x:c r="C294" s="50" t="n">
        <x:v>10</x:v>
      </x:c>
      <x:c r="D294" t="str">
        <x:f>IF(E294&gt;=0,"positive","negative")</x:f>
        <x:v>positive</x:v>
      </x:c>
      <x:c r="E294" s="30" t="n">
        <x:v>0.022741292802513278</x:v>
      </x:c>
      <x:c r="F294" s="30" t="n">
        <x:f>ABS(E294)</x:f>
        <x:v>0.022741292802513278</x:v>
      </x:c>
      <x:c r="G294" s="30" t="n">
        <x:v>0.09853818497318383</x:v>
      </x:c>
      <x:c r="H294" s="30" t="n">
        <x:v>0.23078660124196615</x:v>
      </x:c>
      <x:c r="I294" s="30" t="n">
        <x:f>ABS(H294)</x:f>
        <x:v>0.23078660124196615</x:v>
      </x:c>
      <x:c r="J294" s="30" t="n">
        <x:v>0.5926670015067805</x:v>
      </x:c>
      <x:c r="K294" s="30" t="n">
        <x:v>0.022359262159129728</x:v>
      </x:c>
      <x:c r="L294" s="30" t="n">
        <x:v>0.26292579911602065</x:v>
      </x:c>
      <x:c r="M294" s="30" t="n">
        <x:v>0.6057257659467604</x:v>
      </x:c>
      <x:c r="N294" s="19" t="n">
        <x:v>1991</x:v>
      </x:c>
      <x:c r="O294" t="b">
        <x:f>P294="legacy_common_sample_8902245"</x:f>
        <x:v>1</x:v>
      </x:c>
      <x:c r="P294" t="str">
        <x:v>legacy_common_sample_8902245</x:v>
      </x:c>
      <x:c r="Q294" s="74" t="n">
        <x:v>46211.27421923611</x:v>
      </x:c>
      <x:c r="R294" s="19" t="n">
        <x:v>8902245</x:v>
      </x:c>
      <x:c r="S294" t="str">
        <x:v>8f7e606554926462248cbcc654181861438ca768a0063f6b317223ede37d16fb</x:v>
      </x:c>
      <x:c r="T294" t="str">
        <x:v>factor_report/gtja191_batch/gtja_048/ic_summary.csv</x:v>
      </x:c>
    </x:row>
    <x:row r="295">
      <x:c r="A295" s="50" t="n">
        <x:f>IF($P295="legacy_common_sample_8902245",1+COUNTIFS($C$5:$C$546,$C295,$P$5:$P$546,"legacy_common_sample_8902245",$I$5:$I$546,"&gt;"&amp;$I295),"")</x:f>
        <x:v>121</x:v>
      </x:c>
      <x:c r="B295" t="str">
        <x:v>gtja_008</x:v>
      </x:c>
      <x:c r="C295" s="50" t="n">
        <x:v>10</x:v>
      </x:c>
      <x:c r="D295" t="str">
        <x:f>IF(E295&gt;=0,"positive","negative")</x:f>
        <x:v>positive</x:v>
      </x:c>
      <x:c r="E295" s="30" t="n">
        <x:v>0.029069252476887388</x:v>
      </x:c>
      <x:c r="F295" s="30" t="n">
        <x:f>ABS(E295)</x:f>
        <x:v>0.029069252476887388</x:v>
      </x:c>
      <x:c r="G295" s="30" t="n">
        <x:v>0.12645840561009833</x:v>
      </x:c>
      <x:c r="H295" s="30" t="n">
        <x:v>0.22987204635898134</x:v>
      </x:c>
      <x:c r="I295" s="30" t="n">
        <x:f>ABS(H295)</x:f>
        <x:v>0.22987204635898134</x:v>
      </x:c>
      <x:c r="J295" s="30" t="n">
        <x:v>0.5826217980914113</x:v>
      </x:c>
      <x:c r="K295" s="30" t="n">
        <x:v>0.017447066894081962</x:v>
      </x:c>
      <x:c r="L295" s="30" t="n">
        <x:v>0.16279541580146986</x:v>
      </x:c>
      <x:c r="M295" s="30" t="n">
        <x:v>0.5655449522852838</x:v>
      </x:c>
      <x:c r="N295" s="19" t="n">
        <x:v>1991</x:v>
      </x:c>
      <x:c r="O295" t="b">
        <x:f>P295="legacy_common_sample_8902245"</x:f>
        <x:v>1</x:v>
      </x:c>
      <x:c r="P295" t="str">
        <x:v>legacy_common_sample_8902245</x:v>
      </x:c>
      <x:c r="Q295" s="74" t="n">
        <x:v>46211.178455532405</x:v>
      </x:c>
      <x:c r="R295" s="19" t="n">
        <x:v>8902245</x:v>
      </x:c>
      <x:c r="S295" t="str">
        <x:v>8f7e606554926462248cbcc654181861438ca768a0063f6b317223ede37d16fb</x:v>
      </x:c>
      <x:c r="T295" t="str">
        <x:v>factor_report/gtja191_batch/gtja_008/ic_summary.csv</x:v>
      </x:c>
    </x:row>
    <x:row r="296">
      <x:c r="A296" s="50" t="n">
        <x:f>IF($P296="legacy_common_sample_8902245",1+COUNTIFS($C$5:$C$546,$C296,$P$5:$P$546,"legacy_common_sample_8902245",$I$5:$I$546,"&gt;"&amp;$I296),"")</x:f>
        <x:v>122</x:v>
      </x:c>
      <x:c r="B296" t="str">
        <x:v>gtja_080</x:v>
      </x:c>
      <x:c r="C296" s="50" t="n">
        <x:v>10</x:v>
      </x:c>
      <x:c r="D296" t="str">
        <x:f>IF(E296&gt;=0,"positive","negative")</x:f>
        <x:v>negative</x:v>
      </x:c>
      <x:c r="E296" s="30" t="n">
        <x:v>-0.01708948207940634</x:v>
      </x:c>
      <x:c r="F296" s="30" t="n">
        <x:f>ABS(E296)</x:f>
        <x:v>0.01708948207940634</x:v>
      </x:c>
      <x:c r="G296" s="30" t="n">
        <x:v>0.0747215615870042</x:v>
      </x:c>
      <x:c r="H296" s="30" t="n">
        <x:v>-0.228708845431552</x:v>
      </x:c>
      <x:c r="I296" s="30" t="n">
        <x:f>ABS(H296)</x:f>
        <x:v>0.228708845431552</x:v>
      </x:c>
      <x:c r="J296" s="30" t="n">
        <x:v>0.4008036162732295</x:v>
      </x:c>
      <x:c r="K296" s="30" t="n">
        <x:v>-0.023157372604016395</x:v>
      </x:c>
      <x:c r="L296" s="30" t="n">
        <x:v>-0.4604112447724426</x:v>
      </x:c>
      <x:c r="M296" s="30" t="n">
        <x:v>0.2983425414364641</x:v>
      </x:c>
      <x:c r="N296" s="19" t="n">
        <x:v>1991</x:v>
      </x:c>
      <x:c r="O296" t="b">
        <x:f>P296="legacy_common_sample_8902245"</x:f>
        <x:v>1</x:v>
      </x:c>
      <x:c r="P296" t="str">
        <x:v>legacy_common_sample_8902245</x:v>
      </x:c>
      <x:c r="Q296" s="74" t="n">
        <x:v>46211.31192994213</x:v>
      </x:c>
      <x:c r="R296" s="19" t="n">
        <x:v>8902245</x:v>
      </x:c>
      <x:c r="S296" t="str">
        <x:v>8f7e606554926462248cbcc654181861438ca768a0063f6b317223ede37d16fb</x:v>
      </x:c>
      <x:c r="T296" t="str">
        <x:v>factor_report/gtja191_batch/gtja_080/ic_summary.csv</x:v>
      </x:c>
    </x:row>
    <x:row r="297">
      <x:c r="A297" s="50" t="n">
        <x:f>IF($P297="legacy_common_sample_8902245",1+COUNTIFS($C$5:$C$546,$C297,$P$5:$P$546,"legacy_common_sample_8902245",$I$5:$I$546,"&gt;"&amp;$I297),"")</x:f>
        <x:v>123</x:v>
      </x:c>
      <x:c r="B297" t="str">
        <x:v>gtja_053</x:v>
      </x:c>
      <x:c r="C297" s="50" t="n">
        <x:v>10</x:v>
      </x:c>
      <x:c r="D297" t="str">
        <x:f>IF(E297&gt;=0,"positive","negative")</x:f>
        <x:v>negative</x:v>
      </x:c>
      <x:c r="E297" s="30" t="n">
        <x:v>-0.021981401750478545</x:v>
      </x:c>
      <x:c r="F297" s="30" t="n">
        <x:f>ABS(E297)</x:f>
        <x:v>0.021981401750478545</x:v>
      </x:c>
      <x:c r="G297" s="30" t="n">
        <x:v>0.09762994919688875</x:v>
      </x:c>
      <x:c r="H297" s="30" t="n">
        <x:v>-0.2251501914248568</x:v>
      </x:c>
      <x:c r="I297" s="30" t="n">
        <x:f>ABS(H297)</x:f>
        <x:v>0.2251501914248568</x:v>
      </x:c>
      <x:c r="J297" s="30" t="n">
        <x:v>0.41637368156705173</x:v>
      </x:c>
      <x:c r="K297" s="30" t="n">
        <x:v>-0.008607414012613357</x:v>
      </x:c>
      <x:c r="L297" s="30" t="n">
        <x:v>-0.1011932747755348</x:v>
      </x:c>
      <x:c r="M297" s="30" t="n">
        <x:v>0.4620793571069814</x:v>
      </x:c>
      <x:c r="N297" s="19" t="n">
        <x:v>1991</x:v>
      </x:c>
      <x:c r="O297" t="b">
        <x:f>P297="legacy_common_sample_8902245"</x:f>
        <x:v>1</x:v>
      </x:c>
      <x:c r="P297" t="str">
        <x:v>legacy_common_sample_8902245</x:v>
      </x:c>
      <x:c r="Q297" s="74" t="n">
        <x:v>46210.33939799768</x:v>
      </x:c>
      <x:c r="R297" s="19" t="n">
        <x:v>8902245</x:v>
      </x:c>
      <x:c r="S297" t="str">
        <x:v>40355b29bce094aef0e99358bdfd4011b92e72a54440a67760de4afae4883c33</x:v>
      </x:c>
      <x:c r="T297" t="str">
        <x:v>factor_report/gtja191_batch/gtja_053/ic_summary.csv</x:v>
      </x:c>
    </x:row>
    <x:row r="298">
      <x:c r="A298" s="50" t="n">
        <x:f>IF($P298="legacy_common_sample_8902245",1+COUNTIFS($C$5:$C$546,$C298,$P$5:$P$546,"legacy_common_sample_8902245",$I$5:$I$546,"&gt;"&amp;$I298),"")</x:f>
        <x:v>124</x:v>
      </x:c>
      <x:c r="B298" t="str">
        <x:v>gtja_153</x:v>
      </x:c>
      <x:c r="C298" s="50" t="n">
        <x:v>10</x:v>
      </x:c>
      <x:c r="D298" t="str">
        <x:f>IF(E298&gt;=0,"positive","negative")</x:f>
        <x:v>negative</x:v>
      </x:c>
      <x:c r="E298" s="30" t="n">
        <x:v>-0.03994208451855303</x:v>
      </x:c>
      <x:c r="F298" s="30" t="n">
        <x:f>ABS(E298)</x:f>
        <x:v>0.03994208451855303</x:v>
      </x:c>
      <x:c r="G298" s="30" t="n">
        <x:v>0.18360593322646068</x:v>
      </x:c>
      <x:c r="H298" s="30" t="n">
        <x:v>-0.21754244983623824</x:v>
      </x:c>
      <x:c r="I298" s="30" t="n">
        <x:f>ABS(H298)</x:f>
        <x:v>0.21754244983623824</x:v>
      </x:c>
      <x:c r="J298" s="30" t="n">
        <x:v>0.4445002511300854</x:v>
      </x:c>
      <x:c r="K298" s="30" t="n">
        <x:v>-0.010054206431721294</x:v>
      </x:c>
      <x:c r="L298" s="30" t="n">
        <x:v>-0.11034809654122044</x:v>
      </x:c>
      <x:c r="M298" s="30" t="n">
        <x:v>0.4600703164239076</x:v>
      </x:c>
      <x:c r="N298" s="19" t="n">
        <x:v>1991</x:v>
      </x:c>
      <x:c r="O298" t="b">
        <x:f>P298="legacy_common_sample_8902245"</x:f>
        <x:v>1</x:v>
      </x:c>
      <x:c r="P298" t="str">
        <x:v>legacy_common_sample_8902245</x:v>
      </x:c>
      <x:c r="Q298" s="74" t="n">
        <x:v>46210.827101863426</x:v>
      </x:c>
      <x:c r="R298" s="19" t="n">
        <x:v>8902245</x:v>
      </x:c>
      <x:c r="S298" t="str">
        <x:v>40355b29bce094aef0e99358bdfd4011b92e72a54440a67760de4afae4883c33</x:v>
      </x:c>
      <x:c r="T298" t="str">
        <x:v>factor_report/gtja191_batch/gtja_153/ic_summary.csv</x:v>
      </x:c>
    </x:row>
    <x:row r="299">
      <x:c r="A299" s="50" t="n">
        <x:f>IF($P299="legacy_common_sample_8902245",1+COUNTIFS($C$5:$C$546,$C299,$P$5:$P$546,"legacy_common_sample_8902245",$I$5:$I$546,"&gt;"&amp;$I299),"")</x:f>
        <x:v>125</x:v>
      </x:c>
      <x:c r="B299" t="str">
        <x:v>gtja_009</x:v>
      </x:c>
      <x:c r="C299" s="50" t="n">
        <x:v>10</x:v>
      </x:c>
      <x:c r="D299" t="str">
        <x:f>IF(E299&gt;=0,"positive","negative")</x:f>
        <x:v>negative</x:v>
      </x:c>
      <x:c r="E299" s="30" t="n">
        <x:v>-0.02588146976534059</x:v>
      </x:c>
      <x:c r="F299" s="30" t="n">
        <x:f>ABS(E299)</x:f>
        <x:v>0.02588146976534059</x:v>
      </x:c>
      <x:c r="G299" s="30" t="n">
        <x:v>0.11920432556369577</x:v>
      </x:c>
      <x:c r="H299" s="30" t="n">
        <x:v>-0.2171185453459997</x:v>
      </x:c>
      <x:c r="I299" s="30" t="n">
        <x:f>ABS(H299)</x:f>
        <x:v>0.2171185453459997</x:v>
      </x:c>
      <x:c r="J299" s="30" t="n">
        <x:v>0.4103465595178302</x:v>
      </x:c>
      <x:c r="K299" s="30" t="n">
        <x:v>-0.0031255883410262536</x:v>
      </x:c>
      <x:c r="L299" s="30" t="n">
        <x:v>-0.10930393047797234</x:v>
      </x:c>
      <x:c r="M299" s="30" t="n">
        <x:v>0.4515318935208438</x:v>
      </x:c>
      <x:c r="N299" s="19" t="n">
        <x:v>1991</x:v>
      </x:c>
      <x:c r="O299" t="b">
        <x:f>P299="legacy_common_sample_8902245"</x:f>
        <x:v>1</x:v>
      </x:c>
      <x:c r="P299" t="str">
        <x:v>legacy_common_sample_8902245</x:v>
      </x:c>
      <x:c r="Q299" s="74" t="n">
        <x:v>46210.14960534722</x:v>
      </x:c>
      <x:c r="R299" s="19" t="n">
        <x:v>8902245</x:v>
      </x:c>
      <x:c r="S299" t="str">
        <x:v>40355b29bce094aef0e99358bdfd4011b92e72a54440a67760de4afae4883c33</x:v>
      </x:c>
      <x:c r="T299" t="str">
        <x:v>factor_report/gtja191_batch/gtja_009/ic_summary.csv</x:v>
      </x:c>
    </x:row>
    <x:row r="300">
      <x:c r="A300" s="50" t="n">
        <x:f>IF($P300="legacy_common_sample_8902245",1+COUNTIFS($C$5:$C$546,$C300,$P$5:$P$546,"legacy_common_sample_8902245",$I$5:$I$546,"&gt;"&amp;$I300),"")</x:f>
        <x:v>126</x:v>
      </x:c>
      <x:c r="B300" t="str">
        <x:v>gtja_060</x:v>
      </x:c>
      <x:c r="C300" s="50" t="n">
        <x:v>10</x:v>
      </x:c>
      <x:c r="D300" t="str">
        <x:f>IF(E300&gt;=0,"positive","negative")</x:f>
        <x:v>negative</x:v>
      </x:c>
      <x:c r="E300" s="30" t="n">
        <x:v>-0.02001290122792241</x:v>
      </x:c>
      <x:c r="F300" s="30" t="n">
        <x:f>ABS(E300)</x:f>
        <x:v>0.02001290122792241</x:v>
      </x:c>
      <x:c r="G300" s="30" t="n">
        <x:v>0.09228894636118828</x:v>
      </x:c>
      <x:c r="H300" s="30" t="n">
        <x:v>-0.21685046819798506</x:v>
      </x:c>
      <x:c r="I300" s="30" t="n">
        <x:f>ABS(H300)</x:f>
        <x:v>0.21685046819798506</x:v>
      </x:c>
      <x:c r="J300" s="30" t="n">
        <x:v>0.4178804620793571</x:v>
      </x:c>
      <x:c r="K300" s="30" t="n">
        <x:v>-0.012458570156869525</x:v>
      </x:c>
      <x:c r="L300" s="30" t="n">
        <x:v>-0.22501181432349449</x:v>
      </x:c>
      <x:c r="M300" s="30" t="n">
        <x:v>0.413360120542441</x:v>
      </x:c>
      <x:c r="N300" s="19" t="n">
        <x:v>1991</x:v>
      </x:c>
      <x:c r="O300" t="b">
        <x:f>P300="legacy_common_sample_8902245"</x:f>
        <x:v>1</x:v>
      </x:c>
      <x:c r="P300" t="str">
        <x:v>legacy_common_sample_8902245</x:v>
      </x:c>
      <x:c r="Q300" s="74" t="n">
        <x:v>46210.37184259259</x:v>
      </x:c>
      <x:c r="R300" s="19" t="n">
        <x:v>8902245</x:v>
      </x:c>
      <x:c r="S300" t="str">
        <x:v>40355b29bce094aef0e99358bdfd4011b92e72a54440a67760de4afae4883c33</x:v>
      </x:c>
      <x:c r="T300" t="str">
        <x:v>factor_report/gtja191_batch/gtja_060/ic_summary.csv</x:v>
      </x:c>
    </x:row>
    <x:row r="301">
      <x:c r="A301" s="50" t="n">
        <x:f>IF($P301="legacy_common_sample_8902245",1+COUNTIFS($C$5:$C$546,$C301,$P$5:$P$546,"legacy_common_sample_8902245",$I$5:$I$546,"&gt;"&amp;$I301),"")</x:f>
        <x:v>127</x:v>
      </x:c>
      <x:c r="B301" t="str">
        <x:v>gtja_026</x:v>
      </x:c>
      <x:c r="C301" s="50" t="n">
        <x:v>10</x:v>
      </x:c>
      <x:c r="D301" t="str">
        <x:f>IF(E301&gt;=0,"positive","negative")</x:f>
        <x:v>positive</x:v>
      </x:c>
      <x:c r="E301" s="30" t="n">
        <x:v>0.027736643204687658</x:v>
      </x:c>
      <x:c r="F301" s="30" t="n">
        <x:f>ABS(E301)</x:f>
        <x:v>0.027736643204687658</x:v>
      </x:c>
      <x:c r="G301" s="30" t="n">
        <x:v>0.12826922904020086</x:v>
      </x:c>
      <x:c r="H301" s="30" t="n">
        <x:v>0.2162377010623079</x:v>
      </x:c>
      <x:c r="I301" s="30" t="n">
        <x:f>ABS(H301)</x:f>
        <x:v>0.2162377010623079</x:v>
      </x:c>
      <x:c r="J301" s="30" t="n">
        <x:v>0.5768595041322314</x:v>
      </x:c>
      <x:c r="K301" s="30" t="n">
        <x:v>0.01686150274276015</x:v>
      </x:c>
      <x:c r="L301" s="30" t="n">
        <x:v>0.21637148399933312</x:v>
      </x:c>
      <x:c r="M301" s="30" t="n">
        <x:v>0.5834710743801653</x:v>
      </x:c>
      <x:c r="N301" s="19" t="n">
        <x:v>1815</x:v>
      </x:c>
      <x:c r="O301" t="b">
        <x:f>P301="legacy_common_sample_8902245"</x:f>
        <x:v>1</x:v>
      </x:c>
      <x:c r="P301" t="str">
        <x:v>legacy_common_sample_8902245</x:v>
      </x:c>
      <x:c r="Q301" s="74" t="n">
        <x:v>46211.21334347222</x:v>
      </x:c>
      <x:c r="R301" s="19" t="n">
        <x:v>8902245</x:v>
      </x:c>
      <x:c r="S301" t="str">
        <x:v>8f7e606554926462248cbcc654181861438ca768a0063f6b317223ede37d16fb</x:v>
      </x:c>
      <x:c r="T301" t="str">
        <x:v>factor_report/gtja191_batch/gtja_026/ic_summary.csv</x:v>
      </x:c>
    </x:row>
    <x:row r="302">
      <x:c r="A302" s="50" t="n">
        <x:f>IF($P302="legacy_common_sample_8902245",1+COUNTIFS($C$5:$C$546,$C302,$P$5:$P$546,"legacy_common_sample_8902245",$I$5:$I$546,"&gt;"&amp;$I302),"")</x:f>
        <x:v>128</x:v>
      </x:c>
      <x:c r="B302" t="str">
        <x:v>gtja_152</x:v>
      </x:c>
      <x:c r="C302" s="50" t="n">
        <x:v>10</x:v>
      </x:c>
      <x:c r="D302" t="str">
        <x:f>IF(E302&gt;=0,"positive","negative")</x:f>
        <x:v>negative</x:v>
      </x:c>
      <x:c r="E302" s="30" t="n">
        <x:v>-0.027070408073359118</x:v>
      </x:c>
      <x:c r="F302" s="30" t="n">
        <x:f>ABS(E302)</x:f>
        <x:v>0.027070408073359118</x:v>
      </x:c>
      <x:c r="G302" s="30" t="n">
        <x:v>0.12798637128724902</x:v>
      </x:c>
      <x:c r="H302" s="30" t="n">
        <x:v>-0.21151008346508282</x:v>
      </x:c>
      <x:c r="I302" s="30" t="n">
        <x:f>ABS(H302)</x:f>
        <x:v>0.21151008346508282</x:v>
      </x:c>
      <x:c r="J302" s="30" t="n">
        <x:v>0.4193872425916625</x:v>
      </x:c>
      <x:c r="K302" s="30" t="n">
        <x:v>-0.012642183460939298</x:v>
      </x:c>
      <x:c r="L302" s="30" t="n">
        <x:v>-0.12432218082016176</x:v>
      </x:c>
      <x:c r="M302" s="30" t="n">
        <x:v>0.4686087393269714</x:v>
      </x:c>
      <x:c r="N302" s="19" t="n">
        <x:v>1991</x:v>
      </x:c>
      <x:c r="O302" t="b">
        <x:f>P302="legacy_common_sample_8902245"</x:f>
        <x:v>1</x:v>
      </x:c>
      <x:c r="P302" t="str">
        <x:v>legacy_common_sample_8902245</x:v>
      </x:c>
      <x:c r="Q302" s="74" t="n">
        <x:v>46210.823093680556</x:v>
      </x:c>
      <x:c r="R302" s="19" t="n">
        <x:v>8902245</x:v>
      </x:c>
      <x:c r="S302" t="str">
        <x:v>40355b29bce094aef0e99358bdfd4011b92e72a54440a67760de4afae4883c33</x:v>
      </x:c>
      <x:c r="T302" t="str">
        <x:v>factor_report/gtja191_batch/gtja_152/ic_summary.csv</x:v>
      </x:c>
    </x:row>
    <x:row r="303">
      <x:c r="A303" s="50" t="n">
        <x:f>IF($P303="legacy_common_sample_8902245",1+COUNTIFS($C$5:$C$546,$C303,$P$5:$P$546,"legacy_common_sample_8902245",$I$5:$I$546,"&gt;"&amp;$I303),"")</x:f>
        <x:v>129</x:v>
      </x:c>
      <x:c r="B303" t="str">
        <x:v>gtja_017</x:v>
      </x:c>
      <x:c r="C303" s="50" t="n">
        <x:v>10</x:v>
      </x:c>
      <x:c r="D303" t="str">
        <x:f>IF(E303&gt;=0,"positive","negative")</x:f>
        <x:v>positive</x:v>
      </x:c>
      <x:c r="E303" s="30" t="n">
        <x:v>0.026452121278683006</x:v>
      </x:c>
      <x:c r="F303" s="30" t="n">
        <x:f>ABS(E303)</x:f>
        <x:v>0.026452121278683006</x:v>
      </x:c>
      <x:c r="G303" s="30" t="n">
        <x:v>0.12507453656076656</x:v>
      </x:c>
      <x:c r="H303" s="30" t="n">
        <x:v>0.21149085981886837</x:v>
      </x:c>
      <x:c r="I303" s="30" t="n">
        <x:f>ABS(H303)</x:f>
        <x:v>0.21149085981886837</x:v>
      </x:c>
      <x:c r="J303" s="30" t="n">
        <x:v>0.5765946760421898</x:v>
      </x:c>
      <x:c r="K303" s="30" t="n">
        <x:v>-0.0013430808207668633</x:v>
      </x:c>
      <x:c r="L303" s="30" t="n">
        <x:v>-0.0872445490691149</x:v>
      </x:c>
      <x:c r="M303" s="30" t="n">
        <x:v>0.3304871923656454</x:v>
      </x:c>
      <x:c r="N303" s="19" t="n">
        <x:v>1991</x:v>
      </x:c>
      <x:c r="O303" t="b">
        <x:f>P303="legacy_common_sample_8902245"</x:f>
        <x:v>1</x:v>
      </x:c>
      <x:c r="P303" t="str">
        <x:v>legacy_common_sample_8902245</x:v>
      </x:c>
      <x:c r="Q303" s="74" t="n">
        <x:v>46211.200878738426</x:v>
      </x:c>
      <x:c r="R303" s="19" t="n">
        <x:v>8902245</x:v>
      </x:c>
      <x:c r="S303" t="str">
        <x:v>8f7e606554926462248cbcc654181861438ca768a0063f6b317223ede37d16fb</x:v>
      </x:c>
      <x:c r="T303" t="str">
        <x:v>factor_report/gtja191_batch/gtja_017/ic_summary.csv</x:v>
      </x:c>
    </x:row>
    <x:row r="304">
      <x:c r="A304" s="50" t="n">
        <x:f>IF($P304="legacy_common_sample_8902245",1+COUNTIFS($C$5:$C$546,$C304,$P$5:$P$546,"legacy_common_sample_8902245",$I$5:$I$546,"&gt;"&amp;$I304),"")</x:f>
        <x:v>130</x:v>
      </x:c>
      <x:c r="B304" t="str">
        <x:v>gtja_123</x:v>
      </x:c>
      <x:c r="C304" s="50" t="n">
        <x:v>10</x:v>
      </x:c>
      <x:c r="D304" t="str">
        <x:f>IF(E304&gt;=0,"positive","negative")</x:f>
        <x:v>positive</x:v>
      </x:c>
      <x:c r="E304" s="30" t="n">
        <x:v>0.011980777322754587</x:v>
      </x:c>
      <x:c r="F304" s="30" t="n">
        <x:f>ABS(E304)</x:f>
        <x:v>0.011980777322754587</x:v>
      </x:c>
      <x:c r="G304" s="30" t="n">
        <x:v>0.05701727096237239</x:v>
      </x:c>
      <x:c r="H304" s="30" t="n">
        <x:v>0.21012540797789328</x:v>
      </x:c>
      <x:c r="I304" s="30" t="n">
        <x:f>ABS(H304)</x:f>
        <x:v>0.21012540797789328</x:v>
      </x:c>
      <x:c r="J304" s="30" t="n">
        <x:v>0.58634742740703</x:v>
      </x:c>
      <x:c r="K304" s="30" t="n">
        <x:v>0.0050823766455215065</x:v>
      </x:c>
      <x:c r="L304" s="30" t="n">
        <x:v>0.10671192211240688</x:v>
      </x:c>
      <x:c r="M304" s="30" t="n">
        <x:v>0.5486500254712176</x:v>
      </x:c>
      <x:c r="N304" s="19" t="n">
        <x:v>1963</x:v>
      </x:c>
      <x:c r="O304" t="b">
        <x:f>P304="legacy_common_sample_8902245"</x:f>
        <x:v>1</x:v>
      </x:c>
      <x:c r="P304" t="str">
        <x:v>legacy_common_sample_8902245</x:v>
      </x:c>
      <x:c r="Q304" s="74" t="n">
        <x:v>46211.407905775464</x:v>
      </x:c>
      <x:c r="R304" s="19" t="n">
        <x:v>8902245</x:v>
      </x:c>
      <x:c r="S304" t="str">
        <x:v>8f7e606554926462248cbcc654181861438ca768a0063f6b317223ede37d16fb</x:v>
      </x:c>
      <x:c r="T304" t="str">
        <x:v>factor_report/gtja191_batch/gtja_123/ic_summary.csv</x:v>
      </x:c>
    </x:row>
    <x:row r="305">
      <x:c r="A305" s="50" t="n">
        <x:f>IF($P305="legacy_common_sample_8902245",1+COUNTIFS($C$5:$C$546,$C305,$P$5:$P$546,"legacy_common_sample_8902245",$I$5:$I$546,"&gt;"&amp;$I305),"")</x:f>
        <x:v>131</x:v>
      </x:c>
      <x:c r="B305" t="str">
        <x:v>gtja_025</x:v>
      </x:c>
      <x:c r="C305" s="50" t="n">
        <x:v>10</x:v>
      </x:c>
      <x:c r="D305" t="str">
        <x:f>IF(E305&gt;=0,"positive","negative")</x:f>
        <x:v>positive</x:v>
      </x:c>
      <x:c r="E305" s="30" t="n">
        <x:v>0.02562738492603111</x:v>
      </x:c>
      <x:c r="F305" s="30" t="n">
        <x:f>ABS(E305)</x:f>
        <x:v>0.02562738492603111</x:v>
      </x:c>
      <x:c r="G305" s="30" t="n">
        <x:v>0.12495399546577021</x:v>
      </x:c>
      <x:c r="H305" s="30" t="n">
        <x:v>0.20509456164650175</x:v>
      </x:c>
      <x:c r="I305" s="30" t="n">
        <x:f>ABS(H305)</x:f>
        <x:v>0.20509456164650175</x:v>
      </x:c>
      <x:c r="J305" s="30" t="n">
        <x:v>0.5636464702612562</x:v>
      </x:c>
      <x:c r="K305" s="30" t="n">
        <x:v>0.013593127812259896</x:v>
      </x:c>
      <x:c r="L305" s="30" t="n">
        <x:v>0.12360991749066766</x:v>
      </x:c>
      <x:c r="M305" s="30" t="n">
        <x:v>0.547526403557532</x:v>
      </x:c>
      <x:c r="N305" s="19" t="n">
        <x:v>1799</x:v>
      </x:c>
      <x:c r="O305" t="b">
        <x:f>P305="legacy_common_sample_8902245"</x:f>
        <x:v>1</x:v>
      </x:c>
      <x:c r="P305" t="str">
        <x:v>legacy_common_sample_8902245</x:v>
      </x:c>
      <x:c r="Q305" s="74" t="n">
        <x:v>46211.209765810185</x:v>
      </x:c>
      <x:c r="R305" s="19" t="n">
        <x:v>8902245</x:v>
      </x:c>
      <x:c r="S305" t="str">
        <x:v>8f7e606554926462248cbcc654181861438ca768a0063f6b317223ede37d16fb</x:v>
      </x:c>
      <x:c r="T305" t="str">
        <x:v>factor_report/gtja191_batch/gtja_025/ic_summary.csv</x:v>
      </x:c>
    </x:row>
    <x:row r="306">
      <x:c r="A306" s="50" t="n">
        <x:f>IF($P306="legacy_common_sample_8902245",1+COUNTIFS($C$5:$C$546,$C306,$P$5:$P$546,"legacy_common_sample_8902245",$I$5:$I$546,"&gt;"&amp;$I306),"")</x:f>
        <x:v>132</x:v>
      </x:c>
      <x:c r="B306" t="str">
        <x:v>gtja_155</x:v>
      </x:c>
      <x:c r="C306" s="50" t="n">
        <x:v>10</x:v>
      </x:c>
      <x:c r="D306" t="str">
        <x:f>IF(E306&gt;=0,"positive","negative")</x:f>
        <x:v>negative</x:v>
      </x:c>
      <x:c r="E306" s="30" t="n">
        <x:v>-0.015673193144436708</x:v>
      </x:c>
      <x:c r="F306" s="30" t="n">
        <x:f>ABS(E306)</x:f>
        <x:v>0.015673193144436708</x:v>
      </x:c>
      <x:c r="G306" s="30" t="n">
        <x:v>0.07706790339787711</x:v>
      </x:c>
      <x:c r="H306" s="30" t="n">
        <x:v>-0.2033686197939107</x:v>
      </x:c>
      <x:c r="I306" s="30" t="n">
        <x:f>ABS(H306)</x:f>
        <x:v>0.2033686197939107</x:v>
      </x:c>
      <x:c r="J306" s="30" t="n">
        <x:v>0.42089402310396784</x:v>
      </x:c>
      <x:c r="K306" s="30" t="n">
        <x:v>-0.012521485418973948</x:v>
      </x:c>
      <x:c r="L306" s="30" t="n">
        <x:v>-0.2414617835878899</x:v>
      </x:c>
      <x:c r="M306" s="30" t="n">
        <x:v>0.401305876443998</x:v>
      </x:c>
      <x:c r="N306" s="19" t="n">
        <x:v>1991</x:v>
      </x:c>
      <x:c r="O306" t="b">
        <x:f>P306="legacy_common_sample_8902245"</x:f>
        <x:v>1</x:v>
      </x:c>
      <x:c r="P306" t="str">
        <x:v>legacy_common_sample_8902245</x:v>
      </x:c>
      <x:c r="Q306" s="74" t="n">
        <x:v>46211.49922533565</x:v>
      </x:c>
      <x:c r="R306" s="19" t="n">
        <x:v>8902245</x:v>
      </x:c>
      <x:c r="S306" t="str">
        <x:v>8f7e606554926462248cbcc654181861438ca768a0063f6b317223ede37d16fb</x:v>
      </x:c>
      <x:c r="T306" t="str">
        <x:v>factor_report/gtja191_batch/gtja_155/ic_summary.csv</x:v>
      </x:c>
    </x:row>
    <x:row r="307">
      <x:c r="A307" s="50" t="n">
        <x:f>IF($P307="legacy_common_sample_8902245",1+COUNTIFS($C$5:$C$546,$C307,$P$5:$P$546,"legacy_common_sample_8902245",$I$5:$I$546,"&gt;"&amp;$I307),"")</x:f>
        <x:v>133</x:v>
      </x:c>
      <x:c r="B307" t="str">
        <x:v>gtja_065</x:v>
      </x:c>
      <x:c r="C307" s="50" t="n">
        <x:v>10</x:v>
      </x:c>
      <x:c r="D307" t="str">
        <x:f>IF(E307&gt;=0,"positive","negative")</x:f>
        <x:v>positive</x:v>
      </x:c>
      <x:c r="E307" s="30" t="n">
        <x:v>0.025976389900272553</x:v>
      </x:c>
      <x:c r="F307" s="30" t="n">
        <x:f>ABS(E307)</x:f>
        <x:v>0.025976389900272553</x:v>
      </x:c>
      <x:c r="G307" s="30" t="n">
        <x:v>0.12824361310834087</x:v>
      </x:c>
      <x:c r="H307" s="30" t="n">
        <x:v>0.2025550377961323</x:v>
      </x:c>
      <x:c r="I307" s="30" t="n">
        <x:f>ABS(H307)</x:f>
        <x:v>0.2025550377961323</x:v>
      </x:c>
      <x:c r="J307" s="30" t="n">
        <x:v>0.5735811150175791</x:v>
      </x:c>
      <x:c r="K307" s="30" t="n">
        <x:v>0.026098821070297987</x:v>
      </x:c>
      <x:c r="L307" s="30" t="n">
        <x:v>0.24603441552178293</x:v>
      </x:c>
      <x:c r="M307" s="30" t="n">
        <x:v>0.5936715218483174</x:v>
      </x:c>
      <x:c r="N307" s="19" t="n">
        <x:v>1991</x:v>
      </x:c>
      <x:c r="O307" t="b">
        <x:f>P307="legacy_common_sample_8902245"</x:f>
        <x:v>1</x:v>
      </x:c>
      <x:c r="P307" t="str">
        <x:v>legacy_common_sample_8902245</x:v>
      </x:c>
      <x:c r="Q307" s="74" t="n">
        <x:v>46211.29584099537</x:v>
      </x:c>
      <x:c r="R307" s="19" t="n">
        <x:v>8902245</x:v>
      </x:c>
      <x:c r="S307" t="str">
        <x:v>8f7e606554926462248cbcc654181861438ca768a0063f6b317223ede37d16fb</x:v>
      </x:c>
      <x:c r="T307" t="str">
        <x:v>factor_report/gtja191_batch/gtja_065/ic_summary.csv</x:v>
      </x:c>
    </x:row>
    <x:row r="308">
      <x:c r="A308" s="50" t="n">
        <x:f>IF($P308="legacy_common_sample_8902245",1+COUNTIFS($C$5:$C$546,$C308,$P$5:$P$546,"legacy_common_sample_8902245",$I$5:$I$546,"&gt;"&amp;$I308),"")</x:f>
        <x:v>134</x:v>
      </x:c>
      <x:c r="B308" t="str">
        <x:v>gtja_066</x:v>
      </x:c>
      <x:c r="C308" s="50" t="n">
        <x:v>10</x:v>
      </x:c>
      <x:c r="D308" t="str">
        <x:f>IF(E308&gt;=0,"positive","negative")</x:f>
        <x:v>negative</x:v>
      </x:c>
      <x:c r="E308" s="30" t="n">
        <x:v>-0.025976368214410687</x:v>
      </x:c>
      <x:c r="F308" s="30" t="n">
        <x:f>ABS(E308)</x:f>
        <x:v>0.025976368214410687</x:v>
      </x:c>
      <x:c r="G308" s="30" t="n">
        <x:v>0.1282435887952384</x:v>
      </x:c>
      <x:c r="H308" s="30" t="n">
        <x:v>-0.20255490709860088</x:v>
      </x:c>
      <x:c r="I308" s="30" t="n">
        <x:f>ABS(H308)</x:f>
        <x:v>0.20255490709860088</x:v>
      </x:c>
      <x:c r="J308" s="30" t="n">
        <x:v>0.4264188849824209</x:v>
      </x:c>
      <x:c r="K308" s="30" t="n">
        <x:v>-0.029477626836718486</x:v>
      </x:c>
      <x:c r="L308" s="30" t="n">
        <x:v>-0.27840588627751306</x:v>
      </x:c>
      <x:c r="M308" s="30" t="n">
        <x:v>0.39326971371170266</x:v>
      </x:c>
      <x:c r="N308" s="19" t="n">
        <x:v>1991</x:v>
      </x:c>
      <x:c r="O308" t="b">
        <x:f>P308="legacy_common_sample_8902245"</x:f>
        <x:v>1</x:v>
      </x:c>
      <x:c r="P308" t="str">
        <x:v>legacy_common_sample_8902245</x:v>
      </x:c>
      <x:c r="Q308" s="74" t="n">
        <x:v>46210.39822400463</x:v>
      </x:c>
      <x:c r="R308" s="19" t="n">
        <x:v>8902245</x:v>
      </x:c>
      <x:c r="S308" t="str">
        <x:v>40355b29bce094aef0e99358bdfd4011b92e72a54440a67760de4afae4883c33</x:v>
      </x:c>
      <x:c r="T308" t="str">
        <x:v>factor_report/gtja191_batch/gtja_066/ic_summary.csv</x:v>
      </x:c>
    </x:row>
    <x:row r="309">
      <x:c r="A309" s="50" t="n">
        <x:f>IF($P309="legacy_common_sample_8902245",1+COUNTIFS($C$5:$C$546,$C309,$P$5:$P$546,"legacy_common_sample_8902245",$I$5:$I$546,"&gt;"&amp;$I309),"")</x:f>
        <x:v>135</x:v>
      </x:c>
      <x:c r="B309" t="str">
        <x:v>gtja_143</x:v>
      </x:c>
      <x:c r="C309" s="50" t="n">
        <x:v>10</x:v>
      </x:c>
      <x:c r="D309" t="str">
        <x:f>IF(E309&gt;=0,"positive","negative")</x:f>
        <x:v>negative</x:v>
      </x:c>
      <x:c r="E309" s="30" t="n">
        <x:v>-0.021687967404591352</x:v>
      </x:c>
      <x:c r="F309" s="30" t="n">
        <x:f>ABS(E309)</x:f>
        <x:v>0.021687967404591352</x:v>
      </x:c>
      <x:c r="G309" s="30" t="n">
        <x:v>0.10822040271604337</x:v>
      </x:c>
      <x:c r="H309" s="30" t="n">
        <x:v>-0.2004055322312728</x:v>
      </x:c>
      <x:c r="I309" s="30" t="n">
        <x:f>ABS(H309)</x:f>
        <x:v>0.2004055322312728</x:v>
      </x:c>
      <x:c r="J309" s="30" t="n">
        <x:v>0.40331491712707185</x:v>
      </x:c>
      <x:c r="K309" s="30" t="n">
        <x:v>-0.007335626701965107</x:v>
      </x:c>
      <x:c r="L309" s="30" t="n">
        <x:v>-0.11765987880120535</x:v>
      </x:c>
      <x:c r="M309" s="30" t="n">
        <x:v>0.43797086891009546</x:v>
      </x:c>
      <x:c r="N309" s="19" t="n">
        <x:v>1991</x:v>
      </x:c>
      <x:c r="O309" t="b">
        <x:f>P309="legacy_common_sample_8902245"</x:f>
        <x:v>1</x:v>
      </x:c>
      <x:c r="P309" t="str">
        <x:v>legacy_common_sample_8902245</x:v>
      </x:c>
      <x:c r="Q309" s="74" t="n">
        <x:v>46210.787863425925</x:v>
      </x:c>
      <x:c r="R309" s="19" t="n">
        <x:v>8902245</x:v>
      </x:c>
      <x:c r="S309" t="str">
        <x:v>40355b29bce094aef0e99358bdfd4011b92e72a54440a67760de4afae4883c33</x:v>
      </x:c>
      <x:c r="T309" t="str">
        <x:v>factor_report/gtja191_batch/gtja_143/ic_summary.csv</x:v>
      </x:c>
    </x:row>
    <x:row r="310">
      <x:c r="A310" s="50" t="n">
        <x:f>IF($P310="legacy_common_sample_8902245",1+COUNTIFS($C$5:$C$546,$C310,$P$5:$P$546,"legacy_common_sample_8902245",$I$5:$I$546,"&gt;"&amp;$I310),"")</x:f>
        <x:v>136</x:v>
      </x:c>
      <x:c r="B310" t="str">
        <x:v>gtja_093</x:v>
      </x:c>
      <x:c r="C310" s="50" t="n">
        <x:v>10</x:v>
      </x:c>
      <x:c r="D310" t="str">
        <x:f>IF(E310&gt;=0,"positive","negative")</x:f>
        <x:v>negative</x:v>
      </x:c>
      <x:c r="E310" s="30" t="n">
        <x:v>-0.0374173145148579</x:v>
      </x:c>
      <x:c r="F310" s="30" t="n">
        <x:f>ABS(E310)</x:f>
        <x:v>0.0374173145148579</x:v>
      </x:c>
      <x:c r="G310" s="30" t="n">
        <x:v>0.18734897299048334</x:v>
      </x:c>
      <x:c r="H310" s="30" t="n">
        <x:v>-0.1997198805928793</x:v>
      </x:c>
      <x:c r="I310" s="30" t="n">
        <x:f>ABS(H310)</x:f>
        <x:v>0.1997198805928793</x:v>
      </x:c>
      <x:c r="J310" s="30" t="n">
        <x:v>0.4485183324962331</x:v>
      </x:c>
      <x:c r="K310" s="30" t="n">
        <x:v>-0.006234335879398479</x:v>
      </x:c>
      <x:c r="L310" s="30" t="n">
        <x:v>-0.05724895012179812</x:v>
      </x:c>
      <x:c r="M310" s="30" t="n">
        <x:v>0.4861878453038674</x:v>
      </x:c>
      <x:c r="N310" s="19" t="n">
        <x:v>1991</x:v>
      </x:c>
      <x:c r="O310" t="b">
        <x:f>P310="legacy_common_sample_8902245"</x:f>
        <x:v>1</x:v>
      </x:c>
      <x:c r="P310" t="str">
        <x:v>legacy_common_sample_8902245</x:v>
      </x:c>
      <x:c r="Q310" s="74" t="n">
        <x:v>46210.543900254626</x:v>
      </x:c>
      <x:c r="R310" s="19" t="n">
        <x:v>8902245</x:v>
      </x:c>
      <x:c r="S310" t="str">
        <x:v>40355b29bce094aef0e99358bdfd4011b92e72a54440a67760de4afae4883c33</x:v>
      </x:c>
      <x:c r="T310" t="str">
        <x:v>factor_report/gtja191_batch/gtja_093/ic_summary.csv</x:v>
      </x:c>
    </x:row>
    <x:row r="311">
      <x:c r="A311" s="50" t="n">
        <x:f>IF($P311="legacy_common_sample_8902245",1+COUNTIFS($C$5:$C$546,$C311,$P$5:$P$546,"legacy_common_sample_8902245",$I$5:$I$546,"&gt;"&amp;$I311),"")</x:f>
        <x:v>137</x:v>
      </x:c>
      <x:c r="B311" t="str">
        <x:v>gtja_044</x:v>
      </x:c>
      <x:c r="C311" s="50" t="n">
        <x:v>10</x:v>
      </x:c>
      <x:c r="D311" t="str">
        <x:f>IF(E311&gt;=0,"positive","negative")</x:f>
        <x:v>negative</x:v>
      </x:c>
      <x:c r="E311" s="30" t="n">
        <x:v>-0.015621451984378426</x:v>
      </x:c>
      <x:c r="F311" s="30" t="n">
        <x:f>ABS(E311)</x:f>
        <x:v>0.015621451984378426</x:v>
      </x:c>
      <x:c r="G311" s="30" t="n">
        <x:v>0.0787371537606166</x:v>
      </x:c>
      <x:c r="H311" s="30" t="n">
        <x:v>-0.19840000861438417</x:v>
      </x:c>
      <x:c r="I311" s="30" t="n">
        <x:f>ABS(H311)</x:f>
        <x:v>0.19840000861438417</x:v>
      </x:c>
      <x:c r="J311" s="30" t="n">
        <x:v>0.42340532395781016</x:v>
      </x:c>
      <x:c r="K311" s="30" t="n">
        <x:v>-0.010949035796900458</x:v>
      </x:c>
      <x:c r="L311" s="30" t="n">
        <x:v>-0.16571051535127693</x:v>
      </x:c>
      <x:c r="M311" s="30" t="n">
        <x:v>0.4324460070316424</x:v>
      </x:c>
      <x:c r="N311" s="19" t="n">
        <x:v>1991</x:v>
      </x:c>
      <x:c r="O311" t="b">
        <x:f>P311="legacy_common_sample_8902245"</x:f>
        <x:v>1</x:v>
      </x:c>
      <x:c r="P311" t="str">
        <x:v>legacy_common_sample_8902245</x:v>
      </x:c>
      <x:c r="Q311" s="74" t="n">
        <x:v>46211.262911157406</x:v>
      </x:c>
      <x:c r="R311" s="19" t="n">
        <x:v>8902245</x:v>
      </x:c>
      <x:c r="S311" t="str">
        <x:v>8f7e606554926462248cbcc654181861438ca768a0063f6b317223ede37d16fb</x:v>
      </x:c>
      <x:c r="T311" t="str">
        <x:v>factor_report/gtja191_batch/gtja_044/ic_summary.csv</x:v>
      </x:c>
    </x:row>
    <x:row r="312">
      <x:c r="A312" s="50" t="n">
        <x:f>IF($P312="legacy_common_sample_8902245",1+COUNTIFS($C$5:$C$546,$C312,$P$5:$P$546,"legacy_common_sample_8902245",$I$5:$I$546,"&gt;"&amp;$I312),"")</x:f>
        <x:v>138</x:v>
      </x:c>
      <x:c r="B312" t="str">
        <x:v>gtja_006</x:v>
      </x:c>
      <x:c r="C312" s="50" t="n">
        <x:v>10</x:v>
      </x:c>
      <x:c r="D312" t="str">
        <x:f>IF(E312&gt;=0,"positive","negative")</x:f>
        <x:v>positive</x:v>
      </x:c>
      <x:c r="E312" s="30" t="n">
        <x:v>0.018833424828975622</x:v>
      </x:c>
      <x:c r="F312" s="30" t="n">
        <x:f>ABS(E312)</x:f>
        <x:v>0.018833424828975622</x:v>
      </x:c>
      <x:c r="G312" s="30" t="n">
        <x:v>0.09707905734149924</x:v>
      </x:c>
      <x:c r="H312" s="30" t="n">
        <x:v>0.19400090343609808</x:v>
      </x:c>
      <x:c r="I312" s="30" t="n">
        <x:f>ABS(H312)</x:f>
        <x:v>0.19400090343609808</x:v>
      </x:c>
      <x:c r="J312" s="30" t="n">
        <x:v>0.5650426921145153</x:v>
      </x:c>
      <x:c r="K312" s="30" t="n">
        <x:v>0.010112494988395988</x:v>
      </x:c>
      <x:c r="L312" s="30" t="n">
        <x:v>0.1231918244936203</x:v>
      </x:c>
      <x:c r="M312" s="30" t="n">
        <x:v>0.5409342039176294</x:v>
      </x:c>
      <x:c r="N312" s="19" t="n">
        <x:v>1991</x:v>
      </x:c>
      <x:c r="O312" t="b">
        <x:f>P312="legacy_common_sample_8902245"</x:f>
        <x:v>1</x:v>
      </x:c>
      <x:c r="P312" t="str">
        <x:v>legacy_common_sample_8902245</x:v>
      </x:c>
      <x:c r="Q312" s="74" t="n">
        <x:v>46211.17062405092</x:v>
      </x:c>
      <x:c r="R312" s="19" t="n">
        <x:v>8902245</x:v>
      </x:c>
      <x:c r="S312" t="str">
        <x:v>8f7e606554926462248cbcc654181861438ca768a0063f6b317223ede37d16fb</x:v>
      </x:c>
      <x:c r="T312" t="str">
        <x:v>factor_report/gtja191_batch/gtja_006/ic_summary.csv</x:v>
      </x:c>
    </x:row>
    <x:row r="313">
      <x:c r="A313" s="50" t="n">
        <x:f>IF($P313="legacy_common_sample_8902245",1+COUNTIFS($C$5:$C$546,$C313,$P$5:$P$546,"legacy_common_sample_8902245",$I$5:$I$546,"&gt;"&amp;$I313),"")</x:f>
        <x:v>139</x:v>
      </x:c>
      <x:c r="B313" t="str">
        <x:v>gtja_183</x:v>
      </x:c>
      <x:c r="C313" s="50" t="n">
        <x:v>10</x:v>
      </x:c>
      <x:c r="D313" t="str">
        <x:f>IF(E313&gt;=0,"positive","negative")</x:f>
        <x:v>positive</x:v>
      </x:c>
      <x:c r="E313" s="30" t="n">
        <x:v>0.01674646395746224</x:v>
      </x:c>
      <x:c r="F313" s="30" t="n">
        <x:f>ABS(E313)</x:f>
        <x:v>0.01674646395746224</x:v>
      </x:c>
      <x:c r="G313" s="30" t="n">
        <x:v>0.08637433289463878</x:v>
      </x:c>
      <x:c r="H313" s="30" t="n">
        <x:v>0.1938824115479992</x:v>
      </x:c>
      <x:c r="I313" s="30" t="n">
        <x:f>ABS(H313)</x:f>
        <x:v>0.1938824115479992</x:v>
      </x:c>
      <x:c r="J313" s="30" t="n">
        <x:v>0.5994949494949495</x:v>
      </x:c>
      <x:c r="K313" s="30" t="n">
        <x:v>0.002409611103857615</x:v>
      </x:c>
      <x:c r="L313" s="30" t="n">
        <x:v>0.03522229341478491</x:v>
      </x:c>
      <x:c r="M313" s="30" t="n">
        <x:v>0.5227272727272727</x:v>
      </x:c>
      <x:c r="N313" s="19" t="n">
        <x:v>1980</x:v>
      </x:c>
      <x:c r="O313" t="b">
        <x:f>P313="legacy_common_sample_8902245"</x:f>
        <x:v>1</x:v>
      </x:c>
      <x:c r="P313" t="str">
        <x:v>legacy_common_sample_8902245</x:v>
      </x:c>
      <x:c r="Q313" s="74" t="n">
        <x:v>46211.5411328125</x:v>
      </x:c>
      <x:c r="R313" s="19" t="n">
        <x:v>8902245</x:v>
      </x:c>
      <x:c r="S313" t="str">
        <x:v>8f7e606554926462248cbcc654181861438ca768a0063f6b317223ede37d16fb</x:v>
      </x:c>
      <x:c r="T313" t="str">
        <x:v>factor_report/gtja191_batch/gtja_183/ic_summary.csv</x:v>
      </x:c>
    </x:row>
    <x:row r="314">
      <x:c r="A314" s="50" t="n">
        <x:f>IF($P314="legacy_common_sample_8902245",1+COUNTIFS($C$5:$C$546,$C314,$P$5:$P$546,"legacy_common_sample_8902245",$I$5:$I$546,"&gt;"&amp;$I314),"")</x:f>
        <x:v>140</x:v>
      </x:c>
      <x:c r="B314" t="str">
        <x:v>gtja_137</x:v>
      </x:c>
      <x:c r="C314" s="50" t="n">
        <x:v>10</x:v>
      </x:c>
      <x:c r="D314" t="str">
        <x:f>IF(E314&gt;=0,"positive","negative")</x:f>
        <x:v>negative</x:v>
      </x:c>
      <x:c r="E314" s="30" t="n">
        <x:v>-0.0224102167539663</x:v>
      </x:c>
      <x:c r="F314" s="30" t="n">
        <x:f>ABS(E314)</x:f>
        <x:v>0.0224102167539663</x:v>
      </x:c>
      <x:c r="G314" s="30" t="n">
        <x:v>0.12250447345976026</x:v>
      </x:c>
      <x:c r="H314" s="30" t="n">
        <x:v>-0.18293386454436303</x:v>
      </x:c>
      <x:c r="I314" s="30" t="n">
        <x:f>ABS(H314)</x:f>
        <x:v>0.18293386454436303</x:v>
      </x:c>
      <x:c r="J314" s="30" t="n">
        <x:v>0.4339527875439478</x:v>
      </x:c>
      <x:c r="K314" s="30" t="n">
        <x:v>-0.012399249644595468</x:v>
      </x:c>
      <x:c r="L314" s="30" t="n">
        <x:v>-0.1676587357264292</x:v>
      </x:c>
      <x:c r="M314" s="30" t="n">
        <x:v>0.44299347061778</x:v>
      </x:c>
      <x:c r="N314" s="19" t="n">
        <x:v>1991</x:v>
      </x:c>
      <x:c r="O314" t="b">
        <x:f>P314="legacy_common_sample_8902245"</x:f>
        <x:v>1</x:v>
      </x:c>
      <x:c r="P314" t="str">
        <x:v>legacy_common_sample_8902245</x:v>
      </x:c>
      <x:c r="Q314" s="74" t="n">
        <x:v>46210.75457434028</x:v>
      </x:c>
      <x:c r="R314" s="19" t="n">
        <x:v>8902245</x:v>
      </x:c>
      <x:c r="S314" t="str">
        <x:v>40355b29bce094aef0e99358bdfd4011b92e72a54440a67760de4afae4883c33</x:v>
      </x:c>
      <x:c r="T314" t="str">
        <x:v>factor_report/gtja191_batch/gtja_137/ic_summary.csv</x:v>
      </x:c>
    </x:row>
    <x:row r="315">
      <x:c r="A315" s="50" t="n">
        <x:f>IF($P315="legacy_common_sample_8902245",1+COUNTIFS($C$5:$C$546,$C315,$P$5:$P$546,"legacy_common_sample_8902245",$I$5:$I$546,"&gt;"&amp;$I315),"")</x:f>
        <x:v>141</x:v>
      </x:c>
      <x:c r="B315" t="str">
        <x:v>gtja_188</x:v>
      </x:c>
      <x:c r="C315" s="50" t="n">
        <x:v>10</x:v>
      </x:c>
      <x:c r="D315" t="str">
        <x:f>IF(E315&gt;=0,"positive","negative")</x:f>
        <x:v>negative</x:v>
      </x:c>
      <x:c r="E315" s="30" t="n">
        <x:v>-0.013187674989053533</x:v>
      </x:c>
      <x:c r="F315" s="30" t="n">
        <x:f>ABS(E315)</x:f>
        <x:v>0.013187674989053533</x:v>
      </x:c>
      <x:c r="G315" s="30" t="n">
        <x:v>0.07461248874333953</x:v>
      </x:c>
      <x:c r="H315" s="30" t="n">
        <x:v>-0.17674889567640598</x:v>
      </x:c>
      <x:c r="I315" s="30" t="n">
        <x:f>ABS(H315)</x:f>
        <x:v>0.17674889567640598</x:v>
      </x:c>
      <x:c r="J315" s="30" t="n">
        <x:v>0.43043696634856854</x:v>
      </x:c>
      <x:c r="K315" s="30" t="n">
        <x:v>-0.015406081629872259</x:v>
      </x:c>
      <x:c r="L315" s="30" t="n">
        <x:v>-0.25321525297762476</x:v>
      </x:c>
      <x:c r="M315" s="30" t="n">
        <x:v>0.38623807132094423</x:v>
      </x:c>
      <x:c r="N315" s="19" t="n">
        <x:v>1991</x:v>
      </x:c>
      <x:c r="O315" t="b">
        <x:f>P315="legacy_common_sample_8902245"</x:f>
        <x:v>1</x:v>
      </x:c>
      <x:c r="P315" t="str">
        <x:v>legacy_common_sample_8902245</x:v>
      </x:c>
      <x:c r="Q315" s="74" t="n">
        <x:v>46211.55150134259</x:v>
      </x:c>
      <x:c r="R315" s="19" t="n">
        <x:v>8902245</x:v>
      </x:c>
      <x:c r="S315" t="str">
        <x:v>8f7e606554926462248cbcc654181861438ca768a0063f6b317223ede37d16fb</x:v>
      </x:c>
      <x:c r="T315" t="str">
        <x:v>factor_report/gtja191_batch/gtja_188/ic_summary.csv</x:v>
      </x:c>
    </x:row>
    <x:row r="316">
      <x:c r="A316" s="50" t="n">
        <x:f>IF($P316="legacy_common_sample_8902245",1+COUNTIFS($C$5:$C$546,$C316,$P$5:$P$546,"legacy_common_sample_8902245",$I$5:$I$546,"&gt;"&amp;$I316),"")</x:f>
        <x:v>142</x:v>
      </x:c>
      <x:c r="B316" t="str">
        <x:v>gtja_045</x:v>
      </x:c>
      <x:c r="C316" s="50" t="n">
        <x:v>10</x:v>
      </x:c>
      <x:c r="D316" t="str">
        <x:f>IF(E316&gt;=0,"positive","negative")</x:f>
        <x:v>negative</x:v>
      </x:c>
      <x:c r="E316" s="30" t="n">
        <x:v>-0.015929620972991176</x:v>
      </x:c>
      <x:c r="F316" s="30" t="n">
        <x:f>ABS(E316)</x:f>
        <x:v>0.015929620972991176</x:v>
      </x:c>
      <x:c r="G316" s="30" t="n">
        <x:v>0.09703041636299428</x:v>
      </x:c>
      <x:c r="H316" s="30" t="n">
        <x:v>-0.16417141727391843</x:v>
      </x:c>
      <x:c r="I316" s="30" t="n">
        <x:f>ABS(H316)</x:f>
        <x:v>0.16417141727391843</x:v>
      </x:c>
      <x:c r="J316" s="30" t="n">
        <x:v>0.4369034994697773</x:v>
      </x:c>
      <x:c r="K316" s="30" t="n">
        <x:v>-0.019829653872596262</x:v>
      </x:c>
      <x:c r="L316" s="30" t="n">
        <x:v>-0.24019587181038715</x:v>
      </x:c>
      <x:c r="M316" s="30" t="n">
        <x:v>0.4093319194061506</x:v>
      </x:c>
      <x:c r="N316" s="19" t="n">
        <x:v>1886</x:v>
      </x:c>
      <x:c r="O316" t="b">
        <x:f>P316="legacy_common_sample_8902245"</x:f>
        <x:v>1</x:v>
      </x:c>
      <x:c r="P316" t="str">
        <x:v>legacy_common_sample_8902245</x:v>
      </x:c>
      <x:c r="Q316" s="74" t="n">
        <x:v>46211.26636591435</x:v>
      </x:c>
      <x:c r="R316" s="19" t="n">
        <x:v>8902245</x:v>
      </x:c>
      <x:c r="S316" t="str">
        <x:v>8f7e606554926462248cbcc654181861438ca768a0063f6b317223ede37d16fb</x:v>
      </x:c>
      <x:c r="T316" t="str">
        <x:v>factor_report/gtja191_batch/gtja_045/ic_summary.csv</x:v>
      </x:c>
    </x:row>
    <x:row r="317">
      <x:c r="A317" s="50" t="n">
        <x:f>IF($P317="legacy_common_sample_8902245",1+COUNTIFS($C$5:$C$546,$C317,$P$5:$P$546,"legacy_common_sample_8902245",$I$5:$I$546,"&gt;"&amp;$I317),"")</x:f>
        <x:v>143</x:v>
      </x:c>
      <x:c r="B317" t="str">
        <x:v>gtja_072</x:v>
      </x:c>
      <x:c r="C317" s="50" t="n">
        <x:v>10</x:v>
      </x:c>
      <x:c r="D317" t="str">
        <x:f>IF(E317&gt;=0,"positive","negative")</x:f>
        <x:v>positive</x:v>
      </x:c>
      <x:c r="E317" s="30" t="n">
        <x:v>0.020469736367572655</x:v>
      </x:c>
      <x:c r="F317" s="30" t="n">
        <x:f>ABS(E317)</x:f>
        <x:v>0.020469736367572655</x:v>
      </x:c>
      <x:c r="G317" s="30" t="n">
        <x:v>0.13068413116098807</x:v>
      </x:c>
      <x:c r="H317" s="30" t="n">
        <x:v>0.1566352103022842</x:v>
      </x:c>
      <x:c r="I317" s="30" t="n">
        <x:f>ABS(H317)</x:f>
        <x:v>0.1566352103022842</x:v>
      </x:c>
      <x:c r="J317" s="30" t="n">
        <x:v>0.5308890005022602</x:v>
      </x:c>
      <x:c r="K317" s="30" t="n">
        <x:v>0.009118173136864938</x:v>
      </x:c>
      <x:c r="L317" s="30" t="n">
        <x:v>0.08057558358487923</x:v>
      </x:c>
      <x:c r="M317" s="30" t="n">
        <x:v>0.5027624309392266</x:v>
      </x:c>
      <x:c r="N317" s="19" t="n">
        <x:v>1991</x:v>
      </x:c>
      <x:c r="O317" t="b">
        <x:f>P317="legacy_common_sample_8902245"</x:f>
        <x:v>1</x:v>
      </x:c>
      <x:c r="P317" t="str">
        <x:v>legacy_common_sample_8902245</x:v>
      </x:c>
      <x:c r="Q317" s="74" t="n">
        <x:v>46211.29907770833</x:v>
      </x:c>
      <x:c r="R317" s="19" t="n">
        <x:v>8902245</x:v>
      </x:c>
      <x:c r="S317" t="str">
        <x:v>8f7e606554926462248cbcc654181861438ca768a0063f6b317223ede37d16fb</x:v>
      </x:c>
      <x:c r="T317" t="str">
        <x:v>factor_report/gtja191_batch/gtja_072/ic_summary.csv</x:v>
      </x:c>
    </x:row>
    <x:row r="318">
      <x:c r="A318" s="50" t="n">
        <x:f>IF($P318="legacy_common_sample_8902245",1+COUNTIFS($C$5:$C$546,$C318,$P$5:$P$546,"legacy_common_sample_8902245",$I$5:$I$546,"&gt;"&amp;$I318),"")</x:f>
        <x:v>144</x:v>
      </x:c>
      <x:c r="B318" t="str">
        <x:v>gtja_096</x:v>
      </x:c>
      <x:c r="C318" s="50" t="n">
        <x:v>10</x:v>
      </x:c>
      <x:c r="D318" t="str">
        <x:f>IF(E318&gt;=0,"positive","negative")</x:f>
        <x:v>negative</x:v>
      </x:c>
      <x:c r="E318" s="30" t="n">
        <x:v>-0.019271218597420786</x:v>
      </x:c>
      <x:c r="F318" s="30" t="n">
        <x:f>ABS(E318)</x:f>
        <x:v>0.019271218597420786</x:v>
      </x:c>
      <x:c r="G318" s="30" t="n">
        <x:v>0.12348850301471394</x:v>
      </x:c>
      <x:c r="H318" s="30" t="n">
        <x:v>-0.1560567836434504</x:v>
      </x:c>
      <x:c r="I318" s="30" t="n">
        <x:f>ABS(H318)</x:f>
        <x:v>0.1560567836434504</x:v>
      </x:c>
      <x:c r="J318" s="30" t="n">
        <x:v>0.44701155198392767</x:v>
      </x:c>
      <x:c r="K318" s="30" t="n">
        <x:v>-0.008787530753116446</x:v>
      </x:c>
      <x:c r="L318" s="30" t="n">
        <x:v>-0.08319278621972914</x:v>
      </x:c>
      <x:c r="M318" s="30" t="n">
        <x:v>0.4871923656454043</x:v>
      </x:c>
      <x:c r="N318" s="19" t="n">
        <x:v>1991</x:v>
      </x:c>
      <x:c r="O318" t="b">
        <x:f>P318="legacy_common_sample_8902245"</x:f>
        <x:v>1</x:v>
      </x:c>
      <x:c r="P318" t="str">
        <x:v>legacy_common_sample_8902245</x:v>
      </x:c>
      <x:c r="Q318" s="74" t="n">
        <x:v>46211.3433033912</x:v>
      </x:c>
      <x:c r="R318" s="19" t="n">
        <x:v>8902245</x:v>
      </x:c>
      <x:c r="S318" t="str">
        <x:v>8f7e606554926462248cbcc654181861438ca768a0063f6b317223ede37d16fb</x:v>
      </x:c>
      <x:c r="T318" t="str">
        <x:v>factor_report/gtja191_batch/gtja_096/ic_summary.csv</x:v>
      </x:c>
    </x:row>
    <x:row r="319">
      <x:c r="A319" s="50" t="n">
        <x:f>IF($P319="legacy_common_sample_8902245",1+COUNTIFS($C$5:$C$546,$C319,$P$5:$P$546,"legacy_common_sample_8902245",$I$5:$I$546,"&gt;"&amp;$I319),"")</x:f>
        <x:v>145</x:v>
      </x:c>
      <x:c r="B319" t="str">
        <x:v>gtja_047</x:v>
      </x:c>
      <x:c r="C319" s="50" t="n">
        <x:v>10</x:v>
      </x:c>
      <x:c r="D319" t="str">
        <x:f>IF(E319&gt;=0,"positive","negative")</x:f>
        <x:v>positive</x:v>
      </x:c>
      <x:c r="E319" s="30" t="n">
        <x:v>0.01954156887494311</x:v>
      </x:c>
      <x:c r="F319" s="30" t="n">
        <x:f>ABS(E319)</x:f>
        <x:v>0.01954156887494311</x:v>
      </x:c>
      <x:c r="G319" s="30" t="n">
        <x:v>0.12771917807536412</x:v>
      </x:c>
      <x:c r="H319" s="30" t="n">
        <x:v>0.1530041859759862</x:v>
      </x:c>
      <x:c r="I319" s="30" t="n">
        <x:f>ABS(H319)</x:f>
        <x:v>0.1530041859759862</x:v>
      </x:c>
      <x:c r="J319" s="30" t="n">
        <x:v>0.532898041185334</x:v>
      </x:c>
      <x:c r="K319" s="30" t="n">
        <x:v>0.009425735143902462</x:v>
      </x:c>
      <x:c r="L319" s="30" t="n">
        <x:v>0.08571432013152248</x:v>
      </x:c>
      <x:c r="M319" s="30" t="n">
        <x:v>0.508789552988448</x:v>
      </x:c>
      <x:c r="N319" s="19" t="n">
        <x:v>1991</x:v>
      </x:c>
      <x:c r="O319" t="b">
        <x:f>P319="legacy_common_sample_8902245"</x:f>
        <x:v>1</x:v>
      </x:c>
      <x:c r="P319" t="str">
        <x:v>legacy_common_sample_8902245</x:v>
      </x:c>
      <x:c r="Q319" s="74" t="n">
        <x:v>46211.27178611111</x:v>
      </x:c>
      <x:c r="R319" s="19" t="n">
        <x:v>8902245</x:v>
      </x:c>
      <x:c r="S319" t="str">
        <x:v>8f7e606554926462248cbcc654181861438ca768a0063f6b317223ede37d16fb</x:v>
      </x:c>
      <x:c r="T319" t="str">
        <x:v>factor_report/gtja191_batch/gtja_047/ic_summary.csv</x:v>
      </x:c>
    </x:row>
    <x:row r="320">
      <x:c r="A320" s="50" t="n">
        <x:f>IF($P320="legacy_common_sample_8902245",1+COUNTIFS($C$5:$C$546,$C320,$P$5:$P$546,"legacy_common_sample_8902245",$I$5:$I$546,"&gt;"&amp;$I320),"")</x:f>
        <x:v>146</x:v>
      </x:c>
      <x:c r="B320" t="str">
        <x:v>gtja_082</x:v>
      </x:c>
      <x:c r="C320" s="50" t="n">
        <x:v>10</x:v>
      </x:c>
      <x:c r="D320" t="str">
        <x:f>IF(E320&gt;=0,"positive","negative")</x:f>
        <x:v>positive</x:v>
      </x:c>
      <x:c r="E320" s="30" t="n">
        <x:v>0.019699206520663495</x:v>
      </x:c>
      <x:c r="F320" s="30" t="n">
        <x:f>ABS(E320)</x:f>
        <x:v>0.019699206520663495</x:v>
      </x:c>
      <x:c r="G320" s="30" t="n">
        <x:v>0.13194206204058712</x:v>
      </x:c>
      <x:c r="H320" s="30" t="n">
        <x:v>0.14930194523262613</x:v>
      </x:c>
      <x:c r="I320" s="30" t="n">
        <x:f>ABS(H320)</x:f>
        <x:v>0.14930194523262613</x:v>
      </x:c>
      <x:c r="J320" s="30" t="n">
        <x:v>0.5238573581115018</x:v>
      </x:c>
      <x:c r="K320" s="30" t="n">
        <x:v>0.008357386241550111</x:v>
      </x:c>
      <x:c r="L320" s="30" t="n">
        <x:v>0.07324062562642562</x:v>
      </x:c>
      <x:c r="M320" s="30" t="n">
        <x:v>0.4972375690607735</x:v>
      </x:c>
      <x:c r="N320" s="19" t="n">
        <x:v>1991</x:v>
      </x:c>
      <x:c r="O320" t="b">
        <x:f>P320="legacy_common_sample_8902245"</x:f>
        <x:v>1</x:v>
      </x:c>
      <x:c r="P320" t="str">
        <x:v>legacy_common_sample_8902245</x:v>
      </x:c>
      <x:c r="Q320" s="74" t="n">
        <x:v>46211.314943969905</x:v>
      </x:c>
      <x:c r="R320" s="19" t="n">
        <x:v>8902245</x:v>
      </x:c>
      <x:c r="S320" t="str">
        <x:v>8f7e606554926462248cbcc654181861438ca768a0063f6b317223ede37d16fb</x:v>
      </x:c>
      <x:c r="T320" t="str">
        <x:v>factor_report/gtja191_batch/gtja_082/ic_summary.csv</x:v>
      </x:c>
    </x:row>
    <x:row r="321">
      <x:c r="A321" s="50" t="n">
        <x:f>IF($P321="legacy_common_sample_8902245",1+COUNTIFS($C$5:$C$546,$C321,$P$5:$P$546,"legacy_common_sample_8902245",$I$5:$I$546,"&gt;"&amp;$I321),"")</x:f>
        <x:v>147</x:v>
      </x:c>
      <x:c r="B321" t="str">
        <x:v>gtja_057</x:v>
      </x:c>
      <x:c r="C321" s="50" t="n">
        <x:v>10</x:v>
      </x:c>
      <x:c r="D321" t="str">
        <x:f>IF(E321&gt;=0,"positive","negative")</x:f>
        <x:v>negative</x:v>
      </x:c>
      <x:c r="E321" s="30" t="n">
        <x:v>-0.018479898515854735</x:v>
      </x:c>
      <x:c r="F321" s="30" t="n">
        <x:f>ABS(E321)</x:f>
        <x:v>0.018479898515854735</x:v>
      </x:c>
      <x:c r="G321" s="30" t="n">
        <x:v>0.12573196055618183</x:v>
      </x:c>
      <x:c r="H321" s="30" t="n">
        <x:v>-0.1469785282445923</x:v>
      </x:c>
      <x:c r="I321" s="30" t="n">
        <x:f>ABS(H321)</x:f>
        <x:v>0.1469785282445923</x:v>
      </x:c>
      <x:c r="J321" s="30" t="n">
        <x:v>0.4480160723254646</x:v>
      </x:c>
      <x:c r="K321" s="30" t="n">
        <x:v>-0.009437973277801052</x:v>
      </x:c>
      <x:c r="L321" s="30" t="n">
        <x:v>-0.08838081527134682</x:v>
      </x:c>
      <x:c r="M321" s="30" t="n">
        <x:v>0.4816675037669513</x:v>
      </x:c>
      <x:c r="N321" s="19" t="n">
        <x:v>1991</x:v>
      </x:c>
      <x:c r="O321" t="b">
        <x:f>P321="legacy_common_sample_8902245"</x:f>
        <x:v>1</x:v>
      </x:c>
      <x:c r="P321" t="str">
        <x:v>legacy_common_sample_8902245</x:v>
      </x:c>
      <x:c r="Q321" s="74" t="n">
        <x:v>46211.28466986111</x:v>
      </x:c>
      <x:c r="R321" s="19" t="n">
        <x:v>8902245</x:v>
      </x:c>
      <x:c r="S321" t="str">
        <x:v>8f7e606554926462248cbcc654181861438ca768a0063f6b317223ede37d16fb</x:v>
      </x:c>
      <x:c r="T321" t="str">
        <x:v>factor_report/gtja191_batch/gtja_057/ic_summary.csv</x:v>
      </x:c>
    </x:row>
    <x:row r="322">
      <x:c r="A322" s="50" t="n">
        <x:f>IF($P322="legacy_common_sample_8902245",1+COUNTIFS($C$5:$C$546,$C322,$P$5:$P$546,"legacy_common_sample_8902245",$I$5:$I$546,"&gt;"&amp;$I322),"")</x:f>
        <x:v>148</x:v>
      </x:c>
      <x:c r="B322" t="str">
        <x:v>gtja_011</x:v>
      </x:c>
      <x:c r="C322" s="50" t="n">
        <x:v>10</x:v>
      </x:c>
      <x:c r="D322" t="str">
        <x:f>IF(E322&gt;=0,"positive","negative")</x:f>
        <x:v>negative</x:v>
      </x:c>
      <x:c r="E322" s="30" t="n">
        <x:v>-0.012854348658762733</x:v>
      </x:c>
      <x:c r="F322" s="30" t="n">
        <x:f>ABS(E322)</x:f>
        <x:v>0.012854348658762733</x:v>
      </x:c>
      <x:c r="G322" s="30" t="n">
        <x:v>0.09087879715790441</x:v>
      </x:c>
      <x:c r="H322" s="30" t="n">
        <x:v>-0.14144496913210625</x:v>
      </x:c>
      <x:c r="I322" s="30" t="n">
        <x:f>ABS(H322)</x:f>
        <x:v>0.14144496913210625</x:v>
      </x:c>
      <x:c r="J322" s="30" t="n">
        <x:v>0.4434957307885485</x:v>
      </x:c>
      <x:c r="K322" s="30" t="n">
        <x:v>-0.009310346728468574</x:v>
      </x:c>
      <x:c r="L322" s="30" t="n">
        <x:v>-0.1668660759356962</x:v>
      </x:c>
      <x:c r="M322" s="30" t="n">
        <x:v>0.43294826720241086</x:v>
      </x:c>
      <x:c r="N322" s="19" t="n">
        <x:v>1991</x:v>
      </x:c>
      <x:c r="O322" t="b">
        <x:f>P322="legacy_common_sample_8902245"</x:f>
        <x:v>1</x:v>
      </x:c>
      <x:c r="P322" t="str">
        <x:v>legacy_common_sample_8902245</x:v>
      </x:c>
      <x:c r="Q322" s="74" t="n">
        <x:v>46211.181871574074</x:v>
      </x:c>
      <x:c r="R322" s="19" t="n">
        <x:v>8902245</x:v>
      </x:c>
      <x:c r="S322" t="str">
        <x:v>8f7e606554926462248cbcc654181861438ca768a0063f6b317223ede37d16fb</x:v>
      </x:c>
      <x:c r="T322" t="str">
        <x:v>factor_report/gtja191_batch/gtja_011/ic_summary.csv</x:v>
      </x:c>
    </x:row>
    <x:row r="323">
      <x:c r="A323" s="50" t="n">
        <x:f>IF($P323="legacy_common_sample_8902245",1+COUNTIFS($C$5:$C$546,$C323,$P$5:$P$546,"legacy_common_sample_8902245",$I$5:$I$546,"&gt;"&amp;$I323),"")</x:f>
        <x:v>149</x:v>
      </x:c>
      <x:c r="B323" t="str">
        <x:v>gtja_131</x:v>
      </x:c>
      <x:c r="C323" s="50" t="n">
        <x:v>10</x:v>
      </x:c>
      <x:c r="D323" t="str">
        <x:f>IF(E323&gt;=0,"positive","negative")</x:f>
        <x:v>negative</x:v>
      </x:c>
      <x:c r="E323" s="30" t="n">
        <x:v>-0.013333120838158815</x:v>
      </x:c>
      <x:c r="F323" s="30" t="n">
        <x:f>ABS(E323)</x:f>
        <x:v>0.013333120838158815</x:v>
      </x:c>
      <x:c r="G323" s="30" t="n">
        <x:v>0.09633654628538404</x:v>
      </x:c>
      <x:c r="H323" s="30" t="n">
        <x:v>-0.13840148263838772</x:v>
      </x:c>
      <x:c r="I323" s="30" t="n">
        <x:f>ABS(H323)</x:f>
        <x:v>0.13840148263838772</x:v>
      </x:c>
      <x:c r="J323" s="30" t="n">
        <x:v>0.4557477110885046</x:v>
      </x:c>
      <x:c r="K323" s="30" t="n">
        <x:v>-0.000763684481806134</x:v>
      </x:c>
      <x:c r="L323" s="30" t="n">
        <x:v>-0.009588950540787329</x:v>
      </x:c>
      <x:c r="M323" s="30" t="n">
        <x:v>0.5050864699898271</x:v>
      </x:c>
      <x:c r="N323" s="19" t="n">
        <x:v>1966</x:v>
      </x:c>
      <x:c r="O323" t="b">
        <x:f>P323="legacy_common_sample_8902245"</x:f>
        <x:v>1</x:v>
      </x:c>
      <x:c r="P323" t="str">
        <x:v>legacy_common_sample_8902245</x:v>
      </x:c>
      <x:c r="Q323" s="74" t="n">
        <x:v>46211.42457349537</x:v>
      </x:c>
      <x:c r="R323" s="19" t="n">
        <x:v>8902245</x:v>
      </x:c>
      <x:c r="S323" t="str">
        <x:v>8f7e606554926462248cbcc654181861438ca768a0063f6b317223ede37d16fb</x:v>
      </x:c>
      <x:c r="T323" t="str">
        <x:v>factor_report/gtja191_batch/gtja_131/ic_summary.csv</x:v>
      </x:c>
    </x:row>
    <x:row r="324">
      <x:c r="A324" s="50" t="n">
        <x:f>IF($P324="legacy_common_sample_8902245",1+COUNTIFS($C$5:$C$546,$C324,$P$5:$P$546,"legacy_common_sample_8902245",$I$5:$I$546,"&gt;"&amp;$I324),"")</x:f>
        <x:v>150</x:v>
      </x:c>
      <x:c r="B324" t="str">
        <x:v>gtja_104</x:v>
      </x:c>
      <x:c r="C324" s="50" t="n">
        <x:v>10</x:v>
      </x:c>
      <x:c r="D324" t="str">
        <x:f>IF(E324&gt;=0,"positive","negative")</x:f>
        <x:v>positive</x:v>
      </x:c>
      <x:c r="E324" s="30" t="n">
        <x:v>0.007983525906834345</x:v>
      </x:c>
      <x:c r="F324" s="30" t="n">
        <x:f>ABS(E324)</x:f>
        <x:v>0.007983525906834345</x:v>
      </x:c>
      <x:c r="G324" s="30" t="n">
        <x:v>0.057706998425646236</x:v>
      </x:c>
      <x:c r="H324" s="30" t="n">
        <x:v>0.13834588740776188</x:v>
      </x:c>
      <x:c r="I324" s="30" t="n">
        <x:f>ABS(H324)</x:f>
        <x:v>0.13834588740776188</x:v>
      </x:c>
      <x:c r="J324" s="30" t="n">
        <x:v>0.5560020090406831</x:v>
      </x:c>
      <x:c r="K324" s="30" t="n">
        <x:v>0.0044983787062534315</x:v>
      </x:c>
      <x:c r="L324" s="30" t="n">
        <x:v>0.09880325160244813</x:v>
      </x:c>
      <x:c r="M324" s="30" t="n">
        <x:v>0.5308890005022602</x:v>
      </x:c>
      <x:c r="N324" s="19" t="n">
        <x:v>1991</x:v>
      </x:c>
      <x:c r="O324" t="b">
        <x:f>P324="legacy_common_sample_8902245"</x:f>
        <x:v>1</x:v>
      </x:c>
      <x:c r="P324" t="str">
        <x:v>legacy_common_sample_8902245</x:v>
      </x:c>
      <x:c r="Q324" s="74" t="n">
        <x:v>46211.35578873842</x:v>
      </x:c>
      <x:c r="R324" s="19" t="n">
        <x:v>8902245</x:v>
      </x:c>
      <x:c r="S324" t="str">
        <x:v>8f7e606554926462248cbcc654181861438ca768a0063f6b317223ede37d16fb</x:v>
      </x:c>
      <x:c r="T324" t="str">
        <x:v>factor_report/gtja191_batch/gtja_104/ic_summary.csv</x:v>
      </x:c>
    </x:row>
    <x:row r="325">
      <x:c r="A325" s="50" t="n">
        <x:f>IF($P325="legacy_common_sample_8902245",1+COUNTIFS($C$5:$C$546,$C325,$P$5:$P$546,"legacy_common_sample_8902245",$I$5:$I$546,"&gt;"&amp;$I325),"")</x:f>
        <x:v>151</x:v>
      </x:c>
      <x:c r="B325" t="str">
        <x:v>gtja_191</x:v>
      </x:c>
      <x:c r="C325" s="50" t="n">
        <x:v>10</x:v>
      </x:c>
      <x:c r="D325" t="str">
        <x:f>IF(E325&gt;=0,"positive","negative")</x:f>
        <x:v>negative</x:v>
      </x:c>
      <x:c r="E325" s="30" t="n">
        <x:v>-0.010643251959893268</x:v>
      </x:c>
      <x:c r="F325" s="30" t="n">
        <x:f>ABS(E325)</x:f>
        <x:v>0.010643251959893268</x:v>
      </x:c>
      <x:c r="G325" s="30" t="n">
        <x:v>0.07719404974748015</x:v>
      </x:c>
      <x:c r="H325" s="30" t="n">
        <x:v>-0.13787658497915115</x:v>
      </x:c>
      <x:c r="I325" s="30" t="n">
        <x:f>ABS(H325)</x:f>
        <x:v>0.13787658497915115</x:v>
      </x:c>
      <x:c r="J325" s="30" t="n">
        <x:v>0.4289301858362632</x:v>
      </x:c>
      <x:c r="K325" s="30" t="n">
        <x:v>-0.0038676921404643774</x:v>
      </x:c>
      <x:c r="L325" s="30" t="n">
        <x:v>-0.06101502533309568</x:v>
      </x:c>
      <x:c r="M325" s="30" t="n">
        <x:v>0.47463586137619285</x:v>
      </x:c>
      <x:c r="N325" s="19" t="n">
        <x:v>1991</x:v>
      </x:c>
      <x:c r="O325" t="b">
        <x:f>P325="legacy_common_sample_8902245"</x:f>
        <x:v>1</x:v>
      </x:c>
      <x:c r="P325" t="str">
        <x:v>legacy_common_sample_8902245</x:v>
      </x:c>
      <x:c r="Q325" s="74" t="n">
        <x:v>46211.55645755787</x:v>
      </x:c>
      <x:c r="R325" s="19" t="n">
        <x:v>8902245</x:v>
      </x:c>
      <x:c r="S325" t="str">
        <x:v>8f7e606554926462248cbcc654181861438ca768a0063f6b317223ede37d16fb</x:v>
      </x:c>
      <x:c r="T325" t="str">
        <x:v>factor_report/gtja191_batch/gtja_191/ic_summary.csv</x:v>
      </x:c>
    </x:row>
    <x:row r="326">
      <x:c r="A326" s="50" t="n">
        <x:f>IF($P326="legacy_common_sample_8902245",1+COUNTIFS($C$5:$C$546,$C326,$P$5:$P$546,"legacy_common_sample_8902245",$I$5:$I$546,"&gt;"&amp;$I326),"")</x:f>
        <x:v>152</x:v>
      </x:c>
      <x:c r="B326" t="str">
        <x:v>gtja_037</x:v>
      </x:c>
      <x:c r="C326" s="50" t="n">
        <x:v>10</x:v>
      </x:c>
      <x:c r="D326" t="str">
        <x:f>IF(E326&gt;=0,"positive","negative")</x:f>
        <x:v>positive</x:v>
      </x:c>
      <x:c r="E326" s="30" t="n">
        <x:v>0.014642357715960992</x:v>
      </x:c>
      <x:c r="F326" s="30" t="n">
        <x:f>ABS(E326)</x:f>
        <x:v>0.014642357715960992</x:v>
      </x:c>
      <x:c r="G326" s="30" t="n">
        <x:v>0.11433613339229906</x:v>
      </x:c>
      <x:c r="H326" s="30" t="n">
        <x:v>0.12806413232220784</x:v>
      </x:c>
      <x:c r="I326" s="30" t="n">
        <x:f>ABS(H326)</x:f>
        <x:v>0.12806413232220784</x:v>
      </x:c>
      <x:c r="J326" s="30" t="n">
        <x:v>0.5484681064791562</x:v>
      </x:c>
      <x:c r="K326" s="30" t="n">
        <x:v>0.009969615850861386</x:v>
      </x:c>
      <x:c r="L326" s="30" t="n">
        <x:v>0.10342301216731932</x:v>
      </x:c>
      <x:c r="M326" s="30" t="n">
        <x:v>0.5323957810145655</x:v>
      </x:c>
      <x:c r="N326" s="19" t="n">
        <x:v>1991</x:v>
      </x:c>
      <x:c r="O326" t="b">
        <x:f>P326="legacy_common_sample_8902245"</x:f>
        <x:v>1</x:v>
      </x:c>
      <x:c r="P326" t="str">
        <x:v>legacy_common_sample_8902245</x:v>
      </x:c>
      <x:c r="Q326" s="74" t="n">
        <x:v>46211.237209722225</x:v>
      </x:c>
      <x:c r="R326" s="19" t="n">
        <x:v>8902245</x:v>
      </x:c>
      <x:c r="S326" t="str">
        <x:v>8f7e606554926462248cbcc654181861438ca768a0063f6b317223ede37d16fb</x:v>
      </x:c>
      <x:c r="T326" t="str">
        <x:v>factor_report/gtja191_batch/gtja_037/ic_summary.csv</x:v>
      </x:c>
    </x:row>
    <x:row r="327">
      <x:c r="A327" s="50" t="n">
        <x:f>IF($P327="legacy_common_sample_8902245",1+COUNTIFS($C$5:$C$546,$C327,$P$5:$P$546,"legacy_common_sample_8902245",$I$5:$I$546,"&gt;"&amp;$I327),"")</x:f>
        <x:v>153</x:v>
      </x:c>
      <x:c r="B327" t="str">
        <x:v>gtja_039</x:v>
      </x:c>
      <x:c r="C327" s="50" t="n">
        <x:v>10</x:v>
      </x:c>
      <x:c r="D327" t="str">
        <x:f>IF(E327&gt;=0,"positive","negative")</x:f>
        <x:v>positive</x:v>
      </x:c>
      <x:c r="E327" s="30" t="n">
        <x:v>0.012210149620699561</x:v>
      </x:c>
      <x:c r="F327" s="30" t="n">
        <x:f>ABS(E327)</x:f>
        <x:v>0.012210149620699561</x:v>
      </x:c>
      <x:c r="G327" s="30" t="n">
        <x:v>0.09738862275595522</x:v>
      </x:c>
      <x:c r="H327" s="30" t="n">
        <x:v>0.125375524113292</x:v>
      </x:c>
      <x:c r="I327" s="30" t="n">
        <x:f>ABS(H327)</x:f>
        <x:v>0.125375524113292</x:v>
      </x:c>
      <x:c r="J327" s="30" t="n">
        <x:v>0.5524861878453039</x:v>
      </x:c>
      <x:c r="K327" s="30" t="n">
        <x:v>0.004573957166691885</x:v>
      </x:c>
      <x:c r="L327" s="30" t="n">
        <x:v>0.0561879913849787</x:v>
      </x:c>
      <x:c r="M327" s="30" t="n">
        <x:v>0.5226519337016574</x:v>
      </x:c>
      <x:c r="N327" s="19" t="n">
        <x:v>1810</x:v>
      </x:c>
      <x:c r="O327" t="b">
        <x:f>P327="legacy_common_sample_8902245"</x:f>
        <x:v>1</x:v>
      </x:c>
      <x:c r="P327" t="str">
        <x:v>legacy_common_sample_8902245</x:v>
      </x:c>
      <x:c r="Q327" s="74" t="n">
        <x:v>46211.24500390046</x:v>
      </x:c>
      <x:c r="R327" s="19" t="n">
        <x:v>8902245</x:v>
      </x:c>
      <x:c r="S327" t="str">
        <x:v>8f7e606554926462248cbcc654181861438ca768a0063f6b317223ede37d16fb</x:v>
      </x:c>
      <x:c r="T327" t="str">
        <x:v>factor_report/gtja191_batch/gtja_039/ic_summary.csv</x:v>
      </x:c>
    </x:row>
    <x:row r="328">
      <x:c r="A328" s="50" t="n">
        <x:f>IF($P328="legacy_common_sample_8902245",1+COUNTIFS($C$5:$C$546,$C328,$P$5:$P$546,"legacy_common_sample_8902245",$I$5:$I$546,"&gt;"&amp;$I328),"")</x:f>
        <x:v>154</x:v>
      </x:c>
      <x:c r="B328" t="str">
        <x:v>gtja_022</x:v>
      </x:c>
      <x:c r="C328" s="50" t="n">
        <x:v>10</x:v>
      </x:c>
      <x:c r="D328" t="str">
        <x:f>IF(E328&gt;=0,"positive","negative")</x:f>
        <x:v>negative</x:v>
      </x:c>
      <x:c r="E328" s="30" t="n">
        <x:v>-0.014695116374684365</x:v>
      </x:c>
      <x:c r="F328" s="30" t="n">
        <x:f>ABS(E328)</x:f>
        <x:v>0.014695116374684365</x:v>
      </x:c>
      <x:c r="G328" s="30" t="n">
        <x:v>0.11978375244533215</x:v>
      </x:c>
      <x:c r="H328" s="30" t="n">
        <x:v>-0.1226803808921501</x:v>
      </x:c>
      <x:c r="I328" s="30" t="n">
        <x:f>ABS(H328)</x:f>
        <x:v>0.1226803808921501</x:v>
      </x:c>
      <x:c r="J328" s="30" t="n">
        <x:v>0.4515318935208438</x:v>
      </x:c>
      <x:c r="K328" s="30" t="n">
        <x:v>-0.015718966275780788</x:v>
      </x:c>
      <x:c r="L328" s="30" t="n">
        <x:v>-0.1766612218295987</x:v>
      </x:c>
      <x:c r="M328" s="30" t="n">
        <x:v>0.4384731290808639</x:v>
      </x:c>
      <x:c r="N328" s="19" t="n">
        <x:v>1991</x:v>
      </x:c>
      <x:c r="O328" t="b">
        <x:f>P328="legacy_common_sample_8902245"</x:f>
        <x:v>1</x:v>
      </x:c>
      <x:c r="P328" t="str">
        <x:v>legacy_common_sample_8902245</x:v>
      </x:c>
      <x:c r="Q328" s="74" t="n">
        <x:v>46211.206014745374</x:v>
      </x:c>
      <x:c r="R328" s="19" t="n">
        <x:v>8902245</x:v>
      </x:c>
      <x:c r="S328" t="str">
        <x:v>8f7e606554926462248cbcc654181861438ca768a0063f6b317223ede37d16fb</x:v>
      </x:c>
      <x:c r="T328" t="str">
        <x:v>factor_report/gtja191_batch/gtja_022/ic_summary.csv</x:v>
      </x:c>
    </x:row>
    <x:row r="329">
      <x:c r="A329" s="50" t="n">
        <x:f>IF($P329="legacy_common_sample_8902245",1+COUNTIFS($C$5:$C$546,$C329,$P$5:$P$546,"legacy_common_sample_8902245",$I$5:$I$546,"&gt;"&amp;$I329),"")</x:f>
        <x:v>155</x:v>
      </x:c>
      <x:c r="B329" t="str">
        <x:v>gtja_115</x:v>
      </x:c>
      <x:c r="C329" s="50" t="n">
        <x:v>10</x:v>
      </x:c>
      <x:c r="D329" t="str">
        <x:f>IF(E329&gt;=0,"positive","negative")</x:f>
        <x:v>positive</x:v>
      </x:c>
      <x:c r="E329" s="30" t="n">
        <x:v>0.007737353715511953</x:v>
      </x:c>
      <x:c r="F329" s="30" t="n">
        <x:f>ABS(E329)</x:f>
        <x:v>0.007737353715511953</x:v>
      </x:c>
      <x:c r="G329" s="30" t="n">
        <x:v>0.0643886303941607</x:v>
      </x:c>
      <x:c r="H329" s="30" t="n">
        <x:v>0.12016645901841765</x:v>
      </x:c>
      <x:c r="I329" s="30" t="n">
        <x:f>ABS(H329)</x:f>
        <x:v>0.12016645901841765</x:v>
      </x:c>
      <x:c r="J329" s="30" t="n">
        <x:v>0.5374183827222502</x:v>
      </x:c>
      <x:c r="K329" s="30" t="n">
        <x:v>0.0007154570961561749</x:v>
      </x:c>
      <x:c r="L329" s="30" t="n">
        <x:v>0.014222325401612383</x:v>
      </x:c>
      <x:c r="M329" s="30" t="n">
        <x:v>0.5163234555499749</x:v>
      </x:c>
      <x:c r="N329" s="19" t="n">
        <x:v>1991</x:v>
      </x:c>
      <x:c r="O329" t="b">
        <x:f>P329="legacy_common_sample_8902245"</x:f>
        <x:v>1</x:v>
      </x:c>
      <x:c r="P329" t="str">
        <x:v>legacy_common_sample_8902245</x:v>
      </x:c>
      <x:c r="Q329" s="74" t="n">
        <x:v>46211.375733472225</x:v>
      </x:c>
      <x:c r="R329" s="19" t="n">
        <x:v>8902245</x:v>
      </x:c>
      <x:c r="S329" t="str">
        <x:v>8f7e606554926462248cbcc654181861438ca768a0063f6b317223ede37d16fb</x:v>
      </x:c>
      <x:c r="T329" t="str">
        <x:v>factor_report/gtja191_batch/gtja_115/ic_summary.csv</x:v>
      </x:c>
    </x:row>
    <x:row r="330">
      <x:c r="A330" s="50" t="n">
        <x:f>IF($P330="legacy_common_sample_8902245",1+COUNTIFS($C$5:$C$546,$C330,$P$5:$P$546,"legacy_common_sample_8902245",$I$5:$I$546,"&gt;"&amp;$I330),"")</x:f>
        <x:v>156</x:v>
      </x:c>
      <x:c r="B330" t="str">
        <x:v>gtja_085</x:v>
      </x:c>
      <x:c r="C330" s="50" t="n">
        <x:v>10</x:v>
      </x:c>
      <x:c r="D330" t="str">
        <x:f>IF(E330&gt;=0,"positive","negative")</x:f>
        <x:v>positive</x:v>
      </x:c>
      <x:c r="E330" s="30" t="n">
        <x:v>0.009101116867026332</x:v>
      </x:c>
      <x:c r="F330" s="30" t="n">
        <x:f>ABS(E330)</x:f>
        <x:v>0.009101116867026332</x:v>
      </x:c>
      <x:c r="G330" s="30" t="n">
        <x:v>0.08057092252195697</x:v>
      </x:c>
      <x:c r="H330" s="30" t="n">
        <x:v>0.11295783369671758</x:v>
      </x:c>
      <x:c r="I330" s="30" t="n">
        <x:f>ABS(H330)</x:f>
        <x:v>0.11295783369671758</x:v>
      </x:c>
      <x:c r="J330" s="30" t="n">
        <x:v>0.531893520843797</x:v>
      </x:c>
      <x:c r="K330" s="30" t="n">
        <x:v>0.00531977173288779</x:v>
      </x:c>
      <x:c r="L330" s="30" t="n">
        <x:v>0.08340764898759577</x:v>
      </x:c>
      <x:c r="M330" s="30" t="n">
        <x:v>0.5193370165745856</x:v>
      </x:c>
      <x:c r="N330" s="19" t="n">
        <x:v>1991</x:v>
      </x:c>
      <x:c r="O330" t="b">
        <x:f>P330="legacy_common_sample_8902245"</x:f>
        <x:v>1</x:v>
      </x:c>
      <x:c r="P330" t="str">
        <x:v>legacy_common_sample_8902245</x:v>
      </x:c>
      <x:c r="Q330" s="74" t="n">
        <x:v>46211.32386585648</x:v>
      </x:c>
      <x:c r="R330" s="19" t="n">
        <x:v>8902245</x:v>
      </x:c>
      <x:c r="S330" t="str">
        <x:v>8f7e606554926462248cbcc654181861438ca768a0063f6b317223ede37d16fb</x:v>
      </x:c>
      <x:c r="T330" t="str">
        <x:v>factor_report/gtja191_batch/gtja_085/ic_summary.csv</x:v>
      </x:c>
    </x:row>
    <x:row r="331">
      <x:c r="A331" s="50" t="n">
        <x:f>IF($P331="legacy_common_sample_8902245",1+COUNTIFS($C$5:$C$546,$C331,$P$5:$P$546,"legacy_common_sample_8902245",$I$5:$I$546,"&gt;"&amp;$I331),"")</x:f>
        <x:v>157</x:v>
      </x:c>
      <x:c r="B331" t="str">
        <x:v>gtja_028</x:v>
      </x:c>
      <x:c r="C331" s="50" t="n">
        <x:v>10</x:v>
      </x:c>
      <x:c r="D331" t="str">
        <x:f>IF(E331&gt;=0,"positive","negative")</x:f>
        <x:v>negative</x:v>
      </x:c>
      <x:c r="E331" s="30" t="n">
        <x:v>-0.013591252705807414</x:v>
      </x:c>
      <x:c r="F331" s="30" t="n">
        <x:f>ABS(E331)</x:f>
        <x:v>0.013591252705807414</x:v>
      </x:c>
      <x:c r="G331" s="30" t="n">
        <x:v>0.12060781872224505</x:v>
      </x:c>
      <x:c r="H331" s="30" t="n">
        <x:v>-0.11268964856339474</x:v>
      </x:c>
      <x:c r="I331" s="30" t="n">
        <x:f>ABS(H331)</x:f>
        <x:v>0.11268964856339474</x:v>
      </x:c>
      <x:c r="J331" s="30" t="n">
        <x:v>0.46509291813159215</x:v>
      </x:c>
      <x:c r="K331" s="30" t="n">
        <x:v>-0.008679520883049276</x:v>
      </x:c>
      <x:c r="L331" s="30" t="n">
        <x:v>-0.08450172789563719</x:v>
      </x:c>
      <x:c r="M331" s="30" t="n">
        <x:v>0.4741336012054244</x:v>
      </x:c>
      <x:c r="N331" s="19" t="n">
        <x:v>1991</x:v>
      </x:c>
      <x:c r="O331" t="b">
        <x:f>P331="legacy_common_sample_8902245"</x:f>
        <x:v>1</x:v>
      </x:c>
      <x:c r="P331" t="str">
        <x:v>legacy_common_sample_8902245</x:v>
      </x:c>
      <x:c r="Q331" s="74" t="n">
        <x:v>46211.21958586806</x:v>
      </x:c>
      <x:c r="R331" s="19" t="n">
        <x:v>8902245</x:v>
      </x:c>
      <x:c r="S331" t="str">
        <x:v>8f7e606554926462248cbcc654181861438ca768a0063f6b317223ede37d16fb</x:v>
      </x:c>
      <x:c r="T331" t="str">
        <x:v>factor_report/gtja191_batch/gtja_028/ic_summary.csv</x:v>
      </x:c>
    </x:row>
    <x:row r="332">
      <x:c r="A332" s="50" t="n">
        <x:f>IF($P332="legacy_common_sample_8902245",1+COUNTIFS($C$5:$C$546,$C332,$P$5:$P$546,"legacy_common_sample_8902245",$I$5:$I$546,"&gt;"&amp;$I332),"")</x:f>
        <x:v>158</x:v>
      </x:c>
      <x:c r="B332" t="str">
        <x:v>gtja_117</x:v>
      </x:c>
      <x:c r="C332" s="50" t="n">
        <x:v>10</x:v>
      </x:c>
      <x:c r="D332" t="str">
        <x:f>IF(E332&gt;=0,"positive","negative")</x:f>
        <x:v>positive</x:v>
      </x:c>
      <x:c r="E332" s="30" t="n">
        <x:v>0.010421149081802894</x:v>
      </x:c>
      <x:c r="F332" s="30" t="n">
        <x:f>ABS(E332)</x:f>
        <x:v>0.010421149081802894</x:v>
      </x:c>
      <x:c r="G332" s="30" t="n">
        <x:v>0.0934284991523459</x:v>
      </x:c>
      <x:c r="H332" s="30" t="n">
        <x:v>0.11154143731678717</x:v>
      </x:c>
      <x:c r="I332" s="30" t="n">
        <x:f>ABS(H332)</x:f>
        <x:v>0.11154143731678717</x:v>
      </x:c>
      <x:c r="J332" s="30" t="n">
        <x:v>0.5213460572576595</x:v>
      </x:c>
      <x:c r="K332" s="30" t="n">
        <x:v>0.0019411650931367747</x:v>
      </x:c>
      <x:c r="L332" s="30" t="n">
        <x:v>0.0285956506623602</x:v>
      </x:c>
      <x:c r="M332" s="30" t="n">
        <x:v>0.4831742842792566</x:v>
      </x:c>
      <x:c r="N332" s="19" t="n">
        <x:v>1991</x:v>
      </x:c>
      <x:c r="O332" t="b">
        <x:f>P332="legacy_common_sample_8902245"</x:f>
        <x:v>1</x:v>
      </x:c>
      <x:c r="P332" t="str">
        <x:v>legacy_common_sample_8902245</x:v>
      </x:c>
      <x:c r="Q332" s="74" t="n">
        <x:v>46211.384815150464</x:v>
      </x:c>
      <x:c r="R332" s="19" t="n">
        <x:v>8902245</x:v>
      </x:c>
      <x:c r="S332" t="str">
        <x:v>8f7e606554926462248cbcc654181861438ca768a0063f6b317223ede37d16fb</x:v>
      </x:c>
      <x:c r="T332" t="str">
        <x:v>factor_report/gtja191_batch/gtja_117/ic_summary.csv</x:v>
      </x:c>
    </x:row>
    <x:row r="333">
      <x:c r="A333" s="50" t="n">
        <x:f>IF($P333="legacy_common_sample_8902245",1+COUNTIFS($C$5:$C$546,$C333,$P$5:$P$546,"legacy_common_sample_8902245",$I$5:$I$546,"&gt;"&amp;$I333),"")</x:f>
        <x:v>159</x:v>
      </x:c>
      <x:c r="B333" t="str">
        <x:v>gtja_178</x:v>
      </x:c>
      <x:c r="C333" s="50" t="n">
        <x:v>10</x:v>
      </x:c>
      <x:c r="D333" t="str">
        <x:f>IF(E333&gt;=0,"positive","negative")</x:f>
        <x:v>negative</x:v>
      </x:c>
      <x:c r="E333" s="30" t="n">
        <x:v>-0.011486471822643162</x:v>
      </x:c>
      <x:c r="F333" s="30" t="n">
        <x:f>ABS(E333)</x:f>
        <x:v>0.011486471822643162</x:v>
      </x:c>
      <x:c r="G333" s="30" t="n">
        <x:v>0.10400808814059855</x:v>
      </x:c>
      <x:c r="H333" s="30" t="n">
        <x:v>-0.11043825560100387</x:v>
      </x:c>
      <x:c r="I333" s="30" t="n">
        <x:f>ABS(H333)</x:f>
        <x:v>0.11043825560100387</x:v>
      </x:c>
      <x:c r="J333" s="30" t="n">
        <x:v>0.45102963335007534</x:v>
      </x:c>
      <x:c r="K333" s="30" t="n">
        <x:v>-0.013020184450874736</x:v>
      </x:c>
      <x:c r="L333" s="30" t="n">
        <x:v>-0.22844296977079642</x:v>
      </x:c>
      <x:c r="M333" s="30" t="n">
        <x:v>0.40180813661476644</x:v>
      </x:c>
      <x:c r="N333" s="19" t="n">
        <x:v>1991</x:v>
      </x:c>
      <x:c r="O333" t="b">
        <x:f>P333="legacy_common_sample_8902245"</x:f>
        <x:v>1</x:v>
      </x:c>
      <x:c r="P333" t="str">
        <x:v>legacy_common_sample_8902245</x:v>
      </x:c>
      <x:c r="Q333" s="74" t="n">
        <x:v>46211.5335721875</x:v>
      </x:c>
      <x:c r="R333" s="19" t="n">
        <x:v>8902245</x:v>
      </x:c>
      <x:c r="S333" t="str">
        <x:v>8f7e606554926462248cbcc654181861438ca768a0063f6b317223ede37d16fb</x:v>
      </x:c>
      <x:c r="T333" t="str">
        <x:v>factor_report/gtja191_batch/gtja_178/ic_summary.csv</x:v>
      </x:c>
    </x:row>
    <x:row r="334">
      <x:c r="A334" s="50" t="n">
        <x:f>IF($P334="legacy_common_sample_8902245",1+COUNTIFS($C$5:$C$546,$C334,$P$5:$P$546,"legacy_common_sample_8902245",$I$5:$I$546,"&gt;"&amp;$I334),"")</x:f>
        <x:v>160</x:v>
      </x:c>
      <x:c r="B334" t="str">
        <x:v>gtja_125</x:v>
      </x:c>
      <x:c r="C334" s="50" t="n">
        <x:v>10</x:v>
      </x:c>
      <x:c r="D334" t="str">
        <x:f>IF(E334&gt;=0,"positive","negative")</x:f>
        <x:v>positive</x:v>
      </x:c>
      <x:c r="E334" s="30" t="n">
        <x:v>0.010222219351592081</x:v>
      </x:c>
      <x:c r="F334" s="30" t="n">
        <x:f>ABS(E334)</x:f>
        <x:v>0.010222219351592081</x:v>
      </x:c>
      <x:c r="G334" s="30" t="n">
        <x:v>0.0972860472893756</x:v>
      </x:c>
      <x:c r="H334" s="30" t="n">
        <x:v>0.10507384806360026</x:v>
      </x:c>
      <x:c r="I334" s="30" t="n">
        <x:f>ABS(H334)</x:f>
        <x:v>0.10507384806360026</x:v>
      </x:c>
      <x:c r="J334" s="30" t="n">
        <x:v>0.5281653746770025</x:v>
      </x:c>
      <x:c r="K334" s="30" t="n">
        <x:v>-0.003016157819072808</x:v>
      </x:c>
      <x:c r="L334" s="30" t="n">
        <x:v>-0.08919165421062752</x:v>
      </x:c>
      <x:c r="M334" s="30" t="n">
        <x:v>0.4325581395348837</x:v>
      </x:c>
      <x:c r="N334" s="19" t="n">
        <x:v>1935</x:v>
      </x:c>
      <x:c r="O334" t="b">
        <x:f>P334="legacy_common_sample_8902245"</x:f>
        <x:v>1</x:v>
      </x:c>
      <x:c r="P334" t="str">
        <x:v>legacy_common_sample_8902245</x:v>
      </x:c>
      <x:c r="Q334" s="74" t="n">
        <x:v>46211.41519543981</x:v>
      </x:c>
      <x:c r="R334" s="19" t="n">
        <x:v>8902245</x:v>
      </x:c>
      <x:c r="S334" t="str">
        <x:v>8f7e606554926462248cbcc654181861438ca768a0063f6b317223ede37d16fb</x:v>
      </x:c>
      <x:c r="T334" t="str">
        <x:v>factor_report/gtja191_batch/gtja_125/ic_summary.csv</x:v>
      </x:c>
    </x:row>
    <x:row r="335">
      <x:c r="A335" s="50" t="n">
        <x:f>IF($P335="legacy_common_sample_8902245",1+COUNTIFS($C$5:$C$546,$C335,$P$5:$P$546,"legacy_common_sample_8902245",$I$5:$I$546,"&gt;"&amp;$I335),"")</x:f>
        <x:v>161</x:v>
      </x:c>
      <x:c r="B335" t="str">
        <x:v>gtja_180</x:v>
      </x:c>
      <x:c r="C335" s="50" t="n">
        <x:v>10</x:v>
      </x:c>
      <x:c r="D335" t="str">
        <x:f>IF(E335&gt;=0,"positive","negative")</x:f>
        <x:v>positive</x:v>
      </x:c>
      <x:c r="E335" s="30" t="n">
        <x:v>0.007859838396532771</x:v>
      </x:c>
      <x:c r="F335" s="30" t="n">
        <x:f>ABS(E335)</x:f>
        <x:v>0.007859838396532771</x:v>
      </x:c>
      <x:c r="G335" s="30" t="n">
        <x:v>0.07507463235858297</x:v>
      </x:c>
      <x:c r="H335" s="30" t="n">
        <x:v>0.10469366481864881</x:v>
      </x:c>
      <x:c r="I335" s="30" t="n">
        <x:f>ABS(H335)</x:f>
        <x:v>0.10469366481864881</x:v>
      </x:c>
      <x:c r="J335" s="30" t="n">
        <x:v>0.5479658463083877</x:v>
      </x:c>
      <x:c r="K335" s="30" t="n">
        <x:v>0.011623747901690396</x:v>
      </x:c>
      <x:c r="L335" s="30" t="n">
        <x:v>0.20512634404637659</x:v>
      </x:c>
      <x:c r="M335" s="30" t="n">
        <x:v>0.6137619286790558</x:v>
      </x:c>
      <x:c r="N335" s="19" t="n">
        <x:v>1991</x:v>
      </x:c>
      <x:c r="O335" t="b">
        <x:f>P335="legacy_common_sample_8902245"</x:f>
        <x:v>1</x:v>
      </x:c>
      <x:c r="P335" t="str">
        <x:v>legacy_common_sample_8902245</x:v>
      </x:c>
      <x:c r="Q335" s="74" t="n">
        <x:v>46211.53854369213</x:v>
      </x:c>
      <x:c r="R335" s="19" t="n">
        <x:v>8902245</x:v>
      </x:c>
      <x:c r="S335" t="str">
        <x:v>8f7e606554926462248cbcc654181861438ca768a0063f6b317223ede37d16fb</x:v>
      </x:c>
      <x:c r="T335" t="str">
        <x:v>factor_report/gtja191_batch/gtja_180/ic_summary.csv</x:v>
      </x:c>
    </x:row>
    <x:row r="336">
      <x:c r="A336" s="50" t="n">
        <x:f>IF($P336="legacy_common_sample_8902245",1+COUNTIFS($C$5:$C$546,$C336,$P$5:$P$546,"legacy_common_sample_8902245",$I$5:$I$546,"&gt;"&amp;$I336),"")</x:f>
        <x:v>162</x:v>
      </x:c>
      <x:c r="B336" t="str">
        <x:v>gtja_127</x:v>
      </x:c>
      <x:c r="C336" s="50" t="n">
        <x:v>10</x:v>
      </x:c>
      <x:c r="D336" t="str">
        <x:f>IF(E336&gt;=0,"positive","negative")</x:f>
        <x:v>negative</x:v>
      </x:c>
      <x:c r="E336" s="30" t="n">
        <x:v>-0.014248512771221106</x:v>
      </x:c>
      <x:c r="F336" s="30" t="n">
        <x:f>ABS(E336)</x:f>
        <x:v>0.014248512771221106</x:v>
      </x:c>
      <x:c r="G336" s="30" t="n">
        <x:v>0.15057219371743985</x:v>
      </x:c>
      <x:c r="H336" s="30" t="n">
        <x:v>-0.09462911059102666</x:v>
      </x:c>
      <x:c r="I336" s="30" t="n">
        <x:f>ABS(H336)</x:f>
        <x:v>0.09462911059102666</x:v>
      </x:c>
      <x:c r="J336" s="30" t="n">
        <x:v>0.4103465595178302</x:v>
      </x:c>
      <x:c r="K336" s="30" t="n">
        <x:v>0.0008891976913548112</x:v>
      </x:c>
      <x:c r="L336" s="30" t="n">
        <x:v>0.007646453648132517</x:v>
      </x:c>
      <x:c r="M336" s="30" t="n">
        <x:v>0.45454545454545453</x:v>
      </x:c>
      <x:c r="N336" s="19" t="n">
        <x:v>1991</x:v>
      </x:c>
      <x:c r="O336" t="b">
        <x:f>P336="legacy_common_sample_8902245"</x:f>
        <x:v>1</x:v>
      </x:c>
      <x:c r="P336" t="str">
        <x:v>legacy_common_sample_8902245</x:v>
      </x:c>
      <x:c r="Q336" s="74" t="n">
        <x:v>46211.417619583335</x:v>
      </x:c>
      <x:c r="R336" s="19" t="n">
        <x:v>8902245</x:v>
      </x:c>
      <x:c r="S336" t="str">
        <x:v>8f7e606554926462248cbcc654181861438ca768a0063f6b317223ede37d16fb</x:v>
      </x:c>
      <x:c r="T336" t="str">
        <x:v>factor_report/gtja191_batch/gtja_127/ic_summary.csv</x:v>
      </x:c>
    </x:row>
    <x:row r="337">
      <x:c r="A337" s="50" t="n">
        <x:f>IF($P337="legacy_common_sample_8902245",1+COUNTIFS($C$5:$C$546,$C337,$P$5:$P$546,"legacy_common_sample_8902245",$I$5:$I$546,"&gt;"&amp;$I337),"")</x:f>
        <x:v>163</x:v>
      </x:c>
      <x:c r="B337" t="str">
        <x:v>gtja_013</x:v>
      </x:c>
      <x:c r="C337" s="50" t="n">
        <x:v>10</x:v>
      </x:c>
      <x:c r="D337" t="str">
        <x:f>IF(E337&gt;=0,"positive","negative")</x:f>
        <x:v>positive</x:v>
      </x:c>
      <x:c r="E337" s="30" t="n">
        <x:v>0.011452862954066247</x:v>
      </x:c>
      <x:c r="F337" s="30" t="n">
        <x:f>ABS(E337)</x:f>
        <x:v>0.011452862954066247</x:v>
      </x:c>
      <x:c r="G337" s="30" t="n">
        <x:v>0.12270115444722708</x:v>
      </x:c>
      <x:c r="H337" s="30" t="n">
        <x:v>0.0933394881707657</x:v>
      </x:c>
      <x:c r="I337" s="30" t="n">
        <x:f>ABS(H337)</x:f>
        <x:v>0.0933394881707657</x:v>
      </x:c>
      <x:c r="J337" s="30" t="n">
        <x:v>0.5278754394776495</x:v>
      </x:c>
      <x:c r="K337" s="30" t="n">
        <x:v>0.012895920867057003</x:v>
      </x:c>
      <x:c r="L337" s="30" t="n">
        <x:v>0.17191546939237792</x:v>
      </x:c>
      <x:c r="M337" s="30" t="n">
        <x:v>0.5720743345052738</x:v>
      </x:c>
      <x:c r="N337" s="19" t="n">
        <x:v>1991</x:v>
      </x:c>
      <x:c r="O337" t="b">
        <x:f>P337="legacy_common_sample_8902245"</x:f>
        <x:v>1</x:v>
      </x:c>
      <x:c r="P337" t="str">
        <x:v>legacy_common_sample_8902245</x:v>
      </x:c>
      <x:c r="Q337" s="74" t="n">
        <x:v>46211.18888071759</x:v>
      </x:c>
      <x:c r="R337" s="19" t="n">
        <x:v>8902245</x:v>
      </x:c>
      <x:c r="S337" t="str">
        <x:v>8f7e606554926462248cbcc654181861438ca768a0063f6b317223ede37d16fb</x:v>
      </x:c>
      <x:c r="T337" t="str">
        <x:v>factor_report/gtja191_batch/gtja_013/ic_summary.csv</x:v>
      </x:c>
    </x:row>
    <x:row r="338">
      <x:c r="A338" s="50" t="n">
        <x:f>IF($P338="legacy_common_sample_8902245",1+COUNTIFS($C$5:$C$546,$C338,$P$5:$P$546,"legacy_common_sample_8902245",$I$5:$I$546,"&gt;"&amp;$I338),"")</x:f>
        <x:v>164</x:v>
      </x:c>
      <x:c r="B338" t="str">
        <x:v>gtja_114</x:v>
      </x:c>
      <x:c r="C338" s="50" t="n">
        <x:v>10</x:v>
      </x:c>
      <x:c r="D338" t="str">
        <x:f>IF(E338&gt;=0,"positive","negative")</x:f>
        <x:v>positive</x:v>
      </x:c>
      <x:c r="E338" s="30" t="n">
        <x:v>0.00891392515696735</x:v>
      </x:c>
      <x:c r="F338" s="30" t="n">
        <x:f>ABS(E338)</x:f>
        <x:v>0.00891392515696735</x:v>
      </x:c>
      <x:c r="G338" s="30" t="n">
        <x:v>0.11771309318310749</x:v>
      </x:c>
      <x:c r="H338" s="30" t="n">
        <x:v>0.07572585951081395</x:v>
      </x:c>
      <x:c r="I338" s="30" t="n">
        <x:f>ABS(H338)</x:f>
        <x:v>0.07572585951081395</x:v>
      </x:c>
      <x:c r="J338" s="30" t="n">
        <x:v>0.520843797086891</x:v>
      </x:c>
      <x:c r="K338" s="30" t="n">
        <x:v>0.00835341194681204</x:v>
      </x:c>
      <x:c r="L338" s="30" t="n">
        <x:v>0.10359262390925891</x:v>
      </x:c>
      <x:c r="M338" s="30" t="n">
        <x:v>0.5344048216976394</x:v>
      </x:c>
      <x:c r="N338" s="19" t="n">
        <x:v>1991</x:v>
      </x:c>
      <x:c r="O338" t="b">
        <x:f>P338="legacy_common_sample_8902245"</x:f>
        <x:v>1</x:v>
      </x:c>
      <x:c r="P338" t="str">
        <x:v>legacy_common_sample_8902245</x:v>
      </x:c>
      <x:c r="Q338" s="74" t="n">
        <x:v>46211.36905150463</x:v>
      </x:c>
      <x:c r="R338" s="19" t="n">
        <x:v>8902245</x:v>
      </x:c>
      <x:c r="S338" t="str">
        <x:v>8f7e606554926462248cbcc654181861438ca768a0063f6b317223ede37d16fb</x:v>
      </x:c>
      <x:c r="T338" t="str">
        <x:v>factor_report/gtja191_batch/gtja_114/ic_summary.csv</x:v>
      </x:c>
    </x:row>
    <x:row r="339">
      <x:c r="A339" s="50" t="n">
        <x:f>IF($P339="legacy_common_sample_8902245",1+COUNTIFS($C$5:$C$546,$C339,$P$5:$P$546,"legacy_common_sample_8902245",$I$5:$I$546,"&gt;"&amp;$I339),"")</x:f>
        <x:v>165</x:v>
      </x:c>
      <x:c r="B339" t="str">
        <x:v>gtja_076</x:v>
      </x:c>
      <x:c r="C339" s="50" t="n">
        <x:v>10</x:v>
      </x:c>
      <x:c r="D339" t="str">
        <x:f>IF(E339&gt;=0,"positive","negative")</x:f>
        <x:v>negative</x:v>
      </x:c>
      <x:c r="E339" s="30" t="n">
        <x:v>-0.004315535410730925</x:v>
      </x:c>
      <x:c r="F339" s="30" t="n">
        <x:f>ABS(E339)</x:f>
        <x:v>0.004315535410730925</x:v>
      </x:c>
      <x:c r="G339" s="30" t="n">
        <x:v>0.06273108363519536</x:v>
      </x:c>
      <x:c r="H339" s="30" t="n">
        <x:v>-0.0687942111095573</x:v>
      </x:c>
      <x:c r="I339" s="30" t="n">
        <x:f>ABS(H339)</x:f>
        <x:v>0.0687942111095573</x:v>
      </x:c>
      <x:c r="J339" s="30" t="n">
        <x:v>0.4289301858362632</x:v>
      </x:c>
      <x:c r="K339" s="30" t="n">
        <x:v>-0.007568381399347116</x:v>
      </x:c>
      <x:c r="L339" s="30" t="n">
        <x:v>-0.1391044698933537</x:v>
      </x:c>
      <x:c r="M339" s="30" t="n">
        <x:v>0.42692114515318935</x:v>
      </x:c>
      <x:c r="N339" s="19" t="n">
        <x:v>1991</x:v>
      </x:c>
      <x:c r="O339" t="b">
        <x:f>P339="legacy_common_sample_8902245"</x:f>
        <x:v>1</x:v>
      </x:c>
      <x:c r="P339" t="str">
        <x:v>legacy_common_sample_8902245</x:v>
      </x:c>
      <x:c r="Q339" s="74" t="n">
        <x:v>46211.30655486111</x:v>
      </x:c>
      <x:c r="R339" s="19" t="n">
        <x:v>8902245</x:v>
      </x:c>
      <x:c r="S339" t="str">
        <x:v>8f7e606554926462248cbcc654181861438ca768a0063f6b317223ede37d16fb</x:v>
      </x:c>
      <x:c r="T339" t="str">
        <x:v>factor_report/gtja191_batch/gtja_076/ic_summary.csv</x:v>
      </x:c>
    </x:row>
    <x:row r="340">
      <x:c r="A340" s="50" t="n">
        <x:f>IF($P340="legacy_common_sample_8902245",1+COUNTIFS($C$5:$C$546,$C340,$P$5:$P$546,"legacy_common_sample_8902245",$I$5:$I$546,"&gt;"&amp;$I340),"")</x:f>
        <x:v>166</x:v>
      </x:c>
      <x:c r="B340" t="str">
        <x:v>gtja_162</x:v>
      </x:c>
      <x:c r="C340" s="50" t="n">
        <x:v>10</x:v>
      </x:c>
      <x:c r="D340" t="str">
        <x:f>IF(E340&gt;=0,"positive","negative")</x:f>
        <x:v>negative</x:v>
      </x:c>
      <x:c r="E340" s="30" t="n">
        <x:v>-0.007836269014980184</x:v>
      </x:c>
      <x:c r="F340" s="30" t="n">
        <x:f>ABS(E340)</x:f>
        <x:v>0.007836269014980184</x:v>
      </x:c>
      <x:c r="G340" s="30" t="n">
        <x:v>0.1163811553507725</x:v>
      </x:c>
      <x:c r="H340" s="30" t="n">
        <x:v>-0.06733279963892513</x:v>
      </x:c>
      <x:c r="I340" s="30" t="n">
        <x:f>ABS(H340)</x:f>
        <x:v>0.06733279963892513</x:v>
      </x:c>
      <x:c r="J340" s="30" t="n">
        <x:v>0.4861878453038674</x:v>
      </x:c>
      <x:c r="K340" s="30" t="n">
        <x:v>-0.004858560259851774</x:v>
      </x:c>
      <x:c r="L340" s="30" t="n">
        <x:v>-0.05026080331077417</x:v>
      </x:c>
      <x:c r="M340" s="30" t="n">
        <x:v>0.4897036664992466</x:v>
      </x:c>
      <x:c r="N340" s="19" t="n">
        <x:v>1991</x:v>
      </x:c>
      <x:c r="O340" t="b">
        <x:f>P340="legacy_common_sample_8902245"</x:f>
        <x:v>1</x:v>
      </x:c>
      <x:c r="P340" t="str">
        <x:v>legacy_common_sample_8902245</x:v>
      </x:c>
      <x:c r="Q340" s="74" t="n">
        <x:v>46211.50984748843</x:v>
      </x:c>
      <x:c r="R340" s="19" t="n">
        <x:v>8902245</x:v>
      </x:c>
      <x:c r="S340" t="str">
        <x:v>8f7e606554926462248cbcc654181861438ca768a0063f6b317223ede37d16fb</x:v>
      </x:c>
      <x:c r="T340" t="str">
        <x:v>factor_report/gtja191_batch/gtja_162/ic_summary.csv</x:v>
      </x:c>
    </x:row>
    <x:row r="341">
      <x:c r="A341" s="50" t="n">
        <x:f>IF($P341="legacy_common_sample_8902245",1+COUNTIFS($C$5:$C$546,$C341,$P$5:$P$546,"legacy_common_sample_8902245",$I$5:$I$546,"&gt;"&amp;$I341),"")</x:f>
        <x:v>167</x:v>
      </x:c>
      <x:c r="B341" t="str">
        <x:v>gtja_124</x:v>
      </x:c>
      <x:c r="C341" s="50" t="n">
        <x:v>10</x:v>
      </x:c>
      <x:c r="D341" t="str">
        <x:f>IF(E341&gt;=0,"positive","negative")</x:f>
        <x:v>negative</x:v>
      </x:c>
      <x:c r="E341" s="30" t="n">
        <x:v>-0.0069098824764696155</x:v>
      </x:c>
      <x:c r="F341" s="30" t="n">
        <x:f>ABS(E341)</x:f>
        <x:v>0.0069098824764696155</x:v>
      </x:c>
      <x:c r="G341" s="30" t="n">
        <x:v>0.10527740637951538</x:v>
      </x:c>
      <x:c r="H341" s="30" t="n">
        <x:v>-0.0656349991332435</x:v>
      </x:c>
      <x:c r="I341" s="30" t="n">
        <x:f>ABS(H341)</x:f>
        <x:v>0.0656349991332435</x:v>
      </x:c>
      <x:c r="J341" s="30" t="n">
        <x:v>0.4776494224008036</x:v>
      </x:c>
      <x:c r="K341" s="30" t="n">
        <x:v>-0.004212034276356584</x:v>
      </x:c>
      <x:c r="L341" s="30" t="n">
        <x:v>-0.08628687778168628</x:v>
      </x:c>
      <x:c r="M341" s="30" t="n">
        <x:v>0.4480160723254646</x:v>
      </x:c>
      <x:c r="N341" s="19" t="n">
        <x:v>1991</x:v>
      </x:c>
      <x:c r="O341" t="b">
        <x:f>P341="legacy_common_sample_8902245"</x:f>
        <x:v>1</x:v>
      </x:c>
      <x:c r="P341" t="str">
        <x:v>legacy_common_sample_8902245</x:v>
      </x:c>
      <x:c r="Q341" s="74" t="n">
        <x:v>46211.41230089121</x:v>
      </x:c>
      <x:c r="R341" s="19" t="n">
        <x:v>8902245</x:v>
      </x:c>
      <x:c r="S341" t="str">
        <x:v>8f7e606554926462248cbcc654181861438ca768a0063f6b317223ede37d16fb</x:v>
      </x:c>
      <x:c r="T341" t="str">
        <x:v>factor_report/gtja191_batch/gtja_124/ic_summary.csv</x:v>
      </x:c>
    </x:row>
    <x:row r="342">
      <x:c r="A342" s="50" t="n">
        <x:f>IF($P342="legacy_common_sample_8902245",1+COUNTIFS($C$5:$C$546,$C342,$P$5:$P$546,"legacy_common_sample_8902245",$I$5:$I$546,"&gt;"&amp;$I342),"")</x:f>
        <x:v>168</x:v>
      </x:c>
      <x:c r="B342" t="str">
        <x:v>gtja_091</x:v>
      </x:c>
      <x:c r="C342" s="50" t="n">
        <x:v>10</x:v>
      </x:c>
      <x:c r="D342" t="str">
        <x:f>IF(E342&gt;=0,"positive","negative")</x:f>
        <x:v>negative</x:v>
      </x:c>
      <x:c r="E342" s="30" t="n">
        <x:v>-0.005977281466886537</x:v>
      </x:c>
      <x:c r="F342" s="30" t="n">
        <x:f>ABS(E342)</x:f>
        <x:v>0.005977281466886537</x:v>
      </x:c>
      <x:c r="G342" s="30" t="n">
        <x:v>0.10307528431063906</x:v>
      </x:c>
      <x:c r="H342" s="30" t="n">
        <x:v>-0.057989473488840856</x:v>
      </x:c>
      <x:c r="I342" s="30" t="n">
        <x:f>ABS(H342)</x:f>
        <x:v>0.057989473488840856</x:v>
      </x:c>
      <x:c r="J342" s="30" t="n">
        <x:v>0.47513812154696133</x:v>
      </x:c>
      <x:c r="K342" s="30" t="n">
        <x:v>0.004672747069637047</x:v>
      </x:c>
      <x:c r="L342" s="30" t="n">
        <x:v>0.05582157918225588</x:v>
      </x:c>
      <x:c r="M342" s="30" t="n">
        <x:v>0.5173279758915118</x:v>
      </x:c>
      <x:c r="N342" s="19" t="n">
        <x:v>1991</x:v>
      </x:c>
      <x:c r="O342" t="b">
        <x:f>P342="legacy_common_sample_8902245"</x:f>
        <x:v>1</x:v>
      </x:c>
      <x:c r="P342" t="str">
        <x:v>legacy_common_sample_8902245</x:v>
      </x:c>
      <x:c r="Q342" s="74" t="n">
        <x:v>46211.33546769676</x:v>
      </x:c>
      <x:c r="R342" s="19" t="n">
        <x:v>8902245</x:v>
      </x:c>
      <x:c r="S342" t="str">
        <x:v>8f7e606554926462248cbcc654181861438ca768a0063f6b317223ede37d16fb</x:v>
      </x:c>
      <x:c r="T342" t="str">
        <x:v>factor_report/gtja191_batch/gtja_091/ic_summary.csv</x:v>
      </x:c>
    </x:row>
    <x:row r="343">
      <x:c r="A343" s="50" t="n">
        <x:f>IF($P343="legacy_common_sample_8902245",1+COUNTIFS($C$5:$C$546,$C343,$P$5:$P$546,"legacy_common_sample_8902245",$I$5:$I$546,"&gt;"&amp;$I343),"")</x:f>
        <x:v>169</x:v>
      </x:c>
      <x:c r="B343" t="str">
        <x:v>gtja_170</x:v>
      </x:c>
      <x:c r="C343" s="50" t="n">
        <x:v>10</x:v>
      </x:c>
      <x:c r="D343" t="str">
        <x:f>IF(E343&gt;=0,"positive","negative")</x:f>
        <x:v>positive</x:v>
      </x:c>
      <x:c r="E343" s="30" t="n">
        <x:v>0.006814785039770921</x:v>
      </x:c>
      <x:c r="F343" s="30" t="n">
        <x:f>ABS(E343)</x:f>
        <x:v>0.006814785039770921</x:v>
      </x:c>
      <x:c r="G343" s="30" t="n">
        <x:v>0.1202017890590247</x:v>
      </x:c>
      <x:c r="H343" s="30" t="n">
        <x:v>0.056694539183809844</x:v>
      </x:c>
      <x:c r="I343" s="30" t="n">
        <x:f>ABS(H343)</x:f>
        <x:v>0.056694539183809844</x:v>
      </x:c>
      <x:c r="J343" s="30" t="n">
        <x:v>0.4992466097438473</x:v>
      </x:c>
      <x:c r="K343" s="30" t="n">
        <x:v>0.005596994118297488</x:v>
      </x:c>
      <x:c r="L343" s="30" t="n">
        <x:v>0.06018226419048142</x:v>
      </x:c>
      <x:c r="M343" s="30" t="n">
        <x:v>0.508789552988448</x:v>
      </x:c>
      <x:c r="N343" s="19" t="n">
        <x:v>1991</x:v>
      </x:c>
      <x:c r="O343" t="b">
        <x:f>P343="legacy_common_sample_8902245"</x:f>
        <x:v>1</x:v>
      </x:c>
      <x:c r="P343" t="str">
        <x:v>legacy_common_sample_8902245</x:v>
      </x:c>
      <x:c r="Q343" s="74" t="n">
        <x:v>46211.52554471065</x:v>
      </x:c>
      <x:c r="R343" s="19" t="n">
        <x:v>8902245</x:v>
      </x:c>
      <x:c r="S343" t="str">
        <x:v>8f7e606554926462248cbcc654181861438ca768a0063f6b317223ede37d16fb</x:v>
      </x:c>
      <x:c r="T343" t="str">
        <x:v>factor_report/gtja191_batch/gtja_170/ic_summary.csv</x:v>
      </x:c>
    </x:row>
    <x:row r="344">
      <x:c r="A344" s="50" t="n">
        <x:f>IF($P344="legacy_common_sample_8902245",1+COUNTIFS($C$5:$C$546,$C344,$P$5:$P$546,"legacy_common_sample_8902245",$I$5:$I$546,"&gt;"&amp;$I344),"")</x:f>
        <x:v>170</x:v>
      </x:c>
      <x:c r="B344" t="str">
        <x:v>gtja_165</x:v>
      </x:c>
      <x:c r="C344" s="50" t="n">
        <x:v>10</x:v>
      </x:c>
      <x:c r="D344" t="str">
        <x:f>IF(E344&gt;=0,"positive","negative")</x:f>
        <x:v>positive</x:v>
      </x:c>
      <x:c r="E344" s="30" t="n">
        <x:v>0.004761957217324623</x:v>
      </x:c>
      <x:c r="F344" s="30" t="n">
        <x:f>ABS(E344)</x:f>
        <x:v>0.004761957217324623</x:v>
      </x:c>
      <x:c r="G344" s="30" t="n">
        <x:v>0.08510343411218707</x:v>
      </x:c>
      <x:c r="H344" s="30" t="n">
        <x:v>0.05595493609631784</x:v>
      </x:c>
      <x:c r="I344" s="30" t="n">
        <x:f>ABS(H344)</x:f>
        <x:v>0.05595493609631784</x:v>
      </x:c>
      <x:c r="J344" s="30" t="n">
        <x:v>0.5167714884696016</x:v>
      </x:c>
      <x:c r="K344" s="30" t="n">
        <x:v>-0.0033893343377688913</x:v>
      </x:c>
      <x:c r="L344" s="30" t="n">
        <x:v>-0.05083045218790998</x:v>
      </x:c>
      <x:c r="M344" s="30" t="n">
        <x:v>0.46750524109014674</x:v>
      </x:c>
      <x:c r="N344" s="19" t="n">
        <x:v>1908</x:v>
      </x:c>
      <x:c r="O344" t="b">
        <x:f>P344="legacy_common_sample_8902245"</x:f>
        <x:v>1</x:v>
      </x:c>
      <x:c r="P344" t="str">
        <x:v>legacy_common_sample_8902245</x:v>
      </x:c>
      <x:c r="Q344" s="74" t="n">
        <x:v>46211.5176621412</x:v>
      </x:c>
      <x:c r="R344" s="19" t="n">
        <x:v>8902245</x:v>
      </x:c>
      <x:c r="S344" t="str">
        <x:v>8f7e606554926462248cbcc654181861438ca768a0063f6b317223ede37d16fb</x:v>
      </x:c>
      <x:c r="T344" t="str">
        <x:v>factor_report/gtja191_batch/gtja_165/ic_summary.csv</x:v>
      </x:c>
    </x:row>
    <x:row r="345">
      <x:c r="A345" s="50" t="n">
        <x:f>IF($P345="legacy_common_sample_8902245",1+COUNTIFS($C$5:$C$546,$C345,$P$5:$P$546,"legacy_common_sample_8902245",$I$5:$I$546,"&gt;"&amp;$I345),"")</x:f>
        <x:v>171</x:v>
      </x:c>
      <x:c r="B345" t="str">
        <x:v>gtja_073</x:v>
      </x:c>
      <x:c r="C345" s="50" t="n">
        <x:v>10</x:v>
      </x:c>
      <x:c r="D345" t="str">
        <x:f>IF(E345&gt;=0,"positive","negative")</x:f>
        <x:v>positive</x:v>
      </x:c>
      <x:c r="E345" s="30" t="n">
        <x:v>0.0030758054530690684</x:v>
      </x:c>
      <x:c r="F345" s="30" t="n">
        <x:f>ABS(E345)</x:f>
        <x:v>0.0030758054530690684</x:v>
      </x:c>
      <x:c r="G345" s="30" t="n">
        <x:v>0.05679791113395078</x:v>
      </x:c>
      <x:c r="H345" s="30" t="n">
        <x:v>0.05415349599416016</x:v>
      </x:c>
      <x:c r="I345" s="30" t="n">
        <x:f>ABS(H345)</x:f>
        <x:v>0.05415349599416016</x:v>
      </x:c>
      <x:c r="J345" s="30" t="n">
        <x:v>0.5429432446007032</x:v>
      </x:c>
      <x:c r="K345" s="30" t="n">
        <x:v>0.00096112388207493</x:v>
      </x:c>
      <x:c r="L345" s="30" t="n">
        <x:v>0.02079883117111613</x:v>
      </x:c>
      <x:c r="M345" s="30" t="n">
        <x:v>0.5203415369161225</x:v>
      </x:c>
      <x:c r="N345" s="19" t="n">
        <x:v>1991</x:v>
      </x:c>
      <x:c r="O345" t="b">
        <x:f>P345="legacy_common_sample_8902245"</x:f>
        <x:v>1</x:v>
      </x:c>
      <x:c r="P345" t="str">
        <x:v>legacy_common_sample_8902245</x:v>
      </x:c>
      <x:c r="Q345" s="74" t="n">
        <x:v>46211.30391246528</x:v>
      </x:c>
      <x:c r="R345" s="19" t="n">
        <x:v>8902245</x:v>
      </x:c>
      <x:c r="S345" t="str">
        <x:v>8f7e606554926462248cbcc654181861438ca768a0063f6b317223ede37d16fb</x:v>
      </x:c>
      <x:c r="T345" t="str">
        <x:v>factor_report/gtja191_batch/gtja_073/ic_summary.csv</x:v>
      </x:c>
    </x:row>
    <x:row r="346">
      <x:c r="A346" s="50" t="n">
        <x:f>IF($P346="legacy_common_sample_8902245",1+COUNTIFS($C$5:$C$546,$C346,$P$5:$P$546,"legacy_common_sample_8902245",$I$5:$I$546,"&gt;"&amp;$I346),"")</x:f>
        <x:v>172</x:v>
      </x:c>
      <x:c r="B346" t="str">
        <x:v>gtja_146</x:v>
      </x:c>
      <x:c r="C346" s="50" t="n">
        <x:v>10</x:v>
      </x:c>
      <x:c r="D346" t="str">
        <x:f>IF(E346&gt;=0,"positive","negative")</x:f>
        <x:v>negative</x:v>
      </x:c>
      <x:c r="E346" s="30" t="n">
        <x:v>-0.004380920010943611</x:v>
      </x:c>
      <x:c r="F346" s="30" t="n">
        <x:f>ABS(E346)</x:f>
        <x:v>0.004380920010943611</x:v>
      </x:c>
      <x:c r="G346" s="30" t="n">
        <x:v>0.08271588615521461</x:v>
      </x:c>
      <x:c r="H346" s="30" t="n">
        <x:v>-0.05296346584165112</x:v>
      </x:c>
      <x:c r="I346" s="30" t="n">
        <x:f>ABS(H346)</x:f>
        <x:v>0.05296346584165112</x:v>
      </x:c>
      <x:c r="J346" s="30" t="n">
        <x:v>0.46509291813159215</x:v>
      </x:c>
      <x:c r="K346" s="30" t="n">
        <x:v>-0.011126886558284102</x:v>
      </x:c>
      <x:c r="L346" s="30" t="n">
        <x:v>-0.17646866278467518</x:v>
      </x:c>
      <x:c r="M346" s="30" t="n">
        <x:v>0.41737820190858865</x:v>
      </x:c>
      <x:c r="N346" s="19" t="n">
        <x:v>1991</x:v>
      </x:c>
      <x:c r="O346" t="b">
        <x:f>P346="legacy_common_sample_8902245"</x:f>
        <x:v>1</x:v>
      </x:c>
      <x:c r="P346" t="str">
        <x:v>legacy_common_sample_8902245</x:v>
      </x:c>
      <x:c r="Q346" s="74" t="n">
        <x:v>46211.45605219907</x:v>
      </x:c>
      <x:c r="R346" s="19" t="n">
        <x:v>8902245</x:v>
      </x:c>
      <x:c r="S346" t="str">
        <x:v>8f7e606554926462248cbcc654181861438ca768a0063f6b317223ede37d16fb</x:v>
      </x:c>
      <x:c r="T346" t="str">
        <x:v>factor_report/gtja191_batch/gtja_146/ic_summary.csv</x:v>
      </x:c>
    </x:row>
    <x:row r="347">
      <x:c r="A347" s="50" t="n">
        <x:f>IF($P347="legacy_common_sample_8902245",1+COUNTIFS($C$5:$C$546,$C347,$P$5:$P$546,"legacy_common_sample_8902245",$I$5:$I$546,"&gt;"&amp;$I347),"")</x:f>
        <x:v>173</x:v>
      </x:c>
      <x:c r="B347" t="str">
        <x:v>gtja_111</x:v>
      </x:c>
      <x:c r="C347" s="50" t="n">
        <x:v>10</x:v>
      </x:c>
      <x:c r="D347" t="str">
        <x:f>IF(E347&gt;=0,"positive","negative")</x:f>
        <x:v>positive</x:v>
      </x:c>
      <x:c r="E347" s="30" t="n">
        <x:v>0.0043128644724922645</x:v>
      </x:c>
      <x:c r="F347" s="30" t="n">
        <x:f>ABS(E347)</x:f>
        <x:v>0.0043128644724922645</x:v>
      </x:c>
      <x:c r="G347" s="30" t="n">
        <x:v>0.09278976456057449</x:v>
      </x:c>
      <x:c r="H347" s="30" t="n">
        <x:v>0.04647995921658757</x:v>
      </x:c>
      <x:c r="I347" s="30" t="n">
        <x:f>ABS(H347)</x:f>
        <x:v>0.04647995921658757</x:v>
      </x:c>
      <x:c r="J347" s="30" t="n">
        <x:v>0.5193370165745856</x:v>
      </x:c>
      <x:c r="K347" s="30" t="n">
        <x:v>0.001058935699121825</x:v>
      </x:c>
      <x:c r="L347" s="30" t="n">
        <x:v>0.019571586283574142</x:v>
      </x:c>
      <x:c r="M347" s="30" t="n">
        <x:v>0.5012556504269211</x:v>
      </x:c>
      <x:c r="N347" s="19" t="n">
        <x:v>1991</x:v>
      </x:c>
      <x:c r="O347" t="b">
        <x:f>P347="legacy_common_sample_8902245"</x:f>
        <x:v>1</x:v>
      </x:c>
      <x:c r="P347" t="str">
        <x:v>legacy_common_sample_8902245</x:v>
      </x:c>
      <x:c r="Q347" s="74" t="n">
        <x:v>46211.36424368055</x:v>
      </x:c>
      <x:c r="R347" s="19" t="n">
        <x:v>8902245</x:v>
      </x:c>
      <x:c r="S347" t="str">
        <x:v>8f7e606554926462248cbcc654181861438ca768a0063f6b317223ede37d16fb</x:v>
      </x:c>
      <x:c r="T347" t="str">
        <x:v>factor_report/gtja191_batch/gtja_111/ic_summary.csv</x:v>
      </x:c>
    </x:row>
    <x:row r="348">
      <x:c r="A348" s="50" t="n">
        <x:f>IF($P348="legacy_common_sample_8902245",1+COUNTIFS($C$5:$C$546,$C348,$P$5:$P$546,"legacy_common_sample_8902245",$I$5:$I$546,"&gt;"&amp;$I348),"")</x:f>
        <x:v>174</x:v>
      </x:c>
      <x:c r="B348" t="str">
        <x:v>gtja_163</x:v>
      </x:c>
      <x:c r="C348" s="50" t="n">
        <x:v>10</x:v>
      </x:c>
      <x:c r="D348" t="str">
        <x:f>IF(E348&gt;=0,"positive","negative")</x:f>
        <x:v>positive</x:v>
      </x:c>
      <x:c r="E348" s="30" t="n">
        <x:v>0.004280049698009344</x:v>
      </x:c>
      <x:c r="F348" s="30" t="n">
        <x:f>ABS(E348)</x:f>
        <x:v>0.004280049698009344</x:v>
      </x:c>
      <x:c r="G348" s="30" t="n">
        <x:v>0.11505100717817177</x:v>
      </x:c>
      <x:c r="H348" s="30" t="n">
        <x:v>0.037201323160788315</x:v>
      </x:c>
      <x:c r="I348" s="30" t="n">
        <x:f>ABS(H348)</x:f>
        <x:v>0.037201323160788315</x:v>
      </x:c>
      <x:c r="J348" s="30" t="n">
        <x:v>0.5052737317930688</x:v>
      </x:c>
      <x:c r="K348" s="30" t="n">
        <x:v>0.003126232564102723</x:v>
      </x:c>
      <x:c r="L348" s="30" t="n">
        <x:v>0.03237990278166782</x:v>
      </x:c>
      <x:c r="M348" s="30" t="n">
        <x:v>0.5067805123053741</x:v>
      </x:c>
      <x:c r="N348" s="19" t="n">
        <x:v>1991</x:v>
      </x:c>
      <x:c r="O348" t="b">
        <x:f>P348="legacy_common_sample_8902245"</x:f>
        <x:v>1</x:v>
      </x:c>
      <x:c r="P348" t="str">
        <x:v>legacy_common_sample_8902245</x:v>
      </x:c>
      <x:c r="Q348" s="74" t="n">
        <x:v>46211.5122449537</x:v>
      </x:c>
      <x:c r="R348" s="19" t="n">
        <x:v>8902245</x:v>
      </x:c>
      <x:c r="S348" t="str">
        <x:v>8f7e606554926462248cbcc654181861438ca768a0063f6b317223ede37d16fb</x:v>
      </x:c>
      <x:c r="T348" t="str">
        <x:v>factor_report/gtja191_batch/gtja_163/ic_summary.csv</x:v>
      </x:c>
    </x:row>
    <x:row r="349">
      <x:c r="A349" s="50" t="n">
        <x:f>IF($P349="legacy_common_sample_8902245",1+COUNTIFS($C$5:$C$546,$C349,$P$5:$P$546,"legacy_common_sample_8902245",$I$5:$I$546,"&gt;"&amp;$I349),"")</x:f>
        <x:v>175</x:v>
      </x:c>
      <x:c r="B349" t="str">
        <x:v>gtja_172</x:v>
      </x:c>
      <x:c r="C349" s="50" t="n">
        <x:v>10</x:v>
      </x:c>
      <x:c r="D349" t="str">
        <x:f>IF(E349&gt;=0,"positive","negative")</x:f>
        <x:v>negative</x:v>
      </x:c>
      <x:c r="E349" s="30" t="n">
        <x:v>-0.0028721415964441267</x:v>
      </x:c>
      <x:c r="F349" s="30" t="n">
        <x:f>ABS(E349)</x:f>
        <x:v>0.0028721415964441267</x:v>
      </x:c>
      <x:c r="G349" s="30" t="n">
        <x:v>0.08067057032116376</x:v>
      </x:c>
      <x:c r="H349" s="30" t="n">
        <x:v>-0.03560333818156516</x:v>
      </x:c>
      <x:c r="I349" s="30" t="n">
        <x:f>ABS(H349)</x:f>
        <x:v>0.03560333818156516</x:v>
      </x:c>
      <x:c r="J349" s="30" t="n">
        <x:v>0.4630838774485183</x:v>
      </x:c>
      <x:c r="K349" s="30" t="n">
        <x:v>-0.00044559110151065764</x:v>
      </x:c>
      <x:c r="L349" s="30" t="n">
        <x:v>-0.006544591933648579</x:v>
      </x:c>
      <x:c r="M349" s="30" t="n">
        <x:v>0.46559517830236063</x:v>
      </x:c>
      <x:c r="N349" s="19" t="n">
        <x:v>1991</x:v>
      </x:c>
      <x:c r="O349" t="b">
        <x:f>P349="legacy_common_sample_8902245"</x:f>
        <x:v>1</x:v>
      </x:c>
      <x:c r="P349" t="str">
        <x:v>legacy_common_sample_8902245</x:v>
      </x:c>
      <x:c r="Q349" s="74" t="n">
        <x:v>46211.5309509838</x:v>
      </x:c>
      <x:c r="R349" s="19" t="n">
        <x:v>8902245</x:v>
      </x:c>
      <x:c r="S349" t="str">
        <x:v>8f7e606554926462248cbcc654181861438ca768a0063f6b317223ede37d16fb</x:v>
      </x:c>
      <x:c r="T349" t="str">
        <x:v>factor_report/gtja191_batch/gtja_172/ic_summary.csv</x:v>
      </x:c>
    </x:row>
    <x:row r="350">
      <x:c r="A350" s="50" t="n">
        <x:f>IF($P350="legacy_common_sample_8902245",1+COUNTIFS($C$5:$C$546,$C350,$P$5:$P$546,"legacy_common_sample_8902245",$I$5:$I$546,"&gt;"&amp;$I350),"")</x:f>
        <x:v>176</x:v>
      </x:c>
      <x:c r="B350" t="str">
        <x:v>gtja_002</x:v>
      </x:c>
      <x:c r="C350" s="50" t="n">
        <x:v>10</x:v>
      </x:c>
      <x:c r="D350" t="str">
        <x:f>IF(E350&gt;=0,"positive","negative")</x:f>
        <x:v>positive</x:v>
      </x:c>
      <x:c r="E350" s="30" t="n">
        <x:v>0.003331327897083199</x:v>
      </x:c>
      <x:c r="F350" s="30" t="n">
        <x:f>ABS(E350)</x:f>
        <x:v>0.003331327897083199</x:v>
      </x:c>
      <x:c r="G350" s="30" t="n">
        <x:v>0.09708540008217934</x:v>
      </x:c>
      <x:c r="H350" s="30" t="n">
        <x:v>0.03431337661752796</x:v>
      </x:c>
      <x:c r="I350" s="30" t="n">
        <x:f>ABS(H350)</x:f>
        <x:v>0.03431337661752796</x:v>
      </x:c>
      <x:c r="J350" s="30" t="n">
        <x:v>0.5163234555499749</x:v>
      </x:c>
      <x:c r="K350" s="30" t="n">
        <x:v>0.0020134280963686945</x:v>
      </x:c>
      <x:c r="L350" s="30" t="n">
        <x:v>0.024743734326960344</x:v>
      </x:c>
      <x:c r="M350" s="30" t="n">
        <x:v>0.5138121546961326</x:v>
      </x:c>
      <x:c r="N350" s="19" t="n">
        <x:v>1991</x:v>
      </x:c>
      <x:c r="O350" t="b">
        <x:f>P350="legacy_common_sample_8902245"</x:f>
        <x:v>1</x:v>
      </x:c>
      <x:c r="P350" t="str">
        <x:v>legacy_common_sample_8902245</x:v>
      </x:c>
      <x:c r="Q350" s="74" t="n">
        <x:v>46211.155761828704</x:v>
      </x:c>
      <x:c r="R350" s="19" t="n">
        <x:v>8902245</x:v>
      </x:c>
      <x:c r="S350" t="str">
        <x:v>8f7e606554926462248cbcc654181861438ca768a0063f6b317223ede37d16fb</x:v>
      </x:c>
      <x:c r="T350" t="str">
        <x:v>factor_report/gtja191_batch/gtja_002/ic_summary.csv</x:v>
      </x:c>
    </x:row>
    <x:row r="351">
      <x:c r="A351" s="50" t="n">
        <x:f>IF($P351="legacy_common_sample_8902245",1+COUNTIFS($C$5:$C$546,$C351,$P$5:$P$546,"legacy_common_sample_8902245",$I$5:$I$546,"&gt;"&amp;$I351),"")</x:f>
        <x:v>177</x:v>
      </x:c>
      <x:c r="B351" t="str">
        <x:v>gtja_186</x:v>
      </x:c>
      <x:c r="C351" s="50" t="n">
        <x:v>10</x:v>
      </x:c>
      <x:c r="D351" t="str">
        <x:f>IF(E351&gt;=0,"positive","negative")</x:f>
        <x:v>negative</x:v>
      </x:c>
      <x:c r="E351" s="30" t="n">
        <x:v>-0.0023580811704866154</x:v>
      </x:c>
      <x:c r="F351" s="30" t="n">
        <x:f>ABS(E351)</x:f>
        <x:v>0.0023580811704866154</x:v>
      </x:c>
      <x:c r="G351" s="30" t="n">
        <x:v>0.08103642870233961</x:v>
      </x:c>
      <x:c r="H351" s="30" t="n">
        <x:v>-0.02909902630517249</x:v>
      </x:c>
      <x:c r="I351" s="30" t="n">
        <x:f>ABS(H351)</x:f>
        <x:v>0.02909902630517249</x:v>
      </x:c>
      <x:c r="J351" s="30" t="n">
        <x:v>0.4635861376192868</x:v>
      </x:c>
      <x:c r="K351" s="30" t="n">
        <x:v>0.0017179931596794109</x:v>
      </x:c>
      <x:c r="L351" s="30" t="n">
        <x:v>0.02527763616109617</x:v>
      </x:c>
      <x:c r="M351" s="30" t="n">
        <x:v>0.48669010547463587</x:v>
      </x:c>
      <x:c r="N351" s="19" t="n">
        <x:v>1991</x:v>
      </x:c>
      <x:c r="O351" t="b">
        <x:f>P351="legacy_common_sample_8902245"</x:f>
        <x:v>1</x:v>
      </x:c>
      <x:c r="P351" t="str">
        <x:v>legacy_common_sample_8902245</x:v>
      </x:c>
      <x:c r="Q351" s="74" t="n">
        <x:v>46211.5485016088</x:v>
      </x:c>
      <x:c r="R351" s="19" t="n">
        <x:v>8902245</x:v>
      </x:c>
      <x:c r="S351" t="str">
        <x:v>8f7e606554926462248cbcc654181861438ca768a0063f6b317223ede37d16fb</x:v>
      </x:c>
      <x:c r="T351" t="str">
        <x:v>factor_report/gtja191_batch/gtja_186/ic_summary.csv</x:v>
      </x:c>
    </x:row>
    <x:row r="352">
      <x:c r="A352" s="50" t="n">
        <x:f>IF($P352="legacy_common_sample_8902245",1+COUNTIFS($C$5:$C$546,$C352,$P$5:$P$546,"legacy_common_sample_8902245",$I$5:$I$546,"&gt;"&amp;$I352),"")</x:f>
        <x:v>178</x:v>
      </x:c>
      <x:c r="B352" t="str">
        <x:v>gtja_119</x:v>
      </x:c>
      <x:c r="C352" s="50" t="n">
        <x:v>10</x:v>
      </x:c>
      <x:c r="D352" t="str">
        <x:f>IF(E352&gt;=0,"positive","negative")</x:f>
        <x:v>positive</x:v>
      </x:c>
      <x:c r="E352" s="30" t="n">
        <x:v>0.0011128183046609727</x:v>
      </x:c>
      <x:c r="F352" s="30" t="n">
        <x:f>ABS(E352)</x:f>
        <x:v>0.0011128183046609727</x:v>
      </x:c>
      <x:c r="G352" s="30" t="n">
        <x:v>0.05215670566259264</x:v>
      </x:c>
      <x:c r="H352" s="30" t="n">
        <x:v>0.021336054310253306</x:v>
      </x:c>
      <x:c r="I352" s="30" t="n">
        <x:f>ABS(H352)</x:f>
        <x:v>0.021336054310253306</x:v>
      </x:c>
      <x:c r="J352" s="30" t="n">
        <x:v>0.5143144148669011</x:v>
      </x:c>
      <x:c r="K352" s="30" t="n">
        <x:v>0.0004498752061187341</x:v>
      </x:c>
      <x:c r="L352" s="30" t="n">
        <x:v>0.010578173882792438</x:v>
      </x:c>
      <x:c r="M352" s="30" t="n">
        <x:v>0.5138121546961326</x:v>
      </x:c>
      <x:c r="N352" s="19" t="n">
        <x:v>1991</x:v>
      </x:c>
      <x:c r="O352" t="b">
        <x:f>P352="legacy_common_sample_8902245"</x:f>
        <x:v>1</x:v>
      </x:c>
      <x:c r="P352" t="str">
        <x:v>legacy_common_sample_8902245</x:v>
      </x:c>
      <x:c r="Q352" s="74" t="n">
        <x:v>46211.39142025463</x:v>
      </x:c>
      <x:c r="R352" s="19" t="n">
        <x:v>8902245</x:v>
      </x:c>
      <x:c r="S352" t="str">
        <x:v>8f7e606554926462248cbcc654181861438ca768a0063f6b317223ede37d16fb</x:v>
      </x:c>
      <x:c r="T352" t="str">
        <x:v>factor_report/gtja191_batch/gtja_119/ic_summary.csv</x:v>
      </x:c>
    </x:row>
    <x:row r="353">
      <x:c r="A353" s="50" t="n">
        <x:f>IF($P353="legacy_common_sample_8902245",1+COUNTIFS($C$5:$C$546,$C353,$P$5:$P$546,"legacy_common_sample_8902245",$I$5:$I$546,"&gt;"&amp;$I353),"")</x:f>
        <x:v>179</x:v>
      </x:c>
      <x:c r="B353" t="str">
        <x:v>gtja_171</x:v>
      </x:c>
      <x:c r="C353" s="50" t="n">
        <x:v>10</x:v>
      </x:c>
      <x:c r="D353" t="str">
        <x:f>IF(E353&gt;=0,"positive","negative")</x:f>
        <x:v>negative</x:v>
      </x:c>
      <x:c r="E353" s="30" t="n">
        <x:v>-0.0015023745819483184</x:v>
      </x:c>
      <x:c r="F353" s="30" t="n">
        <x:f>ABS(E353)</x:f>
        <x:v>0.0015023745819483184</x:v>
      </x:c>
      <x:c r="G353" s="30" t="n">
        <x:v>0.0979458021620016</x:v>
      </x:c>
      <x:c r="H353" s="30" t="n">
        <x:v>-0.01533883585396955</x:v>
      </x:c>
      <x:c r="I353" s="30" t="n">
        <x:f>ABS(H353)</x:f>
        <x:v>0.01533883585396955</x:v>
      </x:c>
      <x:c r="J353" s="30" t="n">
        <x:v>0.47965846308387744</x:v>
      </x:c>
      <x:c r="K353" s="30" t="n">
        <x:v>0.008874583085112828</x:v>
      </x:c>
      <x:c r="L353" s="30" t="n">
        <x:v>0.19638867069616261</x:v>
      </x:c>
      <x:c r="M353" s="30" t="n">
        <x:v>0.5946760421898544</x:v>
      </x:c>
      <x:c r="N353" s="19" t="n">
        <x:v>1991</x:v>
      </x:c>
      <x:c r="O353" t="b">
        <x:f>P353="legacy_common_sample_8902245"</x:f>
        <x:v>1</x:v>
      </x:c>
      <x:c r="P353" t="str">
        <x:v>legacy_common_sample_8902245</x:v>
      </x:c>
      <x:c r="Q353" s="74" t="n">
        <x:v>46211.52808474537</x:v>
      </x:c>
      <x:c r="R353" s="19" t="n">
        <x:v>8902245</x:v>
      </x:c>
      <x:c r="S353" t="str">
        <x:v>8f7e606554926462248cbcc654181861438ca768a0063f6b317223ede37d16fb</x:v>
      </x:c>
      <x:c r="T353" t="str">
        <x:v>factor_report/gtja191_batch/gtja_171/ic_summary.csv</x:v>
      </x:c>
    </x:row>
    <x:row r="354">
      <x:c r="A354" s="50" t="n">
        <x:f>IF($P354="legacy_common_sample_8902245",1+COUNTIFS($C$5:$C$546,$C354,$P$5:$P$546,"legacy_common_sample_8902245",$I$5:$I$546,"&gt;"&amp;$I354),"")</x:f>
        <x:v>180</x:v>
      </x:c>
      <x:c r="B354" t="str">
        <x:v>gtja_138</x:v>
      </x:c>
      <x:c r="C354" s="50" t="n">
        <x:v>10</x:v>
      </x:c>
      <x:c r="D354" t="str">
        <x:f>IF(E354&gt;=0,"positive","negative")</x:f>
        <x:v>positive</x:v>
      </x:c>
      <x:c r="E354" s="30" t="n">
        <x:v>0.0028396447418830703</x:v>
      </x:c>
      <x:c r="F354" s="30" t="n">
        <x:f>ABS(E354)</x:f>
        <x:v>0.0028396447418830703</x:v>
      </x:c>
      <x:c r="G354" s="30" t="n">
        <x:v>0.22902868897523224</x:v>
      </x:c>
      <x:c r="H354" s="30" t="n">
        <x:v>0.012398642085359695</x:v>
      </x:c>
      <x:c r="I354" s="30" t="n">
        <x:f>ABS(H354)</x:f>
        <x:v>0.012398642085359695</x:v>
      </x:c>
      <x:c r="J354" s="30" t="n">
        <x:v>0.5138961719979025</x:v>
      </x:c>
      <x:c r="K354" s="30" t="n">
        <x:v>-0.002562166413133084</x:v>
      </x:c>
      <x:c r="L354" s="30" t="n">
        <x:v>-0.01103966878653815</x:v>
      </x:c>
      <x:c r="M354" s="30" t="n">
        <x:v>0.5102254850550603</x:v>
      </x:c>
      <x:c r="N354" s="19" t="n">
        <x:v>1907</x:v>
      </x:c>
      <x:c r="O354" t="b">
        <x:f>P354="legacy_common_sample_8902245"</x:f>
        <x:v>1</x:v>
      </x:c>
      <x:c r="P354" t="str">
        <x:v>legacy_common_sample_8902245</x:v>
      </x:c>
      <x:c r="Q354" s="74" t="n">
        <x:v>46211.431942800926</x:v>
      </x:c>
      <x:c r="R354" s="19" t="n">
        <x:v>8902245</x:v>
      </x:c>
      <x:c r="S354" t="str">
        <x:v>8f7e606554926462248cbcc654181861438ca768a0063f6b317223ede37d16fb</x:v>
      </x:c>
      <x:c r="T354" t="str">
        <x:v>factor_report/gtja191_batch/gtja_138/ic_summary.csv</x:v>
      </x:c>
    </x:row>
    <x:row r="355">
      <x:c r="A355" s="50" t="n">
        <x:f>IF($P355="legacy_common_sample_8902245",1+COUNTIFS($C$5:$C$546,$C355,$P$5:$P$546,"legacy_common_sample_8902245",$I$5:$I$546,"&gt;"&amp;$I355),"")</x:f>
        <x:v>181</x:v>
      </x:c>
      <x:c r="B355" t="str">
        <x:v>gtja_142</x:v>
      </x:c>
      <x:c r="C355" s="50" t="n">
        <x:v>10</x:v>
      </x:c>
      <x:c r="D355" t="str">
        <x:f>IF(E355&gt;=0,"positive","negative")</x:f>
        <x:v>negative</x:v>
      </x:c>
      <x:c r="E355" s="30" t="n">
        <x:v>-0.0007659892413414567</x:v>
      </x:c>
      <x:c r="F355" s="30" t="n">
        <x:f>ABS(E355)</x:f>
        <x:v>0.0007659892413414567</x:v>
      </x:c>
      <x:c r="G355" s="30" t="n">
        <x:v>0.10218567158630457</x:v>
      </x:c>
      <x:c r="H355" s="30" t="n">
        <x:v>-0.007496053306206566</x:v>
      </x:c>
      <x:c r="I355" s="30" t="n">
        <x:f>ABS(H355)</x:f>
        <x:v>0.007496053306206566</x:v>
      </x:c>
      <x:c r="J355" s="30" t="n">
        <x:v>0.49874434957307884</x:v>
      </x:c>
      <x:c r="K355" s="30" t="n">
        <x:v>0.013173119789642525</x:v>
      </x:c>
      <x:c r="L355" s="30" t="n">
        <x:v>0.167516386237305</x:v>
      </x:c>
      <x:c r="M355" s="30" t="n">
        <x:v>0.5710698141637368</x:v>
      </x:c>
      <x:c r="N355" s="19" t="n">
        <x:v>1991</x:v>
      </x:c>
      <x:c r="O355" t="b">
        <x:f>P355="legacy_common_sample_8902245"</x:f>
        <x:v>1</x:v>
      </x:c>
      <x:c r="P355" t="str">
        <x:v>legacy_common_sample_8902245</x:v>
      </x:c>
      <x:c r="Q355" s="74" t="n">
        <x:v>46211.45015293981</x:v>
      </x:c>
      <x:c r="R355" s="19" t="n">
        <x:v>8902245</x:v>
      </x:c>
      <x:c r="S355" t="str">
        <x:v>8f7e606554926462248cbcc654181861438ca768a0063f6b317223ede37d16fb</x:v>
      </x:c>
      <x:c r="T355" t="str">
        <x:v>factor_report/gtja191_batch/gtja_142/ic_summary.csv</x:v>
      </x:c>
    </x:row>
    <x:row r="356">
      <x:c r="A356" s="50" t="n">
        <x:f>IF($P356="legacy_common_sample_8902245",1+COUNTIFS($C$5:$C$546,$C356,$P$5:$P$546,"legacy_common_sample_8902245",$I$5:$I$546,"&gt;"&amp;$I356),"")</x:f>
        <x:v>182</x:v>
      </x:c>
      <x:c r="B356" t="str">
        <x:v>gtja_004</x:v>
      </x:c>
      <x:c r="C356" s="50" t="n">
        <x:v>10</x:v>
      </x:c>
      <x:c r="D356" t="str">
        <x:f>IF(E356&gt;=0,"positive","negative")</x:f>
        <x:v>positive</x:v>
      </x:c>
      <x:c r="E356" s="30" t="n">
        <x:v>0.00039597296901405636</x:v>
      </x:c>
      <x:c r="F356" s="30" t="n">
        <x:f>ABS(E356)</x:f>
        <x:v>0.00039597296901405636</x:v>
      </x:c>
      <x:c r="G356" s="30" t="n">
        <x:v>0.06728270365550235</x:v>
      </x:c>
      <x:c r="H356" s="30" t="n">
        <x:v>0.005885211911838413</x:v>
      </x:c>
      <x:c r="I356" s="30" t="n">
        <x:f>ABS(H356)</x:f>
        <x:v>0.005885211911838413</x:v>
      </x:c>
      <x:c r="J356" s="30" t="n">
        <x:v>0.46609743847312907</x:v>
      </x:c>
      <x:c r="K356" s="30" t="n">
        <x:v>0.00030514031299232007</x:v>
      </x:c>
      <x:c r="L356" s="30" t="n">
        <x:v>0.005409805671114206</x:v>
      </x:c>
      <x:c r="M356" s="30" t="n">
        <x:v>0.47011551983927674</x:v>
      </x:c>
      <x:c r="N356" s="19" t="n">
        <x:v>1991</x:v>
      </x:c>
      <x:c r="O356" t="b">
        <x:f>P356="legacy_common_sample_8902245"</x:f>
        <x:v>1</x:v>
      </x:c>
      <x:c r="P356" t="str">
        <x:v>legacy_common_sample_8902245</x:v>
      </x:c>
      <x:c r="Q356" s="74" t="n">
        <x:v>46211.15884189815</x:v>
      </x:c>
      <x:c r="R356" s="19" t="n">
        <x:v>8902245</x:v>
      </x:c>
      <x:c r="S356" t="str">
        <x:v>8f7e606554926462248cbcc654181861438ca768a0063f6b317223ede37d16fb</x:v>
      </x:c>
      <x:c r="T356" t="str">
        <x:v>factor_report/gtja191_batch/gtja_004/ic_summary.csv</x:v>
      </x:c>
    </x:row>
    <x:row r="357">
      <x:c r="A357" s="50" t="str">
        <x:f>IF($P357="legacy_common_sample_8902245",1+COUNTIFS($C$5:$C$546,$C357,$P$5:$P$546,"legacy_common_sample_8902245",$I$5:$I$546,"&gt;"&amp;$I357),"")</x:f>
      </x:c>
      <x:c r="B357" t="str">
        <x:v>gtja_005</x:v>
      </x:c>
      <x:c r="C357" s="50" t="n">
        <x:v>10</x:v>
      </x:c>
      <x:c r="D357" t="str">
        <x:f>IF(E357&gt;=0,"positive","negative")</x:f>
        <x:v>positive</x:v>
      </x:c>
      <x:c r="E357" s="30" t="n">
        <x:v>0.03902523523078319</x:v>
      </x:c>
      <x:c r="F357" s="30" t="n">
        <x:f>ABS(E357)</x:f>
        <x:v>0.03902523523078319</x:v>
      </x:c>
      <x:c r="G357" s="30" t="n">
        <x:v>0.06908063952007329</x:v>
      </x:c>
      <x:c r="H357" s="30" t="n">
        <x:v>0.5649229002786421</x:v>
      </x:c>
      <x:c r="I357" s="30" t="n">
        <x:f>ABS(H357)</x:f>
        <x:v>0.5649229002786421</x:v>
      </x:c>
      <x:c r="J357" s="30" t="n">
        <x:v>0.7246266767906859</x:v>
      </x:c>
      <x:c r="K357" s="30" t="n">
        <x:v>0.019479513482653334</x:v>
      </x:c>
      <x:c r="L357" s="30" t="n">
        <x:v>0.3247311660899429</x:v>
      </x:c>
      <x:c r="M357" s="30" t="n">
        <x:v>0.6287015945330297</x:v>
      </x:c>
      <x:c r="N357" s="19" t="n">
        <x:v>3951</x:v>
      </x:c>
      <x:c r="O357" t="b">
        <x:f>P357="legacy_common_sample_8902245"</x:f>
        <x:v>0</x:v>
      </x:c>
      <x:c r="P357" t="str">
        <x:v>latest_context_sample_13231952</x:v>
      </x:c>
      <x:c r="Q357" s="74" t="n">
        <x:v>46230.276212083336</x:v>
      </x:c>
      <x:c r="R357" s="19" t="n">
        <x:v>13231952</x:v>
      </x:c>
      <x:c r="S357" t="str">
        <x:v>c89ec58a501c3ee9d35b4d16a82c2c097120d5210dcc66310d77aa437a3c789b</x:v>
      </x:c>
      <x:c r="T357" t="str">
        <x:v>factor_report/gtja191_batch/gtja_005/ic_summary.csv</x:v>
      </x:c>
    </x:row>
    <x:row r="358">
      <x:c r="A358" s="50" t="str">
        <x:f>IF($P358="legacy_common_sample_8902245",1+COUNTIFS($C$5:$C$546,$C358,$P$5:$P$546,"legacy_common_sample_8902245",$I$5:$I$546,"&gt;"&amp;$I358),"")</x:f>
      </x:c>
      <x:c r="B358" t="str">
        <x:v>gtja_012</x:v>
      </x:c>
      <x:c r="C358" s="50" t="n">
        <x:v>10</x:v>
      </x:c>
      <x:c r="D358" t="str">
        <x:f>IF(E358&gt;=0,"positive","negative")</x:f>
        <x:v>positive</x:v>
      </x:c>
      <x:c r="E358" s="30" t="n">
        <x:v>0.031925398033713505</x:v>
      </x:c>
      <x:c r="F358" s="30" t="n">
        <x:f>ABS(E358)</x:f>
        <x:v>0.031925398033713505</x:v>
      </x:c>
      <x:c r="G358" s="30" t="n">
        <x:v>0.10539465741221862</x:v>
      </x:c>
      <x:c r="H358" s="30" t="n">
        <x:v>0.3029128688074499</x:v>
      </x:c>
      <x:c r="I358" s="30" t="n">
        <x:f>ABS(H358)</x:f>
        <x:v>0.3029128688074499</x:v>
      </x:c>
      <x:c r="J358" s="30" t="n">
        <x:v>0.6289546950139205</x:v>
      </x:c>
      <x:c r="K358" s="30" t="n">
        <x:v>0.03179679296874331</x:v>
      </x:c>
      <x:c r="L358" s="30" t="n">
        <x:v>0.30913731709488396</x:v>
      </x:c>
      <x:c r="M358" s="30" t="n">
        <x:v>0.6370539104024298</x:v>
      </x:c>
      <x:c r="N358" s="19" t="n">
        <x:v>3951</x:v>
      </x:c>
      <x:c r="O358" t="b">
        <x:f>P358="legacy_common_sample_8902245"</x:f>
        <x:v>0</x:v>
      </x:c>
      <x:c r="P358" t="str">
        <x:v>latest_context_sample_13231952</x:v>
      </x:c>
      <x:c r="Q358" s="74" t="n">
        <x:v>46230.30990840278</x:v>
      </x:c>
      <x:c r="R358" s="19" t="n">
        <x:v>13231952</x:v>
      </x:c>
      <x:c r="S358" t="str">
        <x:v>c89ec58a501c3ee9d35b4d16a82c2c097120d5210dcc66310d77aa437a3c789b</x:v>
      </x:c>
      <x:c r="T358" t="str">
        <x:v>factor_report/gtja191_batch/gtja_012/ic_summary.csv</x:v>
      </x:c>
    </x:row>
    <x:row r="359">
      <x:c r="A359" s="50" t="str">
        <x:f>IF($P359="legacy_common_sample_8902245",1+COUNTIFS($C$5:$C$546,$C359,$P$5:$P$546,"legacy_common_sample_8902245",$I$5:$I$546,"&gt;"&amp;$I359),"")</x:f>
      </x:c>
      <x:c r="B359" t="str">
        <x:v>gtja_007</x:v>
      </x:c>
      <x:c r="C359" s="50" t="n">
        <x:v>10</x:v>
      </x:c>
      <x:c r="D359" t="str">
        <x:f>IF(E359&gt;=0,"positive","negative")</x:f>
        <x:v>positive</x:v>
      </x:c>
      <x:c r="E359" s="30" t="n">
        <x:v>0.02179431632463765</x:v>
      </x:c>
      <x:c r="F359" s="30" t="n">
        <x:f>ABS(E359)</x:f>
        <x:v>0.02179431632463765</x:v>
      </x:c>
      <x:c r="G359" s="30" t="n">
        <x:v>0.08047998351579305</x:v>
      </x:c>
      <x:c r="H359" s="30" t="n">
        <x:v>0.2708041847493772</x:v>
      </x:c>
      <x:c r="I359" s="30" t="n">
        <x:f>ABS(H359)</x:f>
        <x:v>0.2708041847493772</x:v>
      </x:c>
      <x:c r="J359" s="30" t="n">
        <x:v>0.6125031637560111</x:v>
      </x:c>
      <x:c r="K359" s="30" t="n">
        <x:v>0.011996509866240922</x:v>
      </x:c>
      <x:c r="L359" s="30" t="n">
        <x:v>0.17434296544628516</x:v>
      </x:c>
      <x:c r="M359" s="30" t="n">
        <x:v>0.5651733738294102</x:v>
      </x:c>
      <x:c r="N359" s="19" t="n">
        <x:v>3951</x:v>
      </x:c>
      <x:c r="O359" t="b">
        <x:f>P359="legacy_common_sample_8902245"</x:f>
        <x:v>0</x:v>
      </x:c>
      <x:c r="P359" t="str">
        <x:v>latest_context_sample_13231952</x:v>
      </x:c>
      <x:c r="Q359" s="74" t="n">
        <x:v>46230.29278930555</x:v>
      </x:c>
      <x:c r="R359" s="19" t="n">
        <x:v>13231952</x:v>
      </x:c>
      <x:c r="S359" t="str">
        <x:v>c89ec58a501c3ee9d35b4d16a82c2c097120d5210dcc66310d77aa437a3c789b</x:v>
      </x:c>
      <x:c r="T359" t="str">
        <x:v>factor_report/gtja191_batch/gtja_007/ic_summary.csv</x:v>
      </x:c>
    </x:row>
    <x:row r="360">
      <x:c r="A360" s="50" t="str">
        <x:f>IF($P360="legacy_common_sample_8902245",1+COUNTIFS($C$5:$C$546,$C360,$P$5:$P$546,"legacy_common_sample_8902245",$I$5:$I$546,"&gt;"&amp;$I360),"")</x:f>
      </x:c>
      <x:c r="B360" t="str">
        <x:v>gtja_015</x:v>
      </x:c>
      <x:c r="C360" s="50" t="n">
        <x:v>10</x:v>
      </x:c>
      <x:c r="D360" t="str">
        <x:f>IF(E360&gt;=0,"positive","negative")</x:f>
        <x:v>positive</x:v>
      </x:c>
      <x:c r="E360" s="30" t="n">
        <x:v>0.016707428436345515</x:v>
      </x:c>
      <x:c r="F360" s="30" t="n">
        <x:f>ABS(E360)</x:f>
        <x:v>0.016707428436345515</x:v>
      </x:c>
      <x:c r="G360" s="30" t="n">
        <x:v>0.06578251278786885</x:v>
      </x:c>
      <x:c r="H360" s="30" t="n">
        <x:v>0.25397978472215765</x:v>
      </x:c>
      <x:c r="I360" s="30" t="n">
        <x:f>ABS(H360)</x:f>
        <x:v>0.25397978472215765</x:v>
      </x:c>
      <x:c r="J360" s="30" t="n">
        <x:v>0.6350291065553024</x:v>
      </x:c>
      <x:c r="K360" s="30" t="n">
        <x:v>0.012487217250518972</x:v>
      </x:c>
      <x:c r="L360" s="30" t="n">
        <x:v>0.20029102850837385</x:v>
      </x:c>
      <x:c r="M360" s="30" t="n">
        <x:v>0.5801063022019742</x:v>
      </x:c>
      <x:c r="N360" s="19" t="n">
        <x:v>3951</x:v>
      </x:c>
      <x:c r="O360" t="b">
        <x:f>P360="legacy_common_sample_8902245"</x:f>
        <x:v>0</x:v>
      </x:c>
      <x:c r="P360" t="str">
        <x:v>latest_context_sample_13231952</x:v>
      </x:c>
      <x:c r="Q360" s="74" t="n">
        <x:v>46230.32700612269</x:v>
      </x:c>
      <x:c r="R360" s="19" t="n">
        <x:v>13231952</x:v>
      </x:c>
      <x:c r="S360" t="str">
        <x:v>c89ec58a501c3ee9d35b4d16a82c2c097120d5210dcc66310d77aa437a3c789b</x:v>
      </x:c>
      <x:c r="T360" t="str">
        <x:v>factor_report/gtja191_batch/gtja_015/ic_summary.csv</x:v>
      </x:c>
    </x:row>
    <x:row r="361">
      <x:c r="A361" s="50" t="n">
        <x:f>IF($P361="legacy_common_sample_8902245",1+COUNTIFS($C$5:$C$546,$C361,$P$5:$P$546,"legacy_common_sample_8902245",$I$5:$I$546,"&gt;"&amp;$I361),"")</x:f>
        <x:v>1</x:v>
      </x:c>
      <x:c r="B361" t="str">
        <x:v>gtja_099</x:v>
      </x:c>
      <x:c r="C361" s="50" t="n">
        <x:v>20</x:v>
      </x:c>
      <x:c r="D361" t="str">
        <x:f>IF(E361&gt;=0,"positive","negative")</x:f>
        <x:v>positive</x:v>
      </x:c>
      <x:c r="E361" s="30" t="n">
        <x:v>0.05377091383717746</x:v>
      </x:c>
      <x:c r="F361" s="30" t="n">
        <x:f>ABS(E361)</x:f>
        <x:v>0.05377091383717746</x:v>
      </x:c>
      <x:c r="G361" s="30" t="n">
        <x:v>0.06086357969076099</x:v>
      </x:c>
      <x:c r="H361" s="30" t="n">
        <x:v>0.8834661732086687</x:v>
      </x:c>
      <x:c r="I361" s="30" t="n">
        <x:f>ABS(H361)</x:f>
        <x:v>0.8834661732086687</x:v>
      </x:c>
      <x:c r="J361" s="30" t="n">
        <x:v>0.8096920747097426</x:v>
      </x:c>
      <x:c r="K361" s="30" t="n">
        <x:v>0.025400174579974764</x:v>
      </x:c>
      <x:c r="L361" s="30" t="n">
        <x:v>0.46386913694587983</x:v>
      </x:c>
      <x:c r="M361" s="30" t="n">
        <x:v>0.673902069661787</x:v>
      </x:c>
      <x:c r="N361" s="19" t="n">
        <x:v>1981</x:v>
      </x:c>
      <x:c r="O361" t="b">
        <x:f>P361="legacy_common_sample_8902245"</x:f>
        <x:v>1</x:v>
      </x:c>
      <x:c r="P361" t="str">
        <x:v>legacy_common_sample_8902245</x:v>
      </x:c>
      <x:c r="Q361" s="74" t="n">
        <x:v>46211.34822918982</x:v>
      </x:c>
      <x:c r="R361" s="19" t="n">
        <x:v>8902245</x:v>
      </x:c>
      <x:c r="S361" t="str">
        <x:v>8f7e606554926462248cbcc654181861438ca768a0063f6b317223ede37d16fb</x:v>
      </x:c>
      <x:c r="T361" t="str">
        <x:v>factor_report/gtja191_batch/gtja_099/ic_summary.csv</x:v>
      </x:c>
    </x:row>
    <x:row r="362">
      <x:c r="A362" s="50" t="n">
        <x:f>IF($P362="legacy_common_sample_8902245",1+COUNTIFS($C$5:$C$546,$C362,$P$5:$P$546,"legacy_common_sample_8902245",$I$5:$I$546,"&gt;"&amp;$I362),"")</x:f>
        <x:v>2</x:v>
      </x:c>
      <x:c r="B362" t="str">
        <x:v>gtja_083</x:v>
      </x:c>
      <x:c r="C362" s="50" t="n">
        <x:v>20</x:v>
      </x:c>
      <x:c r="D362" t="str">
        <x:f>IF(E362&gt;=0,"positive","negative")</x:f>
        <x:v>positive</x:v>
      </x:c>
      <x:c r="E362" s="30" t="n">
        <x:v>0.05278327687859521</x:v>
      </x:c>
      <x:c r="F362" s="30" t="n">
        <x:f>ABS(E362)</x:f>
        <x:v>0.05278327687859521</x:v>
      </x:c>
      <x:c r="G362" s="30" t="n">
        <x:v>0.06044424555546098</x:v>
      </x:c>
      <x:c r="H362" s="30" t="n">
        <x:v>0.8732556158743613</x:v>
      </x:c>
      <x:c r="I362" s="30" t="n">
        <x:f>ABS(H362)</x:f>
        <x:v>0.8732556158743613</x:v>
      </x:c>
      <x:c r="J362" s="30" t="n">
        <x:v>0.8081776880363453</x:v>
      </x:c>
      <x:c r="K362" s="30" t="n">
        <x:v>0.02394751067385203</x:v>
      </x:c>
      <x:c r="L362" s="30" t="n">
        <x:v>0.4424582379651176</x:v>
      </x:c>
      <x:c r="M362" s="30" t="n">
        <x:v>0.6597677940434125</x:v>
      </x:c>
      <x:c r="N362" s="19" t="n">
        <x:v>1981</x:v>
      </x:c>
      <x:c r="O362" t="b">
        <x:f>P362="legacy_common_sample_8902245"</x:f>
        <x:v>1</x:v>
      </x:c>
      <x:c r="P362" t="str">
        <x:v>legacy_common_sample_8902245</x:v>
      </x:c>
      <x:c r="Q362" s="74" t="n">
        <x:v>46211.31746125</x:v>
      </x:c>
      <x:c r="R362" s="19" t="n">
        <x:v>8902245</x:v>
      </x:c>
      <x:c r="S362" t="str">
        <x:v>8f7e606554926462248cbcc654181861438ca768a0063f6b317223ede37d16fb</x:v>
      </x:c>
      <x:c r="T362" t="str">
        <x:v>factor_report/gtja191_batch/gtja_083/ic_summary.csv</x:v>
      </x:c>
    </x:row>
    <x:row r="363">
      <x:c r="A363" s="50" t="n">
        <x:f>IF($P363="legacy_common_sample_8902245",1+COUNTIFS($C$5:$C$546,$C363,$P$5:$P$546,"legacy_common_sample_8902245",$I$5:$I$546,"&gt;"&amp;$I363),"")</x:f>
        <x:v>3</x:v>
      </x:c>
      <x:c r="B363" t="str">
        <x:v>gtja_062</x:v>
      </x:c>
      <x:c r="C363" s="50" t="n">
        <x:v>20</x:v>
      </x:c>
      <x:c r="D363" t="str">
        <x:f>IF(E363&gt;=0,"positive","negative")</x:f>
        <x:v>positive</x:v>
      </x:c>
      <x:c r="E363" s="30" t="n">
        <x:v>0.04954705953979472</x:v>
      </x:c>
      <x:c r="F363" s="30" t="n">
        <x:f>ABS(E363)</x:f>
        <x:v>0.04954705953979472</x:v>
      </x:c>
      <x:c r="G363" s="30" t="n">
        <x:v>0.05959154420453773</x:v>
      </x:c>
      <x:c r="H363" s="30" t="n">
        <x:v>0.8314444641631195</x:v>
      </x:c>
      <x:c r="I363" s="30" t="n">
        <x:f>ABS(H363)</x:f>
        <x:v>0.8314444641631195</x:v>
      </x:c>
      <x:c r="J363" s="30" t="n">
        <x:v>0.8101968702675416</x:v>
      </x:c>
      <x:c r="K363" s="30" t="n">
        <x:v>0.024972285268116227</x:v>
      </x:c>
      <x:c r="L363" s="30" t="n">
        <x:v>0.4952365332058697</x:v>
      </x:c>
      <x:c r="M363" s="30" t="n">
        <x:v>0.6986370519939424</x:v>
      </x:c>
      <x:c r="N363" s="19" t="n">
        <x:v>1981</x:v>
      </x:c>
      <x:c r="O363" t="b">
        <x:f>P363="legacy_common_sample_8902245"</x:f>
        <x:v>1</x:v>
      </x:c>
      <x:c r="P363" t="str">
        <x:v>legacy_common_sample_8902245</x:v>
      </x:c>
      <x:c r="Q363" s="74" t="n">
        <x:v>46211.290294004626</x:v>
      </x:c>
      <x:c r="R363" s="19" t="n">
        <x:v>8902245</x:v>
      </x:c>
      <x:c r="S363" t="str">
        <x:v>8f7e606554926462248cbcc654181861438ca768a0063f6b317223ede37d16fb</x:v>
      </x:c>
      <x:c r="T363" t="str">
        <x:v>factor_report/gtja191_batch/gtja_062/ic_summary.csv</x:v>
      </x:c>
    </x:row>
    <x:row r="364">
      <x:c r="A364" s="50" t="n">
        <x:f>IF($P364="legacy_common_sample_8902245",1+COUNTIFS($C$5:$C$546,$C364,$P$5:$P$546,"legacy_common_sample_8902245",$I$5:$I$546,"&gt;"&amp;$I364),"")</x:f>
        <x:v>4</x:v>
      </x:c>
      <x:c r="B364" t="str">
        <x:v>gtja_176</x:v>
      </x:c>
      <x:c r="C364" s="50" t="n">
        <x:v>20</x:v>
      </x:c>
      <x:c r="D364" t="str">
        <x:f>IF(E364&gt;=0,"positive","negative")</x:f>
        <x:v>negative</x:v>
      </x:c>
      <x:c r="E364" s="30" t="n">
        <x:v>-0.039441726766842995</x:v>
      </x:c>
      <x:c r="F364" s="30" t="n">
        <x:f>ABS(E364)</x:f>
        <x:v>0.039441726766842995</x:v>
      </x:c>
      <x:c r="G364" s="30" t="n">
        <x:v>0.04936834272163876</x:v>
      </x:c>
      <x:c r="H364" s="30" t="n">
        <x:v>-0.7989275027771024</x:v>
      </x:c>
      <x:c r="I364" s="30" t="n">
        <x:f>ABS(H364)</x:f>
        <x:v>0.7989275027771024</x:v>
      </x:c>
      <x:c r="J364" s="30" t="n">
        <x:v>0.20797576981322563</x:v>
      </x:c>
      <x:c r="K364" s="30" t="n">
        <x:v>-0.018569389397674618</x:v>
      </x:c>
      <x:c r="L364" s="30" t="n">
        <x:v>-0.4365202473996748</x:v>
      </x:c>
      <x:c r="M364" s="30" t="n">
        <x:v>0.32407874810701665</x:v>
      </x:c>
      <x:c r="N364" s="19" t="n">
        <x:v>1981</x:v>
      </x:c>
      <x:c r="O364" t="b">
        <x:f>P364="legacy_common_sample_8902245"</x:f>
        <x:v>1</x:v>
      </x:c>
      <x:c r="P364" t="str">
        <x:v>legacy_common_sample_8902245</x:v>
      </x:c>
      <x:c r="Q364" s="74" t="n">
        <x:v>46210.92925570602</x:v>
      </x:c>
      <x:c r="R364" s="19" t="n">
        <x:v>8902245</x:v>
      </x:c>
      <x:c r="S364" t="str">
        <x:v>40355b29bce094aef0e99358bdfd4011b92e72a54440a67760de4afae4883c33</x:v>
      </x:c>
      <x:c r="T364" t="str">
        <x:v>factor_report/gtja191_batch/gtja_176/ic_summary.csv</x:v>
      </x:c>
    </x:row>
    <x:row r="365">
      <x:c r="A365" s="50" t="n">
        <x:f>IF($P365="legacy_common_sample_8902245",1+COUNTIFS($C$5:$C$546,$C365,$P$5:$P$546,"legacy_common_sample_8902245",$I$5:$I$546,"&gt;"&amp;$I365),"")</x:f>
        <x:v>5</x:v>
      </x:c>
      <x:c r="B365" t="str">
        <x:v>gtja_016</x:v>
      </x:c>
      <x:c r="C365" s="50" t="n">
        <x:v>20</x:v>
      </x:c>
      <x:c r="D365" t="str">
        <x:f>IF(E365&gt;=0,"positive","negative")</x:f>
        <x:v>positive</x:v>
      </x:c>
      <x:c r="E365" s="30" t="n">
        <x:v>0.045956893896997295</x:v>
      </x:c>
      <x:c r="F365" s="30" t="n">
        <x:f>ABS(E365)</x:f>
        <x:v>0.045956893896997295</x:v>
      </x:c>
      <x:c r="G365" s="30" t="n">
        <x:v>0.0587882605896828</x:v>
      </x:c>
      <x:c r="H365" s="30" t="n">
        <x:v>0.7817359016242542</x:v>
      </x:c>
      <x:c r="I365" s="30" t="n">
        <x:f>ABS(H365)</x:f>
        <x:v>0.7817359016242542</x:v>
      </x:c>
      <x:c r="J365" s="30" t="n">
        <x:v>0.7743563856638062</x:v>
      </x:c>
      <x:c r="K365" s="30" t="n">
        <x:v>0.020648641562107738</x:v>
      </x:c>
      <x:c r="L365" s="30" t="n">
        <x:v>0.3978559959378937</x:v>
      </x:c>
      <x:c r="M365" s="30" t="n">
        <x:v>0.6400807672892479</x:v>
      </x:c>
      <x:c r="N365" s="19" t="n">
        <x:v>1981</x:v>
      </x:c>
      <x:c r="O365" t="b">
        <x:f>P365="legacy_common_sample_8902245"</x:f>
        <x:v>1</x:v>
      </x:c>
      <x:c r="P365" t="str">
        <x:v>legacy_common_sample_8902245</x:v>
      </x:c>
      <x:c r="Q365" s="74" t="n">
        <x:v>46211.19679032407</x:v>
      </x:c>
      <x:c r="R365" s="19" t="n">
        <x:v>8902245</x:v>
      </x:c>
      <x:c r="S365" t="str">
        <x:v>8f7e606554926462248cbcc654181861438ca768a0063f6b317223ede37d16fb</x:v>
      </x:c>
      <x:c r="T365" t="str">
        <x:v>factor_report/gtja191_batch/gtja_016/ic_summary.csv</x:v>
      </x:c>
    </x:row>
    <x:row r="366">
      <x:c r="A366" s="50" t="n">
        <x:f>IF($P366="legacy_common_sample_8902245",1+COUNTIFS($C$5:$C$546,$C366,$P$5:$P$546,"legacy_common_sample_8902245",$I$5:$I$546,"&gt;"&amp;$I366),"")</x:f>
        <x:v>6</x:v>
      </x:c>
      <x:c r="B366" t="str">
        <x:v>gtja_090</x:v>
      </x:c>
      <x:c r="C366" s="50" t="n">
        <x:v>20</x:v>
      </x:c>
      <x:c r="D366" t="str">
        <x:f>IF(E366&gt;=0,"positive","negative")</x:f>
        <x:v>positive</x:v>
      </x:c>
      <x:c r="E366" s="30" t="n">
        <x:v>0.043954812384740215</x:v>
      </x:c>
      <x:c r="F366" s="30" t="n">
        <x:f>ABS(E366)</x:f>
        <x:v>0.043954812384740215</x:v>
      </x:c>
      <x:c r="G366" s="30" t="n">
        <x:v>0.056250806410902174</x:v>
      </x:c>
      <x:c r="H366" s="30" t="n">
        <x:v>0.7814076844278124</x:v>
      </x:c>
      <x:c r="I366" s="30" t="n">
        <x:f>ABS(H366)</x:f>
        <x:v>0.7814076844278124</x:v>
      </x:c>
      <x:c r="J366" s="30" t="n">
        <x:v>0.784452296819788</x:v>
      </x:c>
      <x:c r="K366" s="30" t="n">
        <x:v>0.02231188149321846</x:v>
      </x:c>
      <x:c r="L366" s="30" t="n">
        <x:v>0.4487377459140369</x:v>
      </x:c>
      <x:c r="M366" s="30" t="n">
        <x:v>0.6718828874305907</x:v>
      </x:c>
      <x:c r="N366" s="19" t="n">
        <x:v>1981</x:v>
      </x:c>
      <x:c r="O366" t="b">
        <x:f>P366="legacy_common_sample_8902245"</x:f>
        <x:v>1</x:v>
      </x:c>
      <x:c r="P366" t="str">
        <x:v>legacy_common_sample_8902245</x:v>
      </x:c>
      <x:c r="Q366" s="74" t="n">
        <x:v>46211.33284847222</x:v>
      </x:c>
      <x:c r="R366" s="19" t="n">
        <x:v>8902245</x:v>
      </x:c>
      <x:c r="S366" t="str">
        <x:v>8f7e606554926462248cbcc654181861438ca768a0063f6b317223ede37d16fb</x:v>
      </x:c>
      <x:c r="T366" t="str">
        <x:v>factor_report/gtja191_batch/gtja_090/ic_summary.csv</x:v>
      </x:c>
    </x:row>
    <x:row r="367">
      <x:c r="A367" s="50" t="n">
        <x:f>IF($P367="legacy_common_sample_8902245",1+COUNTIFS($C$5:$C$546,$C367,$P$5:$P$546,"legacy_common_sample_8902245",$I$5:$I$546,"&gt;"&amp;$I367),"")</x:f>
        <x:v>7</x:v>
      </x:c>
      <x:c r="B367" t="str">
        <x:v>gtja_036</x:v>
      </x:c>
      <x:c r="C367" s="50" t="n">
        <x:v>20</x:v>
      </x:c>
      <x:c r="D367" t="str">
        <x:f>IF(E367&gt;=0,"positive","negative")</x:f>
        <x:v>negative</x:v>
      </x:c>
      <x:c r="E367" s="30" t="n">
        <x:v>-0.048413869320567675</x:v>
      </x:c>
      <x:c r="F367" s="30" t="n">
        <x:f>ABS(E367)</x:f>
        <x:v>0.048413869320567675</x:v>
      </x:c>
      <x:c r="G367" s="30" t="n">
        <x:v>0.06214973851821023</x:v>
      </x:c>
      <x:c r="H367" s="30" t="n">
        <x:v>-0.7789874981755899</x:v>
      </x:c>
      <x:c r="I367" s="30" t="n">
        <x:f>ABS(H367)</x:f>
        <x:v>0.7789874981755899</x:v>
      </x:c>
      <x:c r="J367" s="30" t="n">
        <x:v>0.21807168096920748</x:v>
      </x:c>
      <x:c r="K367" s="30" t="n">
        <x:v>-0.024359467978277344</x:v>
      </x:c>
      <x:c r="L367" s="30" t="n">
        <x:v>-0.44366510958666056</x:v>
      </x:c>
      <x:c r="M367" s="30" t="n">
        <x:v>0.33266027258960124</x:v>
      </x:c>
      <x:c r="N367" s="19" t="n">
        <x:v>1981</x:v>
      </x:c>
      <x:c r="O367" t="b">
        <x:f>P367="legacy_common_sample_8902245"</x:f>
        <x:v>1</x:v>
      </x:c>
      <x:c r="P367" t="str">
        <x:v>legacy_common_sample_8902245</x:v>
      </x:c>
      <x:c r="Q367" s="74" t="n">
        <x:v>46210.26318543981</x:v>
      </x:c>
      <x:c r="R367" s="19" t="n">
        <x:v>8902245</x:v>
      </x:c>
      <x:c r="S367" t="str">
        <x:v>40355b29bce094aef0e99358bdfd4011b92e72a54440a67760de4afae4883c33</x:v>
      </x:c>
      <x:c r="T367" t="str">
        <x:v>factor_report/gtja191_batch/gtja_036/ic_summary.csv</x:v>
      </x:c>
    </x:row>
    <x:row r="368">
      <x:c r="A368" s="50" t="n">
        <x:f>IF($P368="legacy_common_sample_8902245",1+COUNTIFS($C$5:$C$546,$C368,$P$5:$P$546,"legacy_common_sample_8902245",$I$5:$I$546,"&gt;"&amp;$I368),"")</x:f>
        <x:v>8</x:v>
      </x:c>
      <x:c r="B368" t="str">
        <x:v>gtja_064</x:v>
      </x:c>
      <x:c r="C368" s="50" t="n">
        <x:v>20</x:v>
      </x:c>
      <x:c r="D368" t="str">
        <x:f>IF(E368&gt;=0,"positive","negative")</x:f>
        <x:v>positive</x:v>
      </x:c>
      <x:c r="E368" s="30" t="n">
        <x:v>0.03708133958236362</x:v>
      </x:c>
      <x:c r="F368" s="30" t="n">
        <x:f>ABS(E368)</x:f>
        <x:v>0.03708133958236362</x:v>
      </x:c>
      <x:c r="G368" s="30" t="n">
        <x:v>0.049170969307831436</x:v>
      </x:c>
      <x:c r="H368" s="30" t="n">
        <x:v>0.7541307422723045</x:v>
      </x:c>
      <x:c r="I368" s="30" t="n">
        <x:f>ABS(H368)</x:f>
        <x:v>0.7541307422723045</x:v>
      </x:c>
      <x:c r="J368" s="30" t="n">
        <x:v>0.7745901639344263</x:v>
      </x:c>
      <x:c r="K368" s="30" t="n">
        <x:v>0.016671270189241895</x:v>
      </x:c>
      <x:c r="L368" s="30" t="n">
        <x:v>0.3717581564451766</x:v>
      </x:c>
      <x:c r="M368" s="30" t="n">
        <x:v>0.6424180327868853</x:v>
      </x:c>
      <x:c r="N368" s="19" t="n">
        <x:v>1952</x:v>
      </x:c>
      <x:c r="O368" t="b">
        <x:f>P368="legacy_common_sample_8902245"</x:f>
        <x:v>1</x:v>
      </x:c>
      <x:c r="P368" t="str">
        <x:v>legacy_common_sample_8902245</x:v>
      </x:c>
      <x:c r="Q368" s="74" t="n">
        <x:v>46211.2933559838</x:v>
      </x:c>
      <x:c r="R368" s="19" t="n">
        <x:v>8902245</x:v>
      </x:c>
      <x:c r="S368" t="str">
        <x:v>8f7e606554926462248cbcc654181861438ca768a0063f6b317223ede37d16fb</x:v>
      </x:c>
      <x:c r="T368" t="str">
        <x:v>factor_report/gtja191_batch/gtja_064/ic_summary.csv</x:v>
      </x:c>
    </x:row>
    <x:row r="369">
      <x:c r="A369" s="50" t="n">
        <x:f>IF($P369="legacy_common_sample_8902245",1+COUNTIFS($C$5:$C$546,$C369,$P$5:$P$546,"legacy_common_sample_8902245",$I$5:$I$546,"&gt;"&amp;$I369),"")</x:f>
        <x:v>9</x:v>
      </x:c>
      <x:c r="B369" t="str">
        <x:v>gtja_105</x:v>
      </x:c>
      <x:c r="C369" s="50" t="n">
        <x:v>20</x:v>
      </x:c>
      <x:c r="D369" t="str">
        <x:f>IF(E369&gt;=0,"positive","negative")</x:f>
        <x:v>positive</x:v>
      </x:c>
      <x:c r="E369" s="30" t="n">
        <x:v>0.03959051741431011</x:v>
      </x:c>
      <x:c r="F369" s="30" t="n">
        <x:f>ABS(E369)</x:f>
        <x:v>0.03959051741431011</x:v>
      </x:c>
      <x:c r="G369" s="30" t="n">
        <x:v>0.052563513803642214</x:v>
      </x:c>
      <x:c r="H369" s="30" t="n">
        <x:v>0.7531938896285663</x:v>
      </x:c>
      <x:c r="I369" s="30" t="n">
        <x:f>ABS(H369)</x:f>
        <x:v>0.7531938896285663</x:v>
      </x:c>
      <x:c r="J369" s="30" t="n">
        <x:v>0.7864714790509844</x:v>
      </x:c>
      <x:c r="K369" s="30" t="n">
        <x:v>0.022268918285801444</x:v>
      </x:c>
      <x:c r="L369" s="30" t="n">
        <x:v>0.4844841154880074</x:v>
      </x:c>
      <x:c r="M369" s="30" t="n">
        <x:v>0.696113074204947</x:v>
      </x:c>
      <x:c r="N369" s="19" t="n">
        <x:v>1981</x:v>
      </x:c>
      <x:c r="O369" t="b">
        <x:f>P369="legacy_common_sample_8902245"</x:f>
        <x:v>1</x:v>
      </x:c>
      <x:c r="P369" t="str">
        <x:v>legacy_common_sample_8902245</x:v>
      </x:c>
      <x:c r="Q369" s="74" t="n">
        <x:v>46211.35838456018</x:v>
      </x:c>
      <x:c r="R369" s="19" t="n">
        <x:v>8902245</x:v>
      </x:c>
      <x:c r="S369" t="str">
        <x:v>8f7e606554926462248cbcc654181861438ca768a0063f6b317223ede37d16fb</x:v>
      </x:c>
      <x:c r="T369" t="str">
        <x:v>factor_report/gtja191_batch/gtja_105/ic_summary.csv</x:v>
      </x:c>
    </x:row>
    <x:row r="370">
      <x:c r="A370" s="50" t="n">
        <x:f>IF($P370="legacy_common_sample_8902245",1+COUNTIFS($C$5:$C$546,$C370,$P$5:$P$546,"legacy_common_sample_8902245",$I$5:$I$546,"&gt;"&amp;$I370),"")</x:f>
        <x:v>10</x:v>
      </x:c>
      <x:c r="B370" t="str">
        <x:v>gtja_032</x:v>
      </x:c>
      <x:c r="C370" s="50" t="n">
        <x:v>20</x:v>
      </x:c>
      <x:c r="D370" t="str">
        <x:f>IF(E370&gt;=0,"positive","negative")</x:f>
        <x:v>positive</x:v>
      </x:c>
      <x:c r="E370" s="30" t="n">
        <x:v>0.03773642741915077</x:v>
      </x:c>
      <x:c r="F370" s="30" t="n">
        <x:f>ABS(E370)</x:f>
        <x:v>0.03773642741915077</x:v>
      </x:c>
      <x:c r="G370" s="30" t="n">
        <x:v>0.050327468143486626</x:v>
      </x:c>
      <x:c r="H370" s="30" t="n">
        <x:v>0.7498177200482639</x:v>
      </x:c>
      <x:c r="I370" s="30" t="n">
        <x:f>ABS(H370)</x:f>
        <x:v>0.7498177200482639</x:v>
      </x:c>
      <x:c r="J370" s="30" t="n">
        <x:v>0.7657748611812216</x:v>
      </x:c>
      <x:c r="K370" s="30" t="n">
        <x:v>0.018068366772853468</x:v>
      </x:c>
      <x:c r="L370" s="30" t="n">
        <x:v>0.40960249439930274</x:v>
      </x:c>
      <x:c r="M370" s="30" t="n">
        <x:v>0.657243816254417</x:v>
      </x:c>
      <x:c r="N370" s="19" t="n">
        <x:v>1981</x:v>
      </x:c>
      <x:c r="O370" t="b">
        <x:f>P370="legacy_common_sample_8902245"</x:f>
        <x:v>1</x:v>
      </x:c>
      <x:c r="P370" t="str">
        <x:v>legacy_common_sample_8902245</x:v>
      </x:c>
      <x:c r="Q370" s="74" t="n">
        <x:v>46211.2231158912</x:v>
      </x:c>
      <x:c r="R370" s="19" t="n">
        <x:v>8902245</x:v>
      </x:c>
      <x:c r="S370" t="str">
        <x:v>8f7e606554926462248cbcc654181861438ca768a0063f6b317223ede37d16fb</x:v>
      </x:c>
      <x:c r="T370" t="str">
        <x:v>factor_report/gtja191_batch/gtja_032/ic_summary.csv</x:v>
      </x:c>
    </x:row>
    <x:row r="371">
      <x:c r="A371" s="50" t="n">
        <x:f>IF($P371="legacy_common_sample_8902245",1+COUNTIFS($C$5:$C$546,$C371,$P$5:$P$546,"legacy_common_sample_8902245",$I$5:$I$546,"&gt;"&amp;$I371),"")</x:f>
        <x:v>11</x:v>
      </x:c>
      <x:c r="B371" t="str">
        <x:v>gtja_150</x:v>
      </x:c>
      <x:c r="C371" s="50" t="n">
        <x:v>20</x:v>
      </x:c>
      <x:c r="D371" t="str">
        <x:f>IF(E371&gt;=0,"positive","negative")</x:f>
        <x:v>negative</x:v>
      </x:c>
      <x:c r="E371" s="30" t="n">
        <x:v>-0.11156827243879673</x:v>
      </x:c>
      <x:c r="F371" s="30" t="n">
        <x:f>ABS(E371)</x:f>
        <x:v>0.11156827243879673</x:v>
      </x:c>
      <x:c r="G371" s="30" t="n">
        <x:v>0.1506698916605229</x:v>
      </x:c>
      <x:c r="H371" s="30" t="n">
        <x:v>-0.740481533564604</x:v>
      </x:c>
      <x:c r="I371" s="30" t="n">
        <x:f>ABS(H371)</x:f>
        <x:v>0.740481533564604</x:v>
      </x:c>
      <x:c r="J371" s="30" t="n">
        <x:v>0.23119636547198386</x:v>
      </x:c>
      <x:c r="K371" s="30" t="n">
        <x:v>-0.04164128666358464</x:v>
      </x:c>
      <x:c r="L371" s="30" t="n">
        <x:v>-0.42008383704973773</x:v>
      </x:c>
      <x:c r="M371" s="30" t="n">
        <x:v>0.31448763250883394</x:v>
      </x:c>
      <x:c r="N371" s="19" t="n">
        <x:v>1981</x:v>
      </x:c>
      <x:c r="O371" t="b">
        <x:f>P371="legacy_common_sample_8902245"</x:f>
        <x:v>1</x:v>
      </x:c>
      <x:c r="P371" t="str">
        <x:v>legacy_common_sample_8902245</x:v>
      </x:c>
      <x:c r="Q371" s="74" t="n">
        <x:v>46210.81356047454</x:v>
      </x:c>
      <x:c r="R371" s="19" t="n">
        <x:v>8902245</x:v>
      </x:c>
      <x:c r="S371" t="str">
        <x:v>40355b29bce094aef0e99358bdfd4011b92e72a54440a67760de4afae4883c33</x:v>
      </x:c>
      <x:c r="T371" t="str">
        <x:v>factor_report/gtja191_batch/gtja_150/ic_summary.csv</x:v>
      </x:c>
    </x:row>
    <x:row r="372">
      <x:c r="A372" s="50" t="n">
        <x:f>IF($P372="legacy_common_sample_8902245",1+COUNTIFS($C$5:$C$546,$C372,$P$5:$P$546,"legacy_common_sample_8902245",$I$5:$I$546,"&gt;"&amp;$I372),"")</x:f>
        <x:v>12</x:v>
      </x:c>
      <x:c r="B372" t="str">
        <x:v>gtja_070</x:v>
      </x:c>
      <x:c r="C372" s="50" t="n">
        <x:v>20</x:v>
      </x:c>
      <x:c r="D372" t="str">
        <x:f>IF(E372&gt;=0,"positive","negative")</x:f>
        <x:v>negative</x:v>
      </x:c>
      <x:c r="E372" s="30" t="n">
        <x:v>-0.10876569631565444</x:v>
      </x:c>
      <x:c r="F372" s="30" t="n">
        <x:f>ABS(E372)</x:f>
        <x:v>0.10876569631565444</x:v>
      </x:c>
      <x:c r="G372" s="30" t="n">
        <x:v>0.14896493416224968</x:v>
      </x:c>
      <x:c r="H372" s="30" t="n">
        <x:v>-0.7301429489250738</x:v>
      </x:c>
      <x:c r="I372" s="30" t="n">
        <x:f>ABS(H372)</x:f>
        <x:v>0.7301429489250738</x:v>
      </x:c>
      <x:c r="J372" s="30" t="n">
        <x:v>0.2332155477031802</x:v>
      </x:c>
      <x:c r="K372" s="30" t="n">
        <x:v>-0.038625540799599296</x:v>
      </x:c>
      <x:c r="L372" s="30" t="n">
        <x:v>-0.41161005775969367</x:v>
      </x:c>
      <x:c r="M372" s="30" t="n">
        <x:v>0.32458354366481573</x:v>
      </x:c>
      <x:c r="N372" s="19" t="n">
        <x:v>1981</x:v>
      </x:c>
      <x:c r="O372" t="b">
        <x:f>P372="legacy_common_sample_8902245"</x:f>
        <x:v>1</x:v>
      </x:c>
      <x:c r="P372" t="str">
        <x:v>legacy_common_sample_8902245</x:v>
      </x:c>
      <x:c r="Q372" s="74" t="n">
        <x:v>46210.41622457176</x:v>
      </x:c>
      <x:c r="R372" s="19" t="n">
        <x:v>8902245</x:v>
      </x:c>
      <x:c r="S372" t="str">
        <x:v>40355b29bce094aef0e99358bdfd4011b92e72a54440a67760de4afae4883c33</x:v>
      </x:c>
      <x:c r="T372" t="str">
        <x:v>factor_report/gtja191_batch/gtja_070/ic_summary.csv</x:v>
      </x:c>
    </x:row>
    <x:row r="373">
      <x:c r="A373" s="50" t="n">
        <x:f>IF($P373="legacy_common_sample_8902245",1+COUNTIFS($C$5:$C$546,$C373,$P$5:$P$546,"legacy_common_sample_8902245",$I$5:$I$546,"&gt;"&amp;$I373),"")</x:f>
        <x:v>13</x:v>
      </x:c>
      <x:c r="B373" t="str">
        <x:v>gtja_042</x:v>
      </x:c>
      <x:c r="C373" s="50" t="n">
        <x:v>20</x:v>
      </x:c>
      <x:c r="D373" t="str">
        <x:f>IF(E373&gt;=0,"positive","negative")</x:f>
        <x:v>positive</x:v>
      </x:c>
      <x:c r="E373" s="30" t="n">
        <x:v>0.08864795979424941</x:v>
      </x:c>
      <x:c r="F373" s="30" t="n">
        <x:f>ABS(E373)</x:f>
        <x:v>0.08864795979424941</x:v>
      </x:c>
      <x:c r="G373" s="30" t="n">
        <x:v>0.124498312567154</x:v>
      </x:c>
      <x:c r="H373" s="30" t="n">
        <x:v>0.7120414563565508</x:v>
      </x:c>
      <x:c r="I373" s="30" t="n">
        <x:f>ABS(H373)</x:f>
        <x:v>0.7120414563565508</x:v>
      </x:c>
      <x:c r="J373" s="30" t="n">
        <x:v>0.7491166077738516</x:v>
      </x:c>
      <x:c r="K373" s="30" t="n">
        <x:v>0.049373657319128746</x:v>
      </x:c>
      <x:c r="L373" s="30" t="n">
        <x:v>0.46697943503637335</x:v>
      </x:c>
      <x:c r="M373" s="30" t="n">
        <x:v>0.679959616355376</x:v>
      </x:c>
      <x:c r="N373" s="19" t="n">
        <x:v>1981</x:v>
      </x:c>
      <x:c r="O373" t="b">
        <x:f>P373="legacy_common_sample_8902245"</x:f>
        <x:v>1</x:v>
      </x:c>
      <x:c r="P373" t="str">
        <x:v>legacy_common_sample_8902245</x:v>
      </x:c>
      <x:c r="Q373" s="74" t="n">
        <x:v>46211.25270762732</x:v>
      </x:c>
      <x:c r="R373" s="19" t="n">
        <x:v>8902245</x:v>
      </x:c>
      <x:c r="S373" t="str">
        <x:v>8f7e606554926462248cbcc654181861438ca768a0063f6b317223ede37d16fb</x:v>
      </x:c>
      <x:c r="T373" t="str">
        <x:v>factor_report/gtja191_batch/gtja_042/ic_summary.csv</x:v>
      </x:c>
    </x:row>
    <x:row r="374">
      <x:c r="A374" s="50" t="n">
        <x:f>IF($P374="legacy_common_sample_8902245",1+COUNTIFS($C$5:$C$546,$C374,$P$5:$P$546,"legacy_common_sample_8902245",$I$5:$I$546,"&gt;"&amp;$I374),"")</x:f>
        <x:v>14</x:v>
      </x:c>
      <x:c r="B374" t="str">
        <x:v>gtja_095</x:v>
      </x:c>
      <x:c r="C374" s="50" t="n">
        <x:v>20</x:v>
      </x:c>
      <x:c r="D374" t="str">
        <x:f>IF(E374&gt;=0,"positive","negative")</x:f>
        <x:v>negative</x:v>
      </x:c>
      <x:c r="E374" s="30" t="n">
        <x:v>-0.105969151091301</x:v>
      </x:c>
      <x:c r="F374" s="30" t="n">
        <x:f>ABS(E374)</x:f>
        <x:v>0.105969151091301</x:v>
      </x:c>
      <x:c r="G374" s="30" t="n">
        <x:v>0.15069290894524742</x:v>
      </x:c>
      <x:c r="H374" s="30" t="n">
        <x:v>-0.7032125919727498</x:v>
      </x:c>
      <x:c r="I374" s="30" t="n">
        <x:f>ABS(H374)</x:f>
        <x:v>0.7032125919727498</x:v>
      </x:c>
      <x:c r="J374" s="30" t="n">
        <x:v>0.24280666330136294</x:v>
      </x:c>
      <x:c r="K374" s="30" t="n">
        <x:v>-0.036968472511070265</x:v>
      </x:c>
      <x:c r="L374" s="30" t="n">
        <x:v>-0.3695029070288653</x:v>
      </x:c>
      <x:c r="M374" s="30" t="n">
        <x:v>0.33518425037859667</x:v>
      </x:c>
      <x:c r="N374" s="19" t="n">
        <x:v>1981</x:v>
      </x:c>
      <x:c r="O374" t="b">
        <x:f>P374="legacy_common_sample_8902245"</x:f>
        <x:v>1</x:v>
      </x:c>
      <x:c r="P374" t="str">
        <x:v>legacy_common_sample_8902245</x:v>
      </x:c>
      <x:c r="Q374" s="74" t="n">
        <x:v>46210.552701967594</x:v>
      </x:c>
      <x:c r="R374" s="19" t="n">
        <x:v>8902245</x:v>
      </x:c>
      <x:c r="S374" t="str">
        <x:v>40355b29bce094aef0e99358bdfd4011b92e72a54440a67760de4afae4883c33</x:v>
      </x:c>
      <x:c r="T374" t="str">
        <x:v>factor_report/gtja191_batch/gtja_095/ic_summary.csv</x:v>
      </x:c>
    </x:row>
    <x:row r="375">
      <x:c r="A375" s="50" t="n">
        <x:f>IF($P375="legacy_common_sample_8902245",1+COUNTIFS($C$5:$C$546,$C375,$P$5:$P$546,"legacy_common_sample_8902245",$I$5:$I$546,"&gt;"&amp;$I375),"")</x:f>
        <x:v>15</x:v>
      </x:c>
      <x:c r="B375" t="str">
        <x:v>gtja_179</x:v>
      </x:c>
      <x:c r="C375" s="50" t="n">
        <x:v>20</x:v>
      </x:c>
      <x:c r="D375" t="str">
        <x:f>IF(E375&gt;=0,"positive","negative")</x:f>
        <x:v>negative</x:v>
      </x:c>
      <x:c r="E375" s="30" t="n">
        <x:v>-0.04046567729271906</x:v>
      </x:c>
      <x:c r="F375" s="30" t="n">
        <x:f>ABS(E375)</x:f>
        <x:v>0.04046567729271906</x:v>
      </x:c>
      <x:c r="G375" s="30" t="n">
        <x:v>0.059247047686089876</x:v>
      </x:c>
      <x:c r="H375" s="30" t="n">
        <x:v>-0.682999050131905</x:v>
      </x:c>
      <x:c r="I375" s="30" t="n">
        <x:f>ABS(H375)</x:f>
        <x:v>0.682999050131905</x:v>
      </x:c>
      <x:c r="J375" s="30" t="n">
        <x:v>0.22839818089944416</x:v>
      </x:c>
      <x:c r="K375" s="30" t="n">
        <x:v>-0.027334511466920466</x:v>
      </x:c>
      <x:c r="L375" s="30" t="n">
        <x:v>-0.5077180930273403</x:v>
      </x:c>
      <x:c r="M375" s="30" t="n">
        <x:v>0.28650833754421423</x:v>
      </x:c>
      <x:c r="N375" s="19" t="n">
        <x:v>1979</x:v>
      </x:c>
      <x:c r="O375" t="b">
        <x:f>P375="legacy_common_sample_8902245"</x:f>
        <x:v>1</x:v>
      </x:c>
      <x:c r="P375" t="str">
        <x:v>legacy_common_sample_8902245</x:v>
      </x:c>
      <x:c r="Q375" s="74" t="n">
        <x:v>46210.941301631945</x:v>
      </x:c>
      <x:c r="R375" s="19" t="n">
        <x:v>8902245</x:v>
      </x:c>
      <x:c r="S375" t="str">
        <x:v>40355b29bce094aef0e99358bdfd4011b92e72a54440a67760de4afae4883c33</x:v>
      </x:c>
      <x:c r="T375" t="str">
        <x:v>factor_report/gtja191_batch/gtja_179/ic_summary.csv</x:v>
      </x:c>
    </x:row>
    <x:row r="376">
      <x:c r="A376" s="50" t="n">
        <x:f>IF($P376="legacy_common_sample_8902245",1+COUNTIFS($C$5:$C$546,$C376,$P$5:$P$546,"legacy_common_sample_8902245",$I$5:$I$546,"&gt;"&amp;$I376),"")</x:f>
        <x:v>16</x:v>
      </x:c>
      <x:c r="B376" t="str">
        <x:v>gtja_074</x:v>
      </x:c>
      <x:c r="C376" s="50" t="n">
        <x:v>20</x:v>
      </x:c>
      <x:c r="D376" t="str">
        <x:f>IF(E376&gt;=0,"positive","negative")</x:f>
        <x:v>negative</x:v>
      </x:c>
      <x:c r="E376" s="30" t="n">
        <x:v>-0.04496579321359351</x:v>
      </x:c>
      <x:c r="F376" s="30" t="n">
        <x:f>ABS(E376)</x:f>
        <x:v>0.04496579321359351</x:v>
      </x:c>
      <x:c r="G376" s="30" t="n">
        <x:v>0.06919798349307602</x:v>
      </x:c>
      <x:c r="H376" s="30" t="n">
        <x:v>-0.6498136353654411</x:v>
      </x:c>
      <x:c r="I376" s="30" t="n">
        <x:f>ABS(H376)</x:f>
        <x:v>0.6498136353654411</x:v>
      </x:c>
      <x:c r="J376" s="30" t="n">
        <x:v>0.25113924050632913</x:v>
      </x:c>
      <x:c r="K376" s="30" t="n">
        <x:v>-0.02359735985699223</x:v>
      </x:c>
      <x:c r="L376" s="30" t="n">
        <x:v>-0.39766764833207713</x:v>
      </x:c>
      <x:c r="M376" s="30" t="n">
        <x:v>0.3291139240506329</x:v>
      </x:c>
      <x:c r="N376" s="19" t="n">
        <x:v>1975</x:v>
      </x:c>
      <x:c r="O376" t="b">
        <x:f>P376="legacy_common_sample_8902245"</x:f>
        <x:v>1</x:v>
      </x:c>
      <x:c r="P376" t="str">
        <x:v>legacy_common_sample_8902245</x:v>
      </x:c>
      <x:c r="Q376" s="74" t="n">
        <x:v>46210.45096833333</x:v>
      </x:c>
      <x:c r="R376" s="19" t="n">
        <x:v>8902245</x:v>
      </x:c>
      <x:c r="S376" t="str">
        <x:v>40355b29bce094aef0e99358bdfd4011b92e72a54440a67760de4afae4883c33</x:v>
      </x:c>
      <x:c r="T376" t="str">
        <x:v>factor_report/gtja191_batch/gtja_074/ic_summary.csv</x:v>
      </x:c>
    </x:row>
    <x:row r="377">
      <x:c r="A377" s="50" t="n">
        <x:f>IF($P377="legacy_common_sample_8902245",1+COUNTIFS($C$5:$C$546,$C377,$P$5:$P$546,"legacy_common_sample_8902245",$I$5:$I$546,"&gt;"&amp;$I377),"")</x:f>
        <x:v>17</x:v>
      </x:c>
      <x:c r="B377" t="str">
        <x:v>gtja_097</x:v>
      </x:c>
      <x:c r="C377" s="50" t="n">
        <x:v>20</x:v>
      </x:c>
      <x:c r="D377" t="str">
        <x:f>IF(E377&gt;=0,"positive","negative")</x:f>
        <x:v>negative</x:v>
      </x:c>
      <x:c r="E377" s="30" t="n">
        <x:v>-0.07161198384764317</x:v>
      </x:c>
      <x:c r="F377" s="30" t="n">
        <x:f>ABS(E377)</x:f>
        <x:v>0.07161198384764317</x:v>
      </x:c>
      <x:c r="G377" s="30" t="n">
        <x:v>0.11078584357941788</x:v>
      </x:c>
      <x:c r="H377" s="30" t="n">
        <x:v>-0.6464001314058455</x:v>
      </x:c>
      <x:c r="I377" s="30" t="n">
        <x:f>ABS(H377)</x:f>
        <x:v>0.6464001314058455</x:v>
      </x:c>
      <x:c r="J377" s="30" t="n">
        <x:v>0.2629984856133266</x:v>
      </x:c>
      <x:c r="K377" s="30" t="n">
        <x:v>-0.03379655198093672</x:v>
      </x:c>
      <x:c r="L377" s="30" t="n">
        <x:v>-0.4873622436744548</x:v>
      </x:c>
      <x:c r="M377" s="30" t="n">
        <x:v>0.31398283695103485</x:v>
      </x:c>
      <x:c r="N377" s="19" t="n">
        <x:v>1981</x:v>
      </x:c>
      <x:c r="O377" t="b">
        <x:f>P377="legacy_common_sample_8902245"</x:f>
        <x:v>1</x:v>
      </x:c>
      <x:c r="P377" t="str">
        <x:v>legacy_common_sample_8902245</x:v>
      </x:c>
      <x:c r="Q377" s="74" t="n">
        <x:v>46210.56247660879</x:v>
      </x:c>
      <x:c r="R377" s="19" t="n">
        <x:v>8902245</x:v>
      </x:c>
      <x:c r="S377" t="str">
        <x:v>40355b29bce094aef0e99358bdfd4011b92e72a54440a67760de4afae4883c33</x:v>
      </x:c>
      <x:c r="T377" t="str">
        <x:v>factor_report/gtja191_batch/gtja_097/ic_summary.csv</x:v>
      </x:c>
    </x:row>
    <x:row r="378">
      <x:c r="A378" s="50" t="n">
        <x:f>IF($P378="legacy_common_sample_8902245",1+COUNTIFS($C$5:$C$546,$C378,$P$5:$P$546,"legacy_common_sample_8902245",$I$5:$I$546,"&gt;"&amp;$I378),"")</x:f>
        <x:v>18</x:v>
      </x:c>
      <x:c r="B378" t="str">
        <x:v>gtja_100</x:v>
      </x:c>
      <x:c r="C378" s="50" t="n">
        <x:v>20</x:v>
      </x:c>
      <x:c r="D378" t="str">
        <x:f>IF(E378&gt;=0,"positive","negative")</x:f>
        <x:v>negative</x:v>
      </x:c>
      <x:c r="E378" s="30" t="n">
        <x:v>-0.06784085347520025</x:v>
      </x:c>
      <x:c r="F378" s="30" t="n">
        <x:f>ABS(E378)</x:f>
        <x:v>0.06784085347520025</x:v>
      </x:c>
      <x:c r="G378" s="30" t="n">
        <x:v>0.11006825550796548</x:v>
      </x:c>
      <x:c r="H378" s="30" t="n">
        <x:v>-0.6163525819693827</x:v>
      </x:c>
      <x:c r="I378" s="30" t="n">
        <x:f>ABS(H378)</x:f>
        <x:v>0.6163525819693827</x:v>
      </x:c>
      <x:c r="J378" s="30" t="n">
        <x:v>0.2756183745583039</x:v>
      </x:c>
      <x:c r="K378" s="30" t="n">
        <x:v>-0.03199033881805518</x:v>
      </x:c>
      <x:c r="L378" s="30" t="n">
        <x:v>-0.45306963708695036</x:v>
      </x:c>
      <x:c r="M378" s="30" t="n">
        <x:v>0.32054517920242304</x:v>
      </x:c>
      <x:c r="N378" s="19" t="n">
        <x:v>1981</x:v>
      </x:c>
      <x:c r="O378" t="b">
        <x:f>P378="legacy_common_sample_8902245"</x:f>
        <x:v>1</x:v>
      </x:c>
      <x:c r="P378" t="str">
        <x:v>legacy_common_sample_8902245</x:v>
      </x:c>
      <x:c r="Q378" s="74" t="n">
        <x:v>46210.57471123843</x:v>
      </x:c>
      <x:c r="R378" s="19" t="n">
        <x:v>8902245</x:v>
      </x:c>
      <x:c r="S378" t="str">
        <x:v>40355b29bce094aef0e99358bdfd4011b92e72a54440a67760de4afae4883c33</x:v>
      </x:c>
      <x:c r="T378" t="str">
        <x:v>factor_report/gtja191_batch/gtja_100/ic_summary.csv</x:v>
      </x:c>
    </x:row>
    <x:row r="379">
      <x:c r="A379" s="50" t="n">
        <x:f>IF($P379="legacy_common_sample_8902245",1+COUNTIFS($C$5:$C$546,$C379,$P$5:$P$546,"legacy_common_sample_8902245",$I$5:$I$546,"&gt;"&amp;$I379),"")</x:f>
        <x:v>19</x:v>
      </x:c>
      <x:c r="B379" t="str">
        <x:v>gtja_118</x:v>
      </x:c>
      <x:c r="C379" s="50" t="n">
        <x:v>20</x:v>
      </x:c>
      <x:c r="D379" t="str">
        <x:f>IF(E379&gt;=0,"positive","negative")</x:f>
        <x:v>negative</x:v>
      </x:c>
      <x:c r="E379" s="30" t="n">
        <x:v>-0.06584152426254862</x:v>
      </x:c>
      <x:c r="F379" s="30" t="n">
        <x:f>ABS(E379)</x:f>
        <x:v>0.06584152426254862</x:v>
      </x:c>
      <x:c r="G379" s="30" t="n">
        <x:v>0.1101985543429542</x:v>
      </x:c>
      <x:c r="H379" s="30" t="n">
        <x:v>-0.5974808349811928</x:v>
      </x:c>
      <x:c r="I379" s="30" t="n">
        <x:f>ABS(H379)</x:f>
        <x:v>0.5974808349811928</x:v>
      </x:c>
      <x:c r="J379" s="30" t="n">
        <x:v>0.2756183745583039</x:v>
      </x:c>
      <x:c r="K379" s="30" t="n">
        <x:v>-0.03319199642386431</x:v>
      </x:c>
      <x:c r="L379" s="30" t="n">
        <x:v>-0.3324393248634844</x:v>
      </x:c>
      <x:c r="M379" s="30" t="n">
        <x:v>0.3629480060575467</x:v>
      </x:c>
      <x:c r="N379" s="19" t="n">
        <x:v>1981</x:v>
      </x:c>
      <x:c r="O379" t="b">
        <x:f>P379="legacy_common_sample_8902245"</x:f>
        <x:v>1</x:v>
      </x:c>
      <x:c r="P379" t="str">
        <x:v>legacy_common_sample_8902245</x:v>
      </x:c>
      <x:c r="Q379" s="74" t="n">
        <x:v>46210.66222452546</x:v>
      </x:c>
      <x:c r="R379" s="19" t="n">
        <x:v>8902245</x:v>
      </x:c>
      <x:c r="S379" t="str">
        <x:v>40355b29bce094aef0e99358bdfd4011b92e72a54440a67760de4afae4883c33</x:v>
      </x:c>
      <x:c r="T379" t="str">
        <x:v>factor_report/gtja191_batch/gtja_118/ic_summary.csv</x:v>
      </x:c>
    </x:row>
    <x:row r="380">
      <x:c r="A380" s="50" t="n">
        <x:f>IF($P380="legacy_common_sample_8902245",1+COUNTIFS($C$5:$C$546,$C380,$P$5:$P$546,"legacy_common_sample_8902245",$I$5:$I$546,"&gt;"&amp;$I380),"")</x:f>
        <x:v>20</x:v>
      </x:c>
      <x:c r="B380" t="str">
        <x:v>gtja_132</x:v>
      </x:c>
      <x:c r="C380" s="50" t="n">
        <x:v>20</x:v>
      </x:c>
      <x:c r="D380" t="str">
        <x:f>IF(E380&gt;=0,"positive","negative")</x:f>
        <x:v>negative</x:v>
      </x:c>
      <x:c r="E380" s="30" t="n">
        <x:v>-0.09705993231890751</x:v>
      </x:c>
      <x:c r="F380" s="30" t="n">
        <x:f>ABS(E380)</x:f>
        <x:v>0.09705993231890751</x:v>
      </x:c>
      <x:c r="G380" s="30" t="n">
        <x:v>0.1631993920248416</x:v>
      </x:c>
      <x:c r="H380" s="30" t="n">
        <x:v>-0.5947321930227131</x:v>
      </x:c>
      <x:c r="I380" s="30" t="n">
        <x:f>ABS(H380)</x:f>
        <x:v>0.5947321930227131</x:v>
      </x:c>
      <x:c r="J380" s="30" t="n">
        <x:v>0.2670368500757193</x:v>
      </x:c>
      <x:c r="K380" s="30" t="n">
        <x:v>-0.026727221776275147</x:v>
      </x:c>
      <x:c r="L380" s="30" t="n">
        <x:v>-0.25562862121615865</x:v>
      </x:c>
      <x:c r="M380" s="30" t="n">
        <x:v>0.3614336193841494</x:v>
      </x:c>
      <x:c r="N380" s="19" t="n">
        <x:v>1981</x:v>
      </x:c>
      <x:c r="O380" t="b">
        <x:f>P380="legacy_common_sample_8902245"</x:f>
        <x:v>1</x:v>
      </x:c>
      <x:c r="P380" t="str">
        <x:v>legacy_common_sample_8902245</x:v>
      </x:c>
      <x:c r="Q380" s="74" t="n">
        <x:v>46210.73378372685</x:v>
      </x:c>
      <x:c r="R380" s="19" t="n">
        <x:v>8902245</x:v>
      </x:c>
      <x:c r="S380" t="str">
        <x:v>40355b29bce094aef0e99358bdfd4011b92e72a54440a67760de4afae4883c33</x:v>
      </x:c>
      <x:c r="T380" t="str">
        <x:v>factor_report/gtja191_batch/gtja_132/ic_summary.csv</x:v>
      </x:c>
    </x:row>
    <x:row r="381">
      <x:c r="A381" s="50" t="n">
        <x:f>IF($P381="legacy_common_sample_8902245",1+COUNTIFS($C$5:$C$546,$C381,$P$5:$P$546,"legacy_common_sample_8902245",$I$5:$I$546,"&gt;"&amp;$I381),"")</x:f>
        <x:v>21</x:v>
      </x:c>
      <x:c r="B381" t="str">
        <x:v>gtja_094</x:v>
      </x:c>
      <x:c r="C381" s="50" t="n">
        <x:v>20</x:v>
      </x:c>
      <x:c r="D381" t="str">
        <x:f>IF(E381&gt;=0,"positive","negative")</x:f>
        <x:v>negative</x:v>
      </x:c>
      <x:c r="E381" s="30" t="n">
        <x:v>-0.05899909339437195</x:v>
      </x:c>
      <x:c r="F381" s="30" t="n">
        <x:f>ABS(E381)</x:f>
        <x:v>0.05899909339437195</x:v>
      </x:c>
      <x:c r="G381" s="30" t="n">
        <x:v>0.10069114206881495</x:v>
      </x:c>
      <x:c r="H381" s="30" t="n">
        <x:v>-0.5859412474838197</x:v>
      </x:c>
      <x:c r="I381" s="30" t="n">
        <x:f>ABS(H381)</x:f>
        <x:v>0.5859412474838197</x:v>
      </x:c>
      <x:c r="J381" s="30" t="n">
        <x:v>0.27713276123170116</x:v>
      </x:c>
      <x:c r="K381" s="30" t="n">
        <x:v>-0.027378800087045102</x:v>
      </x:c>
      <x:c r="L381" s="30" t="n">
        <x:v>-0.40884684121279147</x:v>
      </x:c>
      <x:c r="M381" s="30" t="n">
        <x:v>0.32004038364462395</x:v>
      </x:c>
      <x:c r="N381" s="19" t="n">
        <x:v>1981</x:v>
      </x:c>
      <x:c r="O381" t="b">
        <x:f>P381="legacy_common_sample_8902245"</x:f>
        <x:v>1</x:v>
      </x:c>
      <x:c r="P381" t="str">
        <x:v>legacy_common_sample_8902245</x:v>
      </x:c>
      <x:c r="Q381" s="74" t="n">
        <x:v>46210.54834915509</x:v>
      </x:c>
      <x:c r="R381" s="19" t="n">
        <x:v>8902245</x:v>
      </x:c>
      <x:c r="S381" t="str">
        <x:v>40355b29bce094aef0e99358bdfd4011b92e72a54440a67760de4afae4883c33</x:v>
      </x:c>
      <x:c r="T381" t="str">
        <x:v>factor_report/gtja191_batch/gtja_094/ic_summary.csv</x:v>
      </x:c>
    </x:row>
    <x:row r="382">
      <x:c r="A382" s="50" t="n">
        <x:f>IF($P382="legacy_common_sample_8902245",1+COUNTIFS($C$5:$C$546,$C382,$P$5:$P$546,"legacy_common_sample_8902245",$I$5:$I$546,"&gt;"&amp;$I382),"")</x:f>
        <x:v>22</x:v>
      </x:c>
      <x:c r="B382" t="str">
        <x:v>gtja_140</x:v>
      </x:c>
      <x:c r="C382" s="50" t="n">
        <x:v>20</x:v>
      </x:c>
      <x:c r="D382" t="str">
        <x:f>IF(E382&gt;=0,"positive","negative")</x:f>
        <x:v>positive</x:v>
      </x:c>
      <x:c r="E382" s="30" t="n">
        <x:v>0.058904394386351505</x:v>
      </x:c>
      <x:c r="F382" s="30" t="n">
        <x:f>ABS(E382)</x:f>
        <x:v>0.058904394386351505</x:v>
      </x:c>
      <x:c r="G382" s="30" t="n">
        <x:v>0.10162398472028311</x:v>
      </x:c>
      <x:c r="H382" s="30" t="n">
        <x:v>0.5796308277862163</x:v>
      </x:c>
      <x:c r="I382" s="30" t="n">
        <x:f>ABS(H382)</x:f>
        <x:v>0.5796308277862163</x:v>
      </x:c>
      <x:c r="J382" s="30" t="n">
        <x:v>0.7358684480986639</x:v>
      </x:c>
      <x:c r="K382" s="30" t="n">
        <x:v>0.015649863372203213</x:v>
      </x:c>
      <x:c r="L382" s="30" t="n">
        <x:v>0.1785682898186475</x:v>
      </x:c>
      <x:c r="M382" s="30" t="n">
        <x:v>0.5719424460431655</x:v>
      </x:c>
      <x:c r="N382" s="19" t="n">
        <x:v>1946</x:v>
      </x:c>
      <x:c r="O382" t="b">
        <x:f>P382="legacy_common_sample_8902245"</x:f>
        <x:v>1</x:v>
      </x:c>
      <x:c r="P382" t="str">
        <x:v>legacy_common_sample_8902245</x:v>
      </x:c>
      <x:c r="Q382" s="74" t="n">
        <x:v>46211.441442916665</x:v>
      </x:c>
      <x:c r="R382" s="19" t="n">
        <x:v>8902245</x:v>
      </x:c>
      <x:c r="S382" t="str">
        <x:v>8f7e606554926462248cbcc654181861438ca768a0063f6b317223ede37d16fb</x:v>
      </x:c>
      <x:c r="T382" t="str">
        <x:v>factor_report/gtja191_batch/gtja_140/ic_summary.csv</x:v>
      </x:c>
    </x:row>
    <x:row r="383">
      <x:c r="A383" s="50" t="n">
        <x:f>IF($P383="legacy_common_sample_8902245",1+COUNTIFS($C$5:$C$546,$C383,$P$5:$P$546,"legacy_common_sample_8902245",$I$5:$I$546,"&gt;"&amp;$I383),"")</x:f>
        <x:v>23</x:v>
      </x:c>
      <x:c r="B383" t="str">
        <x:v>gtja_156</x:v>
      </x:c>
      <x:c r="C383" s="50" t="n">
        <x:v>20</x:v>
      </x:c>
      <x:c r="D383" t="str">
        <x:f>IF(E383&gt;=0,"positive","negative")</x:f>
        <x:v>positive</x:v>
      </x:c>
      <x:c r="E383" s="30" t="n">
        <x:v>0.06318085745008127</x:v>
      </x:c>
      <x:c r="F383" s="30" t="n">
        <x:f>ABS(E383)</x:f>
        <x:v>0.06318085745008127</x:v>
      </x:c>
      <x:c r="G383" s="30" t="n">
        <x:v>0.11019826229320252</x:v>
      </x:c>
      <x:c r="H383" s="30" t="n">
        <x:v>0.5733380557488021</x:v>
      </x:c>
      <x:c r="I383" s="30" t="n">
        <x:f>ABS(H383)</x:f>
        <x:v>0.5733380557488021</x:v>
      </x:c>
      <x:c r="J383" s="30" t="n">
        <x:v>0.712771327612317</x:v>
      </x:c>
      <x:c r="K383" s="30" t="n">
        <x:v>0.029310860798907244</x:v>
      </x:c>
      <x:c r="L383" s="30" t="n">
        <x:v>0.3135468355658616</x:v>
      </x:c>
      <x:c r="M383" s="30" t="n">
        <x:v>0.618879353861686</x:v>
      </x:c>
      <x:c r="N383" s="19" t="n">
        <x:v>1981</x:v>
      </x:c>
      <x:c r="O383" t="b">
        <x:f>P383="legacy_common_sample_8902245"</x:f>
        <x:v>1</x:v>
      </x:c>
      <x:c r="P383" t="str">
        <x:v>legacy_common_sample_8902245</x:v>
      </x:c>
      <x:c r="Q383" s="74" t="n">
        <x:v>46211.50185851852</x:v>
      </x:c>
      <x:c r="R383" s="19" t="n">
        <x:v>8902245</x:v>
      </x:c>
      <x:c r="S383" t="str">
        <x:v>8f7e606554926462248cbcc654181861438ca768a0063f6b317223ede37d16fb</x:v>
      </x:c>
      <x:c r="T383" t="str">
        <x:v>factor_report/gtja191_batch/gtja_156/ic_summary.csv</x:v>
      </x:c>
    </x:row>
    <x:row r="384">
      <x:c r="A384" s="50" t="n">
        <x:f>IF($P384="legacy_common_sample_8902245",1+COUNTIFS($C$5:$C$546,$C384,$P$5:$P$546,"legacy_common_sample_8902245",$I$5:$I$546,"&gt;"&amp;$I384),"")</x:f>
        <x:v>24</x:v>
      </x:c>
      <x:c r="B384" t="str">
        <x:v>gtja_061</x:v>
      </x:c>
      <x:c r="C384" s="50" t="n">
        <x:v>20</x:v>
      </x:c>
      <x:c r="D384" t="str">
        <x:f>IF(E384&gt;=0,"positive","negative")</x:f>
        <x:v>positive</x:v>
      </x:c>
      <x:c r="E384" s="30" t="n">
        <x:v>0.0524166661641735</x:v>
      </x:c>
      <x:c r="F384" s="30" t="n">
        <x:f>ABS(E384)</x:f>
        <x:v>0.0524166661641735</x:v>
      </x:c>
      <x:c r="G384" s="30" t="n">
        <x:v>0.09336431784432507</x:v>
      </x:c>
      <x:c r="H384" s="30" t="n">
        <x:v>0.5614207587482473</x:v>
      </x:c>
      <x:c r="I384" s="30" t="n">
        <x:f>ABS(H384)</x:f>
        <x:v>0.5614207587482473</x:v>
      </x:c>
      <x:c r="J384" s="30" t="n">
        <x:v>0.7243159525038719</x:v>
      </x:c>
      <x:c r="K384" s="30" t="n">
        <x:v>0.024912745428397262</x:v>
      </x:c>
      <x:c r="L384" s="30" t="n">
        <x:v>0.31285466815506774</x:v>
      </x:c>
      <x:c r="M384" s="30" t="n">
        <x:v>0.628291171915333</x:v>
      </x:c>
      <x:c r="N384" s="19" t="n">
        <x:v>1937</x:v>
      </x:c>
      <x:c r="O384" t="b">
        <x:f>P384="legacy_common_sample_8902245"</x:f>
        <x:v>1</x:v>
      </x:c>
      <x:c r="P384" t="str">
        <x:v>legacy_common_sample_8902245</x:v>
      </x:c>
      <x:c r="Q384" s="74" t="n">
        <x:v>46211.287648680554</x:v>
      </x:c>
      <x:c r="R384" s="19" t="n">
        <x:v>8902245</x:v>
      </x:c>
      <x:c r="S384" t="str">
        <x:v>8f7e606554926462248cbcc654181861438ca768a0063f6b317223ede37d16fb</x:v>
      </x:c>
      <x:c r="T384" t="str">
        <x:v>factor_report/gtja191_batch/gtja_061/ic_summary.csv</x:v>
      </x:c>
    </x:row>
    <x:row r="385">
      <x:c r="A385" s="50" t="n">
        <x:f>IF($P385="legacy_common_sample_8902245",1+COUNTIFS($C$5:$C$546,$C385,$P$5:$P$546,"legacy_common_sample_8902245",$I$5:$I$546,"&gt;"&amp;$I385),"")</x:f>
        <x:v>25</x:v>
      </x:c>
      <x:c r="B385" t="str">
        <x:v>gtja_139</x:v>
      </x:c>
      <x:c r="C385" s="50" t="n">
        <x:v>20</x:v>
      </x:c>
      <x:c r="D385" t="str">
        <x:f>IF(E385&gt;=0,"positive","negative")</x:f>
        <x:v>positive</x:v>
      </x:c>
      <x:c r="E385" s="30" t="n">
        <x:v>0.03993494936333283</x:v>
      </x:c>
      <x:c r="F385" s="30" t="n">
        <x:f>ABS(E385)</x:f>
        <x:v>0.03993494936333283</x:v>
      </x:c>
      <x:c r="G385" s="30" t="n">
        <x:v>0.07257327935758602</x:v>
      </x:c>
      <x:c r="H385" s="30" t="n">
        <x:v>0.5502707017904445</x:v>
      </x:c>
      <x:c r="I385" s="30" t="n">
        <x:f>ABS(H385)</x:f>
        <x:v>0.5502707017904445</x:v>
      </x:c>
      <x:c r="J385" s="30" t="n">
        <x:v>0.7193336698637052</x:v>
      </x:c>
      <x:c r="K385" s="30" t="n">
        <x:v>0.024047797707480723</x:v>
      </x:c>
      <x:c r="L385" s="30" t="n">
        <x:v>0.39252187875431144</x:v>
      </x:c>
      <x:c r="M385" s="30" t="n">
        <x:v>0.6607773851590106</x:v>
      </x:c>
      <x:c r="N385" s="19" t="n">
        <x:v>1981</x:v>
      </x:c>
      <x:c r="O385" t="b">
        <x:f>P385="legacy_common_sample_8902245"</x:f>
        <x:v>1</x:v>
      </x:c>
      <x:c r="P385" t="str">
        <x:v>legacy_common_sample_8902245</x:v>
      </x:c>
      <x:c r="Q385" s="74" t="n">
        <x:v>46211.435147662036</x:v>
      </x:c>
      <x:c r="R385" s="19" t="n">
        <x:v>8902245</x:v>
      </x:c>
      <x:c r="S385" t="str">
        <x:v>8f7e606554926462248cbcc654181861438ca768a0063f6b317223ede37d16fb</x:v>
      </x:c>
      <x:c r="T385" t="str">
        <x:v>factor_report/gtja191_batch/gtja_139/ic_summary.csv</x:v>
      </x:c>
    </x:row>
    <x:row r="386">
      <x:c r="A386" s="50" t="n">
        <x:f>IF($P386="legacy_common_sample_8902245",1+COUNTIFS($C$5:$C$546,$C386,$P$5:$P$546,"legacy_common_sample_8902245",$I$5:$I$546,"&gt;"&amp;$I386),"")</x:f>
        <x:v>26</x:v>
      </x:c>
      <x:c r="B386" t="str">
        <x:v>gtja_081</x:v>
      </x:c>
      <x:c r="C386" s="50" t="n">
        <x:v>20</x:v>
      </x:c>
      <x:c r="D386" t="str">
        <x:f>IF(E386&gt;=0,"positive","negative")</x:f>
        <x:v>negative</x:v>
      </x:c>
      <x:c r="E386" s="30" t="n">
        <x:v>-0.060928068467405144</x:v>
      </x:c>
      <x:c r="F386" s="30" t="n">
        <x:f>ABS(E386)</x:f>
        <x:v>0.060928068467405144</x:v>
      </x:c>
      <x:c r="G386" s="30" t="n">
        <x:v>0.11564740330344445</x:v>
      </x:c>
      <x:c r="H386" s="30" t="n">
        <x:v>-0.5268433767383212</x:v>
      </x:c>
      <x:c r="I386" s="30" t="n">
        <x:f>ABS(H386)</x:f>
        <x:v>0.5268433767383212</x:v>
      </x:c>
      <x:c r="J386" s="30" t="n">
        <x:v>0.31246845027763753</x:v>
      </x:c>
      <x:c r="K386" s="30" t="n">
        <x:v>-0.029405477897469175</x:v>
      </x:c>
      <x:c r="L386" s="30" t="n">
        <x:v>-0.39251887743035485</x:v>
      </x:c>
      <x:c r="M386" s="30" t="n">
        <x:v>0.3382130237253912</x:v>
      </x:c>
      <x:c r="N386" s="19" t="n">
        <x:v>1981</x:v>
      </x:c>
      <x:c r="O386" t="b">
        <x:f>P386="legacy_common_sample_8902245"</x:f>
        <x:v>1</x:v>
      </x:c>
      <x:c r="P386" t="str">
        <x:v>legacy_common_sample_8902245</x:v>
      </x:c>
      <x:c r="Q386" s="74" t="n">
        <x:v>46210.48091090278</x:v>
      </x:c>
      <x:c r="R386" s="19" t="n">
        <x:v>8902245</x:v>
      </x:c>
      <x:c r="S386" t="str">
        <x:v>40355b29bce094aef0e99358bdfd4011b92e72a54440a67760de4afae4883c33</x:v>
      </x:c>
      <x:c r="T386" t="str">
        <x:v>factor_report/gtja191_batch/gtja_081/ic_summary.csv</x:v>
      </x:c>
    </x:row>
    <x:row r="387">
      <x:c r="A387" s="50" t="n">
        <x:f>IF($P387="legacy_common_sample_8902245",1+COUNTIFS($C$5:$C$546,$C387,$P$5:$P$546,"legacy_common_sample_8902245",$I$5:$I$546,"&gt;"&amp;$I387),"")</x:f>
        <x:v>27</x:v>
      </x:c>
      <x:c r="B387" t="str">
        <x:v>gtja_084</x:v>
      </x:c>
      <x:c r="C387" s="50" t="n">
        <x:v>20</x:v>
      </x:c>
      <x:c r="D387" t="str">
        <x:f>IF(E387&gt;=0,"positive","negative")</x:f>
        <x:v>negative</x:v>
      </x:c>
      <x:c r="E387" s="30" t="n">
        <x:v>-0.05088072449977146</x:v>
      </x:c>
      <x:c r="F387" s="30" t="n">
        <x:f>ABS(E387)</x:f>
        <x:v>0.05088072449977146</x:v>
      </x:c>
      <x:c r="G387" s="30" t="n">
        <x:v>0.09690800661187607</x:v>
      </x:c>
      <x:c r="H387" s="30" t="n">
        <x:v>-0.5250414932540366</x:v>
      </x:c>
      <x:c r="I387" s="30" t="n">
        <x:f>ABS(H387)</x:f>
        <x:v>0.5250414932540366</x:v>
      </x:c>
      <x:c r="J387" s="30" t="n">
        <x:v>0.28975265017667845</x:v>
      </x:c>
      <x:c r="K387" s="30" t="n">
        <x:v>-0.024568103480382575</x:v>
      </x:c>
      <x:c r="L387" s="30" t="n">
        <x:v>-0.38717237280332883</x:v>
      </x:c>
      <x:c r="M387" s="30" t="n">
        <x:v>0.3397274103987885</x:v>
      </x:c>
      <x:c r="N387" s="19" t="n">
        <x:v>1981</x:v>
      </x:c>
      <x:c r="O387" t="b">
        <x:f>P387="legacy_common_sample_8902245"</x:f>
        <x:v>1</x:v>
      </x:c>
      <x:c r="P387" t="str">
        <x:v>legacy_common_sample_8902245</x:v>
      </x:c>
      <x:c r="Q387" s="74" t="n">
        <x:v>46210.493655</x:v>
      </x:c>
      <x:c r="R387" s="19" t="n">
        <x:v>8902245</x:v>
      </x:c>
      <x:c r="S387" t="str">
        <x:v>40355b29bce094aef0e99358bdfd4011b92e72a54440a67760de4afae4883c33</x:v>
      </x:c>
      <x:c r="T387" t="str">
        <x:v>factor_report/gtja191_batch/gtja_084/ic_summary.csv</x:v>
      </x:c>
    </x:row>
    <x:row r="388">
      <x:c r="A388" s="50" t="n">
        <x:f>IF($P388="legacy_common_sample_8902245",1+COUNTIFS($C$5:$C$546,$C388,$P$5:$P$546,"legacy_common_sample_8902245",$I$5:$I$546,"&gt;"&amp;$I388),"")</x:f>
        <x:v>28</x:v>
      </x:c>
      <x:c r="B388" t="str">
        <x:v>gtja_159</x:v>
      </x:c>
      <x:c r="C388" s="50" t="n">
        <x:v>20</x:v>
      </x:c>
      <x:c r="D388" t="str">
        <x:f>IF(E388&gt;=0,"positive","negative")</x:f>
        <x:v>negative</x:v>
      </x:c>
      <x:c r="E388" s="30" t="n">
        <x:v>-0.09704336413748631</x:v>
      </x:c>
      <x:c r="F388" s="30" t="n">
        <x:f>ABS(E388)</x:f>
        <x:v>0.09704336413748631</x:v>
      </x:c>
      <x:c r="G388" s="30" t="n">
        <x:v>0.18561403500389465</x:v>
      </x:c>
      <x:c r="H388" s="30" t="n">
        <x:v>-0.5228234176119823</x:v>
      </x:c>
      <x:c r="I388" s="30" t="n">
        <x:f>ABS(H388)</x:f>
        <x:v>0.5228234176119823</x:v>
      </x:c>
      <x:c r="J388" s="30" t="n">
        <x:v>0.2922766279656739</x:v>
      </x:c>
      <x:c r="K388" s="30" t="n">
        <x:v>-0.02577757565719447</x:v>
      </x:c>
      <x:c r="L388" s="30" t="n">
        <x:v>-0.17294784496485777</x:v>
      </x:c>
      <x:c r="M388" s="30" t="n">
        <x:v>0.4482584553255931</x:v>
      </x:c>
      <x:c r="N388" s="19" t="n">
        <x:v>1981</x:v>
      </x:c>
      <x:c r="O388" t="b">
        <x:f>P388="legacy_common_sample_8902245"</x:f>
        <x:v>1</x:v>
      </x:c>
      <x:c r="P388" t="str">
        <x:v>legacy_common_sample_8902245</x:v>
      </x:c>
      <x:c r="Q388" s="74" t="n">
        <x:v>46210.85484907407</x:v>
      </x:c>
      <x:c r="R388" s="19" t="n">
        <x:v>8902245</x:v>
      </x:c>
      <x:c r="S388" t="str">
        <x:v>40355b29bce094aef0e99358bdfd4011b92e72a54440a67760de4afae4883c33</x:v>
      </x:c>
      <x:c r="T388" t="str">
        <x:v>factor_report/gtja191_batch/gtja_159/ic_summary.csv</x:v>
      </x:c>
    </x:row>
    <x:row r="389">
      <x:c r="A389" s="50" t="n">
        <x:f>IF($P389="legacy_common_sample_8902245",1+COUNTIFS($C$5:$C$546,$C389,$P$5:$P$546,"legacy_common_sample_8902245",$I$5:$I$546,"&gt;"&amp;$I389),"")</x:f>
        <x:v>29</x:v>
      </x:c>
      <x:c r="B389" t="str">
        <x:v>gtja_041</x:v>
      </x:c>
      <x:c r="C389" s="50" t="n">
        <x:v>20</x:v>
      </x:c>
      <x:c r="D389" t="str">
        <x:f>IF(E389&gt;=0,"positive","negative")</x:f>
        <x:v>positive</x:v>
      </x:c>
      <x:c r="E389" s="30" t="n">
        <x:v>0.07454857927237946</x:v>
      </x:c>
      <x:c r="F389" s="30" t="n">
        <x:f>ABS(E389)</x:f>
        <x:v>0.07454857927237946</x:v>
      </x:c>
      <x:c r="G389" s="30" t="n">
        <x:v>0.14327787214005627</x:v>
      </x:c>
      <x:c r="H389" s="30" t="n">
        <x:v>0.5203076941253504</x:v>
      </x:c>
      <x:c r="I389" s="30" t="n">
        <x:f>ABS(H389)</x:f>
        <x:v>0.5203076941253504</x:v>
      </x:c>
      <x:c r="J389" s="30" t="n">
        <x:v>0.6956082786471479</x:v>
      </x:c>
      <x:c r="K389" s="30" t="n">
        <x:v>0.040161665025499886</x:v>
      </x:c>
      <x:c r="L389" s="30" t="n">
        <x:v>0.3120378745150196</x:v>
      </x:c>
      <x:c r="M389" s="30" t="n">
        <x:v>0.6208985360928824</x:v>
      </x:c>
      <x:c r="N389" s="19" t="n">
        <x:v>1981</x:v>
      </x:c>
      <x:c r="O389" t="b">
        <x:f>P389="legacy_common_sample_8902245"</x:f>
        <x:v>1</x:v>
      </x:c>
      <x:c r="P389" t="str">
        <x:v>legacy_common_sample_8902245</x:v>
      </x:c>
      <x:c r="Q389" s="74" t="n">
        <x:v>46211.24883207176</x:v>
      </x:c>
      <x:c r="R389" s="19" t="n">
        <x:v>8902245</x:v>
      </x:c>
      <x:c r="S389" t="str">
        <x:v>8f7e606554926462248cbcc654181861438ca768a0063f6b317223ede37d16fb</x:v>
      </x:c>
      <x:c r="T389" t="str">
        <x:v>factor_report/gtja191_batch/gtja_041/ic_summary.csv</x:v>
      </x:c>
    </x:row>
    <x:row r="390">
      <x:c r="A390" s="50" t="n">
        <x:f>IF($P390="legacy_common_sample_8902245",1+COUNTIFS($C$5:$C$546,$C390,$P$5:$P$546,"legacy_common_sample_8902245",$I$5:$I$546,"&gt;"&amp;$I390),"")</x:f>
        <x:v>30</x:v>
      </x:c>
      <x:c r="B390" t="str">
        <x:v>gtja_158</x:v>
      </x:c>
      <x:c r="C390" s="50" t="n">
        <x:v>20</x:v>
      </x:c>
      <x:c r="D390" t="str">
        <x:f>IF(E390&gt;=0,"positive","negative")</x:f>
        <x:v>negative</x:v>
      </x:c>
      <x:c r="E390" s="30" t="n">
        <x:v>-0.07619005015983824</x:v>
      </x:c>
      <x:c r="F390" s="30" t="n">
        <x:f>ABS(E390)</x:f>
        <x:v>0.07619005015983824</x:v>
      </x:c>
      <x:c r="G390" s="30" t="n">
        <x:v>0.14653593624438352</x:v>
      </x:c>
      <x:c r="H390" s="30" t="n">
        <x:v>-0.5199410609611366</x:v>
      </x:c>
      <x:c r="I390" s="30" t="n">
        <x:f>ABS(H390)</x:f>
        <x:v>0.5199410609611366</x:v>
      </x:c>
      <x:c r="J390" s="30" t="n">
        <x:v>0.3008581524482585</x:v>
      </x:c>
      <x:c r="K390" s="30" t="n">
        <x:v>-0.04142049505226221</x:v>
      </x:c>
      <x:c r="L390" s="30" t="n">
        <x:v>-0.352531741368863</x:v>
      </x:c>
      <x:c r="M390" s="30" t="n">
        <x:v>0.36597677940434126</x:v>
      </x:c>
      <x:c r="N390" s="19" t="n">
        <x:v>1981</x:v>
      </x:c>
      <x:c r="O390" t="b">
        <x:f>P390="legacy_common_sample_8902245"</x:f>
        <x:v>1</x:v>
      </x:c>
      <x:c r="P390" t="str">
        <x:v>legacy_common_sample_8902245</x:v>
      </x:c>
      <x:c r="Q390" s="74" t="n">
        <x:v>46210.85092011574</x:v>
      </x:c>
      <x:c r="R390" s="19" t="n">
        <x:v>8902245</x:v>
      </x:c>
      <x:c r="S390" t="str">
        <x:v>40355b29bce094aef0e99358bdfd4011b92e72a54440a67760de4afae4883c33</x:v>
      </x:c>
      <x:c r="T390" t="str">
        <x:v>factor_report/gtja191_batch/gtja_158/ic_summary.csv</x:v>
      </x:c>
    </x:row>
    <x:row r="391">
      <x:c r="A391" s="50" t="n">
        <x:f>IF($P391="legacy_common_sample_8902245",1+COUNTIFS($C$5:$C$546,$C391,$P$5:$P$546,"legacy_common_sample_8902245",$I$5:$I$546,"&gt;"&amp;$I391),"")</x:f>
        <x:v>31</x:v>
      </x:c>
      <x:c r="B391" t="str">
        <x:v>gtja_059</x:v>
      </x:c>
      <x:c r="C391" s="50" t="n">
        <x:v>20</x:v>
      </x:c>
      <x:c r="D391" t="str">
        <x:f>IF(E391&gt;=0,"positive","negative")</x:f>
        <x:v>negative</x:v>
      </x:c>
      <x:c r="E391" s="30" t="n">
        <x:v>-0.06446362844496573</x:v>
      </x:c>
      <x:c r="F391" s="30" t="n">
        <x:f>ABS(E391)</x:f>
        <x:v>0.06446362844496573</x:v>
      </x:c>
      <x:c r="G391" s="30" t="n">
        <x:v>0.1271750999895543</x:v>
      </x:c>
      <x:c r="H391" s="30" t="n">
        <x:v>-0.5068887577069766</x:v>
      </x:c>
      <x:c r="I391" s="30" t="n">
        <x:f>ABS(H391)</x:f>
        <x:v>0.5068887577069766</x:v>
      </x:c>
      <x:c r="J391" s="30" t="n">
        <x:v>0.30792529025744575</x:v>
      </x:c>
      <x:c r="K391" s="30" t="n">
        <x:v>-0.026513978588463143</x:v>
      </x:c>
      <x:c r="L391" s="30" t="n">
        <x:v>-0.3093983922628764</x:v>
      </x:c>
      <x:c r="M391" s="30" t="n">
        <x:v>0.36042402826855124</x:v>
      </x:c>
      <x:c r="N391" s="19" t="n">
        <x:v>1981</x:v>
      </x:c>
      <x:c r="O391" t="b">
        <x:f>P391="legacy_common_sample_8902245"</x:f>
        <x:v>1</x:v>
      </x:c>
      <x:c r="P391" t="str">
        <x:v>legacy_common_sample_8902245</x:v>
      </x:c>
      <x:c r="Q391" s="74" t="n">
        <x:v>46210.36786096065</x:v>
      </x:c>
      <x:c r="R391" s="19" t="n">
        <x:v>8902245</x:v>
      </x:c>
      <x:c r="S391" t="str">
        <x:v>40355b29bce094aef0e99358bdfd4011b92e72a54440a67760de4afae4883c33</x:v>
      </x:c>
      <x:c r="T391" t="str">
        <x:v>factor_report/gtja191_batch/gtja_059/ic_summary.csv</x:v>
      </x:c>
    </x:row>
    <x:row r="392">
      <x:c r="A392" s="50" t="n">
        <x:f>IF($P392="legacy_common_sample_8902245",1+COUNTIFS($C$5:$C$546,$C392,$P$5:$P$546,"legacy_common_sample_8902245",$I$5:$I$546,"&gt;"&amp;$I392),"")</x:f>
        <x:v>32</x:v>
      </x:c>
      <x:c r="B392" t="str">
        <x:v>gtja_141</x:v>
      </x:c>
      <x:c r="C392" s="50" t="n">
        <x:v>20</x:v>
      </x:c>
      <x:c r="D392" t="str">
        <x:f>IF(E392&gt;=0,"positive","negative")</x:f>
        <x:v>positive</x:v>
      </x:c>
      <x:c r="E392" s="30" t="n">
        <x:v>0.02011006977563733</x:v>
      </x:c>
      <x:c r="F392" s="30" t="n">
        <x:f>ABS(E392)</x:f>
        <x:v>0.02011006977563733</x:v>
      </x:c>
      <x:c r="G392" s="30" t="n">
        <x:v>0.039929305111314074</x:v>
      </x:c>
      <x:c r="H392" s="30" t="n">
        <x:v>0.503641867034122</x:v>
      </x:c>
      <x:c r="I392" s="30" t="n">
        <x:f>ABS(H392)</x:f>
        <x:v>0.503641867034122</x:v>
      </x:c>
      <x:c r="J392" s="30" t="n">
        <x:v>0.6935890964159516</x:v>
      </x:c>
      <x:c r="K392" s="30" t="n">
        <x:v>0.012957220253134784</x:v>
      </x:c>
      <x:c r="L392" s="30" t="n">
        <x:v>0.3674061044834378</x:v>
      </x:c>
      <x:c r="M392" s="30" t="n">
        <x:v>0.6259464916708734</x:v>
      </x:c>
      <x:c r="N392" s="19" t="n">
        <x:v>1981</x:v>
      </x:c>
      <x:c r="O392" t="b">
        <x:f>P392="legacy_common_sample_8902245"</x:f>
        <x:v>1</x:v>
      </x:c>
      <x:c r="P392" t="str">
        <x:v>legacy_common_sample_8902245</x:v>
      </x:c>
      <x:c r="Q392" s="74" t="n">
        <x:v>46211.443886967594</x:v>
      </x:c>
      <x:c r="R392" s="19" t="n">
        <x:v>8902245</x:v>
      </x:c>
      <x:c r="S392" t="str">
        <x:v>8f7e606554926462248cbcc654181861438ca768a0063f6b317223ede37d16fb</x:v>
      </x:c>
      <x:c r="T392" t="str">
        <x:v>factor_report/gtja191_batch/gtja_141/ic_summary.csv</x:v>
      </x:c>
    </x:row>
    <x:row r="393">
      <x:c r="A393" s="50" t="n">
        <x:f>IF($P393="legacy_common_sample_8902245",1+COUNTIFS($C$5:$C$546,$C393,$P$5:$P$546,"legacy_common_sample_8902245",$I$5:$I$546,"&gt;"&amp;$I393),"")</x:f>
        <x:v>33</x:v>
      </x:c>
      <x:c r="B393" t="str">
        <x:v>gtja_069</x:v>
      </x:c>
      <x:c r="C393" s="50" t="n">
        <x:v>20</x:v>
      </x:c>
      <x:c r="D393" t="str">
        <x:f>IF(E393&gt;=0,"positive","negative")</x:f>
        <x:v>negative</x:v>
      </x:c>
      <x:c r="E393" s="30" t="n">
        <x:v>-0.05650258940319703</x:v>
      </x:c>
      <x:c r="F393" s="30" t="n">
        <x:f>ABS(E393)</x:f>
        <x:v>0.05650258940319703</x:v>
      </x:c>
      <x:c r="G393" s="30" t="n">
        <x:v>0.11457259771518252</x:v>
      </x:c>
      <x:c r="H393" s="30" t="n">
        <x:v>-0.49315971296782096</x:v>
      </x:c>
      <x:c r="I393" s="30" t="n">
        <x:f>ABS(H393)</x:f>
        <x:v>0.49315971296782096</x:v>
      </x:c>
      <x:c r="J393" s="30" t="n">
        <x:v>0.303886925795053</x:v>
      </x:c>
      <x:c r="K393" s="30" t="n">
        <x:v>-0.023130159278575816</x:v>
      </x:c>
      <x:c r="L393" s="30" t="n">
        <x:v>-0.232584557334274</x:v>
      </x:c>
      <x:c r="M393" s="30" t="n">
        <x:v>0.4215042907622413</x:v>
      </x:c>
      <x:c r="N393" s="19" t="n">
        <x:v>1981</x:v>
      </x:c>
      <x:c r="O393" t="b">
        <x:f>P393="legacy_common_sample_8902245"</x:f>
        <x:v>1</x:v>
      </x:c>
      <x:c r="P393" t="str">
        <x:v>legacy_common_sample_8902245</x:v>
      </x:c>
      <x:c r="Q393" s="74" t="n">
        <x:v>46210.41218387731</x:v>
      </x:c>
      <x:c r="R393" s="19" t="n">
        <x:v>8902245</x:v>
      </x:c>
      <x:c r="S393" t="str">
        <x:v>40355b29bce094aef0e99358bdfd4011b92e72a54440a67760de4afae4883c33</x:v>
      </x:c>
      <x:c r="T393" t="str">
        <x:v>factor_report/gtja191_batch/gtja_069/ic_summary.csv</x:v>
      </x:c>
    </x:row>
    <x:row r="394">
      <x:c r="A394" s="50" t="n">
        <x:f>IF($P394="legacy_common_sample_8902245",1+COUNTIFS($C$5:$C$546,$C394,$P$5:$P$546,"legacy_common_sample_8902245",$I$5:$I$546,"&gt;"&amp;$I394),"")</x:f>
        <x:v>34</x:v>
      </x:c>
      <x:c r="B394" t="str">
        <x:v>gtja_077</x:v>
      </x:c>
      <x:c r="C394" s="50" t="n">
        <x:v>20</x:v>
      </x:c>
      <x:c r="D394" t="str">
        <x:f>IF(E394&gt;=0,"positive","negative")</x:f>
        <x:v>positive</x:v>
      </x:c>
      <x:c r="E394" s="30" t="n">
        <x:v>0.04287942113184183</x:v>
      </x:c>
      <x:c r="F394" s="30" t="n">
        <x:f>ABS(E394)</x:f>
        <x:v>0.04287942113184183</x:v>
      </x:c>
      <x:c r="G394" s="30" t="n">
        <x:v>0.08791953664390777</x:v>
      </x:c>
      <x:c r="H394" s="30" t="n">
        <x:v>0.4877120918586311</x:v>
      </x:c>
      <x:c r="I394" s="30" t="n">
        <x:f>ABS(H394)</x:f>
        <x:v>0.4877120918586311</x:v>
      </x:c>
      <x:c r="J394" s="30" t="n">
        <x:v>0.6855123674911661</x:v>
      </x:c>
      <x:c r="K394" s="30" t="n">
        <x:v>0.025830671285083203</x:v>
      </x:c>
      <x:c r="L394" s="30" t="n">
        <x:v>0.3435948424346563</x:v>
      </x:c>
      <x:c r="M394" s="30" t="n">
        <x:v>0.6375567895002524</x:v>
      </x:c>
      <x:c r="N394" s="19" t="n">
        <x:v>1981</x:v>
      </x:c>
      <x:c r="O394" t="b">
        <x:f>P394="legacy_common_sample_8902245"</x:f>
        <x:v>1</x:v>
      </x:c>
      <x:c r="P394" t="str">
        <x:v>legacy_common_sample_8902245</x:v>
      </x:c>
      <x:c r="Q394" s="74" t="n">
        <x:v>46211.309369814815</x:v>
      </x:c>
      <x:c r="R394" s="19" t="n">
        <x:v>8902245</x:v>
      </x:c>
      <x:c r="S394" t="str">
        <x:v>8f7e606554926462248cbcc654181861438ca768a0063f6b317223ede37d16fb</x:v>
      </x:c>
      <x:c r="T394" t="str">
        <x:v>factor_report/gtja191_batch/gtja_077/ic_summary.csv</x:v>
      </x:c>
    </x:row>
    <x:row r="395">
      <x:c r="A395" s="50" t="n">
        <x:f>IF($P395="legacy_common_sample_8902245",1+COUNTIFS($C$5:$C$546,$C395,$P$5:$P$546,"legacy_common_sample_8902245",$I$5:$I$546,"&gt;"&amp;$I395),"")</x:f>
        <x:v>35</x:v>
      </x:c>
      <x:c r="B395" t="str">
        <x:v>gtja_040</x:v>
      </x:c>
      <x:c r="C395" s="50" t="n">
        <x:v>20</x:v>
      </x:c>
      <x:c r="D395" t="str">
        <x:f>IF(E395&gt;=0,"positive","negative")</x:f>
        <x:v>negative</x:v>
      </x:c>
      <x:c r="E395" s="30" t="n">
        <x:v>-0.05245285807447165</x:v>
      </x:c>
      <x:c r="F395" s="30" t="n">
        <x:f>ABS(E395)</x:f>
        <x:v>0.05245285807447165</x:v>
      </x:c>
      <x:c r="G395" s="30" t="n">
        <x:v>0.10780712886785893</x:v>
      </x:c>
      <x:c r="H395" s="30" t="n">
        <x:v>-0.48654350250588746</x:v>
      </x:c>
      <x:c r="I395" s="30" t="n">
        <x:f>ABS(H395)</x:f>
        <x:v>0.48654350250588746</x:v>
      </x:c>
      <x:c r="J395" s="30" t="n">
        <x:v>0.3392226148409894</x:v>
      </x:c>
      <x:c r="K395" s="30" t="n">
        <x:v>-0.02946455039592815</x:v>
      </x:c>
      <x:c r="L395" s="30" t="n">
        <x:v>-0.31554195759174863</x:v>
      </x:c>
      <x:c r="M395" s="30" t="n">
        <x:v>0.38768298838970217</x:v>
      </x:c>
      <x:c r="N395" s="19" t="n">
        <x:v>1981</x:v>
      </x:c>
      <x:c r="O395" t="b">
        <x:f>P395="legacy_common_sample_8902245"</x:f>
        <x:v>1</x:v>
      </x:c>
      <x:c r="P395" t="str">
        <x:v>legacy_common_sample_8902245</x:v>
      </x:c>
      <x:c r="Q395" s="74" t="n">
        <x:v>46210.279919872686</x:v>
      </x:c>
      <x:c r="R395" s="19" t="n">
        <x:v>8902245</x:v>
      </x:c>
      <x:c r="S395" t="str">
        <x:v>40355b29bce094aef0e99358bdfd4011b92e72a54440a67760de4afae4883c33</x:v>
      </x:c>
      <x:c r="T395" t="str">
        <x:v>factor_report/gtja191_batch/gtja_040/ic_summary.csv</x:v>
      </x:c>
    </x:row>
    <x:row r="396">
      <x:c r="A396" s="50" t="n">
        <x:f>IF($P396="legacy_common_sample_8902245",1+COUNTIFS($C$5:$C$546,$C396,$P$5:$P$546,"legacy_common_sample_8902245",$I$5:$I$546,"&gt;"&amp;$I396),"")</x:f>
        <x:v>36</x:v>
      </x:c>
      <x:c r="B396" t="str">
        <x:v>gtja_167</x:v>
      </x:c>
      <x:c r="C396" s="50" t="n">
        <x:v>20</x:v>
      </x:c>
      <x:c r="D396" t="str">
        <x:f>IF(E396&gt;=0,"positive","negative")</x:f>
        <x:v>negative</x:v>
      </x:c>
      <x:c r="E396" s="30" t="n">
        <x:v>-0.09096780095381629</x:v>
      </x:c>
      <x:c r="F396" s="30" t="n">
        <x:f>ABS(E396)</x:f>
        <x:v>0.09096780095381629</x:v>
      </x:c>
      <x:c r="G396" s="30" t="n">
        <x:v>0.18836487208923902</x:v>
      </x:c>
      <x:c r="H396" s="30" t="n">
        <x:v>-0.48293399902461503</x:v>
      </x:c>
      <x:c r="I396" s="30" t="n">
        <x:f>ABS(H396)</x:f>
        <x:v>0.48293399902461503</x:v>
      </x:c>
      <x:c r="J396" s="30" t="n">
        <x:v>0.3341746592629985</x:v>
      </x:c>
      <x:c r="K396" s="30" t="n">
        <x:v>-0.033358734743939716</x:v>
      </x:c>
      <x:c r="L396" s="30" t="n">
        <x:v>-0.2819590966796674</x:v>
      </x:c>
      <x:c r="M396" s="30" t="n">
        <x:v>0.381120646138314</x:v>
      </x:c>
      <x:c r="N396" s="19" t="n">
        <x:v>1981</x:v>
      </x:c>
      <x:c r="O396" t="b">
        <x:f>P396="legacy_common_sample_8902245"</x:f>
        <x:v>1</x:v>
      </x:c>
      <x:c r="P396" t="str">
        <x:v>legacy_common_sample_8902245</x:v>
      </x:c>
      <x:c r="Q396" s="74" t="n">
        <x:v>46210.888780636575</x:v>
      </x:c>
      <x:c r="R396" s="19" t="n">
        <x:v>8902245</x:v>
      </x:c>
      <x:c r="S396" t="str">
        <x:v>40355b29bce094aef0e99358bdfd4011b92e72a54440a67760de4afae4883c33</x:v>
      </x:c>
      <x:c r="T396" t="str">
        <x:v>factor_report/gtja191_batch/gtja_167/ic_summary.csv</x:v>
      </x:c>
    </x:row>
    <x:row r="397">
      <x:c r="A397" s="50" t="n">
        <x:f>IF($P397="legacy_common_sample_8902245",1+COUNTIFS($C$5:$C$546,$C397,$P$5:$P$546,"legacy_common_sample_8902245",$I$5:$I$546,"&gt;"&amp;$I397),"")</x:f>
        <x:v>37</x:v>
      </x:c>
      <x:c r="B397" t="str">
        <x:v>gtja_088</x:v>
      </x:c>
      <x:c r="C397" s="50" t="n">
        <x:v>20</x:v>
      </x:c>
      <x:c r="D397" t="str">
        <x:f>IF(E397&gt;=0,"positive","negative")</x:f>
        <x:v>negative</x:v>
      </x:c>
      <x:c r="E397" s="30" t="n">
        <x:v>-0.06656092574999298</x:v>
      </x:c>
      <x:c r="F397" s="30" t="n">
        <x:f>ABS(E397)</x:f>
        <x:v>0.06656092574999298</x:v>
      </x:c>
      <x:c r="G397" s="30" t="n">
        <x:v>0.13839445903150374</x:v>
      </x:c>
      <x:c r="H397" s="30" t="n">
        <x:v>-0.480950799734267</x:v>
      </x:c>
      <x:c r="I397" s="30" t="n">
        <x:f>ABS(H397)</x:f>
        <x:v>0.480950799734267</x:v>
      </x:c>
      <x:c r="J397" s="30" t="n">
        <x:v>0.31246845027763753</x:v>
      </x:c>
      <x:c r="K397" s="30" t="n">
        <x:v>-0.047169359571124864</x:v>
      </x:c>
      <x:c r="L397" s="30" t="n">
        <x:v>-0.38407184395912325</x:v>
      </x:c>
      <x:c r="M397" s="30" t="n">
        <x:v>0.33669863705199393</x:v>
      </x:c>
      <x:c r="N397" s="19" t="n">
        <x:v>1981</x:v>
      </x:c>
      <x:c r="O397" t="b">
        <x:f>P397="legacy_common_sample_8902245"</x:f>
        <x:v>1</x:v>
      </x:c>
      <x:c r="P397" t="str">
        <x:v>legacy_common_sample_8902245</x:v>
      </x:c>
      <x:c r="Q397" s="74" t="n">
        <x:v>46210.51801505787</x:v>
      </x:c>
      <x:c r="R397" s="19" t="n">
        <x:v>8902245</x:v>
      </x:c>
      <x:c r="S397" t="str">
        <x:v>40355b29bce094aef0e99358bdfd4011b92e72a54440a67760de4afae4883c33</x:v>
      </x:c>
      <x:c r="T397" t="str">
        <x:v>factor_report/gtja191_batch/gtja_088/ic_summary.csv</x:v>
      </x:c>
    </x:row>
    <x:row r="398">
      <x:c r="A398" s="50" t="n">
        <x:f>IF($P398="legacy_common_sample_8902245",1+COUNTIFS($C$5:$C$546,$C398,$P$5:$P$546,"legacy_common_sample_8902245",$I$5:$I$546,"&gt;"&amp;$I398),"")</x:f>
        <x:v>38</x:v>
      </x:c>
      <x:c r="B398" t="str">
        <x:v>gtja_001</x:v>
      </x:c>
      <x:c r="C398" s="50" t="n">
        <x:v>20</x:v>
      </x:c>
      <x:c r="D398" t="str">
        <x:f>IF(E398&gt;=0,"positive","negative")</x:f>
        <x:v>positive</x:v>
      </x:c>
      <x:c r="E398" s="30" t="n">
        <x:v>0.027015385108046932</x:v>
      </x:c>
      <x:c r="F398" s="30" t="n">
        <x:f>ABS(E398)</x:f>
        <x:v>0.027015385108046932</x:v>
      </x:c>
      <x:c r="G398" s="30" t="n">
        <x:v>0.05807042058723976</x:v>
      </x:c>
      <x:c r="H398" s="30" t="n">
        <x:v>0.46521765874695975</x:v>
      </x:c>
      <x:c r="I398" s="30" t="n">
        <x:f>ABS(H398)</x:f>
        <x:v>0.46521765874695975</x:v>
      </x:c>
      <x:c r="J398" s="30" t="n">
        <x:v>0.6769308430085815</x:v>
      </x:c>
      <x:c r="K398" s="30" t="n">
        <x:v>0.01157919232976945</x:v>
      </x:c>
      <x:c r="L398" s="30" t="n">
        <x:v>0.23310525727658032</x:v>
      </x:c>
      <x:c r="M398" s="30" t="n">
        <x:v>0.5790005047955578</x:v>
      </x:c>
      <x:c r="N398" s="19" t="n">
        <x:v>1981</x:v>
      </x:c>
      <x:c r="O398" t="b">
        <x:f>P398="legacy_common_sample_8902245"</x:f>
        <x:v>1</x:v>
      </x:c>
      <x:c r="P398" t="str">
        <x:v>legacy_common_sample_8902245</x:v>
      </x:c>
      <x:c r="Q398" s="74" t="n">
        <x:v>46211.15197799769</x:v>
      </x:c>
      <x:c r="R398" s="19" t="n">
        <x:v>8902245</x:v>
      </x:c>
      <x:c r="S398" t="str">
        <x:v>8f7e606554926462248cbcc654181861438ca768a0063f6b317223ede37d16fb</x:v>
      </x:c>
      <x:c r="T398" t="str">
        <x:v>factor_report/gtja191_batch/gtja_001/ic_summary.csv</x:v>
      </x:c>
    </x:row>
    <x:row r="399">
      <x:c r="A399" s="50" t="n">
        <x:f>IF($P399="legacy_common_sample_8902245",1+COUNTIFS($C$5:$C$546,$C399,$P$5:$P$546,"legacy_common_sample_8902245",$I$5:$I$546,"&gt;"&amp;$I399),"")</x:f>
        <x:v>39</x:v>
      </x:c>
      <x:c r="B399" t="str">
        <x:v>gtja_121</x:v>
      </x:c>
      <x:c r="C399" s="50" t="n">
        <x:v>20</x:v>
      </x:c>
      <x:c r="D399" t="str">
        <x:f>IF(E399&gt;=0,"positive","negative")</x:f>
        <x:v>positive</x:v>
      </x:c>
      <x:c r="E399" s="30" t="n">
        <x:v>0.06405034880037078</x:v>
      </x:c>
      <x:c r="F399" s="30" t="n">
        <x:f>ABS(E399)</x:f>
        <x:v>0.06405034880037078</x:v>
      </x:c>
      <x:c r="G399" s="30" t="n">
        <x:v>0.13772742519142997</x:v>
      </x:c>
      <x:c r="H399" s="30" t="n">
        <x:v>0.4650515226821817</x:v>
      </x:c>
      <x:c r="I399" s="30" t="n">
        <x:f>ABS(H399)</x:f>
        <x:v>0.4650515226821817</x:v>
      </x:c>
      <x:c r="J399" s="30" t="n">
        <x:v>0.6795918367346939</x:v>
      </x:c>
      <x:c r="K399" s="30" t="n">
        <x:v>0.028098970307278197</x:v>
      </x:c>
      <x:c r="L399" s="30" t="n">
        <x:v>0.24546113299902123</x:v>
      </x:c>
      <x:c r="M399" s="30" t="n">
        <x:v>0.5918367346938775</x:v>
      </x:c>
      <x:c r="N399" s="19" t="n">
        <x:v>1960</x:v>
      </x:c>
      <x:c r="O399" t="b">
        <x:f>P399="legacy_common_sample_8902245"</x:f>
        <x:v>1</x:v>
      </x:c>
      <x:c r="P399" t="str">
        <x:v>legacy_common_sample_8902245</x:v>
      </x:c>
      <x:c r="Q399" s="74" t="n">
        <x:v>46211.40481090278</x:v>
      </x:c>
      <x:c r="R399" s="19" t="n">
        <x:v>8902245</x:v>
      </x:c>
      <x:c r="S399" t="str">
        <x:v>8f7e606554926462248cbcc654181861438ca768a0063f6b317223ede37d16fb</x:v>
      </x:c>
      <x:c r="T399" t="str">
        <x:v>factor_report/gtja191_batch/gtja_121/ic_summary.csv</x:v>
      </x:c>
    </x:row>
    <x:row r="400">
      <x:c r="A400" s="50" t="n">
        <x:f>IF($P400="legacy_common_sample_8902245",1+COUNTIFS($C$5:$C$546,$C400,$P$5:$P$546,"legacy_common_sample_8902245",$I$5:$I$546,"&gt;"&amp;$I400),"")</x:f>
        <x:v>40</x:v>
      </x:c>
      <x:c r="B400" t="str">
        <x:v>gtja_157</x:v>
      </x:c>
      <x:c r="C400" s="50" t="n">
        <x:v>20</x:v>
      </x:c>
      <x:c r="D400" t="str">
        <x:f>IF(E400&gt;=0,"positive","negative")</x:f>
        <x:v>positive</x:v>
      </x:c>
      <x:c r="E400" s="30" t="n">
        <x:v>0.05137294362528669</x:v>
      </x:c>
      <x:c r="F400" s="30" t="n">
        <x:f>ABS(E400)</x:f>
        <x:v>0.05137294362528669</x:v>
      </x:c>
      <x:c r="G400" s="30" t="n">
        <x:v>0.11069149955785575</x:v>
      </x:c>
      <x:c r="H400" s="30" t="n">
        <x:v>0.464109202879082</x:v>
      </x:c>
      <x:c r="I400" s="30" t="n">
        <x:f>ABS(H400)</x:f>
        <x:v>0.464109202879082</x:v>
      </x:c>
      <x:c r="J400" s="30" t="n">
        <x:v>0.6774356385663807</x:v>
      </x:c>
      <x:c r="K400" s="30" t="n">
        <x:v>0.026512143412782865</x:v>
      </x:c>
      <x:c r="L400" s="30" t="n">
        <x:v>0.2810055061555109</x:v>
      </x:c>
      <x:c r="M400" s="30" t="n">
        <x:v>0.6203937405350833</x:v>
      </x:c>
      <x:c r="N400" s="19" t="n">
        <x:v>1981</x:v>
      </x:c>
      <x:c r="O400" t="b">
        <x:f>P400="legacy_common_sample_8902245"</x:f>
        <x:v>1</x:v>
      </x:c>
      <x:c r="P400" t="str">
        <x:v>legacy_common_sample_8902245</x:v>
      </x:c>
      <x:c r="Q400" s="74" t="n">
        <x:v>46211.50636057871</x:v>
      </x:c>
      <x:c r="R400" s="19" t="n">
        <x:v>8902245</x:v>
      </x:c>
      <x:c r="S400" t="str">
        <x:v>8f7e606554926462248cbcc654181861438ca768a0063f6b317223ede37d16fb</x:v>
      </x:c>
      <x:c r="T400" t="str">
        <x:v>factor_report/gtja191_batch/gtja_157/ic_summary.csv</x:v>
      </x:c>
    </x:row>
    <x:row r="401">
      <x:c r="A401" s="50" t="n">
        <x:f>IF($P401="legacy_common_sample_8902245",1+COUNTIFS($C$5:$C$546,$C401,$P$5:$P$546,"legacy_common_sample_8902245",$I$5:$I$546,"&gt;"&amp;$I401),"")</x:f>
        <x:v>41</x:v>
      </x:c>
      <x:c r="B401" t="str">
        <x:v>gtja_055</x:v>
      </x:c>
      <x:c r="C401" s="50" t="n">
        <x:v>20</x:v>
      </x:c>
      <x:c r="D401" t="str">
        <x:f>IF(E401&gt;=0,"positive","negative")</x:f>
        <x:v>negative</x:v>
      </x:c>
      <x:c r="E401" s="30" t="n">
        <x:v>-0.059452727447306446</x:v>
      </x:c>
      <x:c r="F401" s="30" t="n">
        <x:f>ABS(E401)</x:f>
        <x:v>0.059452727447306446</x:v>
      </x:c>
      <x:c r="G401" s="30" t="n">
        <x:v>0.1300688575858728</x:v>
      </x:c>
      <x:c r="H401" s="30" t="n">
        <x:v>-0.45708656592186286</x:v>
      </x:c>
      <x:c r="I401" s="30" t="n">
        <x:f>ABS(H401)</x:f>
        <x:v>0.45708656592186286</x:v>
      </x:c>
      <x:c r="J401" s="30" t="n">
        <x:v>0.3250883392226148</x:v>
      </x:c>
      <x:c r="K401" s="30" t="n">
        <x:v>-0.020635377202574336</x:v>
      </x:c>
      <x:c r="L401" s="30" t="n">
        <x:v>-0.24901899909469655</x:v>
      </x:c>
      <x:c r="M401" s="30" t="n">
        <x:v>0.4023220595658758</x:v>
      </x:c>
      <x:c r="N401" s="19" t="n">
        <x:v>1981</x:v>
      </x:c>
      <x:c r="O401" t="b">
        <x:f>P401="legacy_common_sample_8902245"</x:f>
        <x:v>1</x:v>
      </x:c>
      <x:c r="P401" t="str">
        <x:v>legacy_common_sample_8902245</x:v>
      </x:c>
      <x:c r="Q401" s="74" t="n">
        <x:v>46210.34754746528</x:v>
      </x:c>
      <x:c r="R401" s="19" t="n">
        <x:v>8902245</x:v>
      </x:c>
      <x:c r="S401" t="str">
        <x:v>40355b29bce094aef0e99358bdfd4011b92e72a54440a67760de4afae4883c33</x:v>
      </x:c>
      <x:c r="T401" t="str">
        <x:v>factor_report/gtja191_batch/gtja_055/ic_summary.csv</x:v>
      </x:c>
    </x:row>
    <x:row r="402">
      <x:c r="A402" s="50" t="n">
        <x:f>IF($P402="legacy_common_sample_8902245",1+COUNTIFS($C$5:$C$546,$C402,$P$5:$P$546,"legacy_common_sample_8902245",$I$5:$I$546,"&gt;"&amp;$I402),"")</x:f>
        <x:v>42</x:v>
      </x:c>
      <x:c r="B402" t="str">
        <x:v>gtja_071</x:v>
      </x:c>
      <x:c r="C402" s="50" t="n">
        <x:v>20</x:v>
      </x:c>
      <x:c r="D402" t="str">
        <x:f>IF(E402&gt;=0,"positive","negative")</x:f>
        <x:v>negative</x:v>
      </x:c>
      <x:c r="E402" s="30" t="n">
        <x:v>-0.062419890209116154</x:v>
      </x:c>
      <x:c r="F402" s="30" t="n">
        <x:f>ABS(E402)</x:f>
        <x:v>0.062419890209116154</x:v>
      </x:c>
      <x:c r="G402" s="30" t="n">
        <x:v>0.13693101937173285</x:v>
      </x:c>
      <x:c r="H402" s="30" t="n">
        <x:v>-0.45584916036929546</x:v>
      </x:c>
      <x:c r="I402" s="30" t="n">
        <x:f>ABS(H402)</x:f>
        <x:v>0.45584916036929546</x:v>
      </x:c>
      <x:c r="J402" s="30" t="n">
        <x:v>0.33064109035840483</x:v>
      </x:c>
      <x:c r="K402" s="30" t="n">
        <x:v>-0.048953351823171946</x:v>
      </x:c>
      <x:c r="L402" s="30" t="n">
        <x:v>-0.40456439445633974</x:v>
      </x:c>
      <x:c r="M402" s="30" t="n">
        <x:v>0.33013629480060575</x:v>
      </x:c>
      <x:c r="N402" s="19" t="n">
        <x:v>1981</x:v>
      </x:c>
      <x:c r="O402" t="b">
        <x:f>P402="legacy_common_sample_8902245"</x:f>
        <x:v>1</x:v>
      </x:c>
      <x:c r="P402" t="str">
        <x:v>legacy_common_sample_8902245</x:v>
      </x:c>
      <x:c r="Q402" s="74" t="n">
        <x:v>46210.420358854164</x:v>
      </x:c>
      <x:c r="R402" s="19" t="n">
        <x:v>8902245</x:v>
      </x:c>
      <x:c r="S402" t="str">
        <x:v>40355b29bce094aef0e99358bdfd4011b92e72a54440a67760de4afae4883c33</x:v>
      </x:c>
      <x:c r="T402" t="str">
        <x:v>factor_report/gtja191_batch/gtja_071/ic_summary.csv</x:v>
      </x:c>
    </x:row>
    <x:row r="403">
      <x:c r="A403" s="50" t="n">
        <x:f>IF($P403="legacy_common_sample_8902245",1+COUNTIFS($C$5:$C$546,$C403,$P$5:$P$546,"legacy_common_sample_8902245",$I$5:$I$546,"&gt;"&amp;$I403),"")</x:f>
        <x:v>43</x:v>
      </x:c>
      <x:c r="B403" t="str">
        <x:v>gtja_106</x:v>
      </x:c>
      <x:c r="C403" s="50" t="n">
        <x:v>20</x:v>
      </x:c>
      <x:c r="D403" t="str">
        <x:f>IF(E403&gt;=0,"positive","negative")</x:f>
        <x:v>negative</x:v>
      </x:c>
      <x:c r="E403" s="30" t="n">
        <x:v>-0.061357020390763045</x:v>
      </x:c>
      <x:c r="F403" s="30" t="n">
        <x:f>ABS(E403)</x:f>
        <x:v>0.061357020390763045</x:v>
      </x:c>
      <x:c r="G403" s="30" t="n">
        <x:v>0.13516592332054503</x:v>
      </x:c>
      <x:c r="H403" s="30" t="n">
        <x:v>-0.4539385289090602</x:v>
      </x:c>
      <x:c r="I403" s="30" t="n">
        <x:f>ABS(H403)</x:f>
        <x:v>0.4539385289090602</x:v>
      </x:c>
      <x:c r="J403" s="30" t="n">
        <x:v>0.32609793033821305</x:v>
      </x:c>
      <x:c r="K403" s="30" t="n">
        <x:v>-0.022001386611756456</x:v>
      </x:c>
      <x:c r="L403" s="30" t="n">
        <x:v>-0.24964928340636516</x:v>
      </x:c>
      <x:c r="M403" s="30" t="n">
        <x:v>0.3917213528520949</x:v>
      </x:c>
      <x:c r="N403" s="19" t="n">
        <x:v>1981</x:v>
      </x:c>
      <x:c r="O403" t="b">
        <x:f>P403="legacy_common_sample_8902245"</x:f>
        <x:v>1</x:v>
      </x:c>
      <x:c r="P403" t="str">
        <x:v>legacy_common_sample_8902245</x:v>
      </x:c>
      <x:c r="Q403" s="74" t="n">
        <x:v>46210.59962833333</x:v>
      </x:c>
      <x:c r="R403" s="19" t="n">
        <x:v>8902245</x:v>
      </x:c>
      <x:c r="S403" t="str">
        <x:v>40355b29bce094aef0e99358bdfd4011b92e72a54440a67760de4afae4883c33</x:v>
      </x:c>
      <x:c r="T403" t="str">
        <x:v>factor_report/gtja191_batch/gtja_106/ic_summary.csv</x:v>
      </x:c>
    </x:row>
    <x:row r="404">
      <x:c r="A404" s="50" t="n">
        <x:f>IF($P404="legacy_common_sample_8902245",1+COUNTIFS($C$5:$C$546,$C404,$P$5:$P$546,"legacy_common_sample_8902245",$I$5:$I$546,"&gt;"&amp;$I404),"")</x:f>
        <x:v>44</x:v>
      </x:c>
      <x:c r="B404" t="str">
        <x:v>gtja_154</x:v>
      </x:c>
      <x:c r="C404" s="50" t="n">
        <x:v>20</x:v>
      </x:c>
      <x:c r="D404" t="str">
        <x:f>IF(E404&gt;=0,"positive","negative")</x:f>
        <x:v>positive</x:v>
      </x:c>
      <x:c r="E404" s="30" t="n">
        <x:v>0.03766733258790282</x:v>
      </x:c>
      <x:c r="F404" s="30" t="n">
        <x:f>ABS(E404)</x:f>
        <x:v>0.03766733258790282</x:v>
      </x:c>
      <x:c r="G404" s="30" t="n">
        <x:v>0.08357481590984377</x:v>
      </x:c>
      <x:c r="H404" s="30" t="n">
        <x:v>0.45070195103434524</x:v>
      </x:c>
      <x:c r="I404" s="30" t="n">
        <x:f>ABS(H404)</x:f>
        <x:v>0.45070195103434524</x:v>
      </x:c>
      <x:c r="J404" s="30" t="n">
        <x:v>0.6440586001085187</x:v>
      </x:c>
      <x:c r="K404" s="30" t="n">
        <x:v>0.01791759634633691</x:v>
      </x:c>
      <x:c r="L404" s="30" t="n">
        <x:v>0.2417909769847384</x:v>
      </x:c>
      <x:c r="M404" s="30" t="n">
        <x:v>0.5843733043950081</x:v>
      </x:c>
      <x:c r="N404" s="19" t="n">
        <x:v>1843</x:v>
      </x:c>
      <x:c r="O404" t="b">
        <x:f>P404="legacy_common_sample_8902245"</x:f>
        <x:v>1</x:v>
      </x:c>
      <x:c r="P404" t="str">
        <x:v>legacy_common_sample_8902245</x:v>
      </x:c>
      <x:c r="Q404" s="74" t="n">
        <x:v>46211.49520696759</x:v>
      </x:c>
      <x:c r="R404" s="19" t="n">
        <x:v>8902245</x:v>
      </x:c>
      <x:c r="S404" t="str">
        <x:v>8f7e606554926462248cbcc654181861438ca768a0063f6b317223ede37d16fb</x:v>
      </x:c>
      <x:c r="T404" t="str">
        <x:v>factor_report/gtja191_batch/gtja_154/ic_summary.csv</x:v>
      </x:c>
    </x:row>
    <x:row r="405">
      <x:c r="A405" s="50" t="n">
        <x:f>IF($P405="legacy_common_sample_8902245",1+COUNTIFS($C$5:$C$546,$C405,$P$5:$P$546,"legacy_common_sample_8902245",$I$5:$I$546,"&gt;"&amp;$I405),"")</x:f>
        <x:v>45</x:v>
      </x:c>
      <x:c r="B405" t="str">
        <x:v>gtja_187</x:v>
      </x:c>
      <x:c r="C405" s="50" t="n">
        <x:v>20</x:v>
      </x:c>
      <x:c r="D405" t="str">
        <x:f>IF(E405&gt;=0,"positive","negative")</x:f>
        <x:v>negative</x:v>
      </x:c>
      <x:c r="E405" s="30" t="n">
        <x:v>-0.0865927503170856</x:v>
      </x:c>
      <x:c r="F405" s="30" t="n">
        <x:f>ABS(E405)</x:f>
        <x:v>0.0865927503170856</x:v>
      </x:c>
      <x:c r="G405" s="30" t="n">
        <x:v>0.19321762261285927</x:v>
      </x:c>
      <x:c r="H405" s="30" t="n">
        <x:v>-0.44816176260789253</x:v>
      </x:c>
      <x:c r="I405" s="30" t="n">
        <x:f>ABS(H405)</x:f>
        <x:v>0.44816176260789253</x:v>
      </x:c>
      <x:c r="J405" s="30" t="n">
        <x:v>0.34830893488137304</x:v>
      </x:c>
      <x:c r="K405" s="30" t="n">
        <x:v>-0.028885322178725012</x:v>
      </x:c>
      <x:c r="L405" s="30" t="n">
        <x:v>-0.2367749567213631</x:v>
      </x:c>
      <x:c r="M405" s="30" t="n">
        <x:v>0.3902069661786976</x:v>
      </x:c>
      <x:c r="N405" s="19" t="n">
        <x:v>1981</x:v>
      </x:c>
      <x:c r="O405" t="b">
        <x:f>P405="legacy_common_sample_8902245"</x:f>
        <x:v>1</x:v>
      </x:c>
      <x:c r="P405" t="str">
        <x:v>legacy_common_sample_8902245</x:v>
      </x:c>
      <x:c r="Q405" s="74" t="n">
        <x:v>46210.96675238426</x:v>
      </x:c>
      <x:c r="R405" s="19" t="n">
        <x:v>8902245</x:v>
      </x:c>
      <x:c r="S405" t="str">
        <x:v>40355b29bce094aef0e99358bdfd4011b92e72a54440a67760de4afae4883c33</x:v>
      </x:c>
      <x:c r="T405" t="str">
        <x:v>factor_report/gtja191_batch/gtja_187/ic_summary.csv</x:v>
      </x:c>
    </x:row>
    <x:row r="406">
      <x:c r="A406" s="50" t="n">
        <x:f>IF($P406="legacy_common_sample_8902245",1+COUNTIFS($C$5:$C$546,$C406,$P$5:$P$546,"legacy_common_sample_8902245",$I$5:$I$546,"&gt;"&amp;$I406),"")</x:f>
        <x:v>46</x:v>
      </x:c>
      <x:c r="B406" t="str">
        <x:v>gtja_134</x:v>
      </x:c>
      <x:c r="C406" s="50" t="n">
        <x:v>20</x:v>
      </x:c>
      <x:c r="D406" t="str">
        <x:f>IF(E406&gt;=0,"positive","negative")</x:f>
        <x:v>negative</x:v>
      </x:c>
      <x:c r="E406" s="30" t="n">
        <x:v>-0.04812829792905713</x:v>
      </x:c>
      <x:c r="F406" s="30" t="n">
        <x:f>ABS(E406)</x:f>
        <x:v>0.04812829792905713</x:v>
      </x:c>
      <x:c r="G406" s="30" t="n">
        <x:v>0.1093001474679385</x:v>
      </x:c>
      <x:c r="H406" s="30" t="n">
        <x:v>-0.4403315004051099</x:v>
      </x:c>
      <x:c r="I406" s="30" t="n">
        <x:f>ABS(H406)</x:f>
        <x:v>0.4403315004051099</x:v>
      </x:c>
      <x:c r="J406" s="30" t="n">
        <x:v>0.3336698637051994</x:v>
      </x:c>
      <x:c r="K406" s="30" t="n">
        <x:v>-0.03483971241225392</x:v>
      </x:c>
      <x:c r="L406" s="30" t="n">
        <x:v>-0.5588391508712169</x:v>
      </x:c>
      <x:c r="M406" s="30" t="n">
        <x:v>0.2756183745583039</x:v>
      </x:c>
      <x:c r="N406" s="19" t="n">
        <x:v>1981</x:v>
      </x:c>
      <x:c r="O406" t="b">
        <x:f>P406="legacy_common_sample_8902245"</x:f>
        <x:v>1</x:v>
      </x:c>
      <x:c r="P406" t="str">
        <x:v>legacy_common_sample_8902245</x:v>
      </x:c>
      <x:c r="Q406" s="74" t="n">
        <x:v>46210.74197935185</x:v>
      </x:c>
      <x:c r="R406" s="19" t="n">
        <x:v>8902245</x:v>
      </x:c>
      <x:c r="S406" t="str">
        <x:v>40355b29bce094aef0e99358bdfd4011b92e72a54440a67760de4afae4883c33</x:v>
      </x:c>
      <x:c r="T406" t="str">
        <x:v>factor_report/gtja191_batch/gtja_134/ic_summary.csv</x:v>
      </x:c>
    </x:row>
    <x:row r="407">
      <x:c r="A407" s="50" t="n">
        <x:f>IF($P407="legacy_common_sample_8902245",1+COUNTIFS($C$5:$C$546,$C407,$P$5:$P$546,"legacy_common_sample_8902245",$I$5:$I$546,"&gt;"&amp;$I407),"")</x:f>
        <x:v>47</x:v>
      </x:c>
      <x:c r="B407" t="str">
        <x:v>gtja_067</x:v>
      </x:c>
      <x:c r="C407" s="50" t="n">
        <x:v>20</x:v>
      </x:c>
      <x:c r="D407" t="str">
        <x:f>IF(E407&gt;=0,"positive","negative")</x:f>
        <x:v>negative</x:v>
      </x:c>
      <x:c r="E407" s="30" t="n">
        <x:v>-0.059236911325706305</x:v>
      </x:c>
      <x:c r="F407" s="30" t="n">
        <x:f>ABS(E407)</x:f>
        <x:v>0.059236911325706305</x:v>
      </x:c>
      <x:c r="G407" s="30" t="n">
        <x:v>0.13472224165511823</x:v>
      </x:c>
      <x:c r="H407" s="30" t="n">
        <x:v>-0.43969659796301225</x:v>
      </x:c>
      <x:c r="I407" s="30" t="n">
        <x:f>ABS(H407)</x:f>
        <x:v>0.43969659796301225</x:v>
      </x:c>
      <x:c r="J407" s="30" t="n">
        <x:v>0.33568904593639576</x:v>
      </x:c>
      <x:c r="K407" s="30" t="n">
        <x:v>-0.02584965149307855</x:v>
      </x:c>
      <x:c r="L407" s="30" t="n">
        <x:v>-0.22854767012303837</x:v>
      </x:c>
      <x:c r="M407" s="30" t="n">
        <x:v>0.42251388187783945</x:v>
      </x:c>
      <x:c r="N407" s="19" t="n">
        <x:v>1981</x:v>
      </x:c>
      <x:c r="O407" t="b">
        <x:f>P407="legacy_common_sample_8902245"</x:f>
        <x:v>1</x:v>
      </x:c>
      <x:c r="P407" t="str">
        <x:v>legacy_common_sample_8902245</x:v>
      </x:c>
      <x:c r="Q407" s="74" t="n">
        <x:v>46210.40343721065</x:v>
      </x:c>
      <x:c r="R407" s="19" t="n">
        <x:v>8902245</x:v>
      </x:c>
      <x:c r="S407" t="str">
        <x:v>40355b29bce094aef0e99358bdfd4011b92e72a54440a67760de4afae4883c33</x:v>
      </x:c>
      <x:c r="T407" t="str">
        <x:v>factor_report/gtja191_batch/gtja_067/ic_summary.csv</x:v>
      </x:c>
    </x:row>
    <x:row r="408">
      <x:c r="A408" s="50" t="n">
        <x:f>IF($P408="legacy_common_sample_8902245",1+COUNTIFS($C$5:$C$546,$C408,$P$5:$P$546,"legacy_common_sample_8902245",$I$5:$I$546,"&gt;"&amp;$I408),"")</x:f>
        <x:v>48</x:v>
      </x:c>
      <x:c r="B408" t="str">
        <x:v>gtja_113</x:v>
      </x:c>
      <x:c r="C408" s="50" t="n">
        <x:v>20</x:v>
      </x:c>
      <x:c r="D408" t="str">
        <x:f>IF(E408&gt;=0,"positive","negative")</x:f>
        <x:v>positive</x:v>
      </x:c>
      <x:c r="E408" s="30" t="n">
        <x:v>0.024701835081301665</x:v>
      </x:c>
      <x:c r="F408" s="30" t="n">
        <x:f>ABS(E408)</x:f>
        <x:v>0.024701835081301665</x:v>
      </x:c>
      <x:c r="G408" s="30" t="n">
        <x:v>0.05625777151537266</x:v>
      </x:c>
      <x:c r="H408" s="30" t="n">
        <x:v>0.4390830709416172</x:v>
      </x:c>
      <x:c r="I408" s="30" t="n">
        <x:f>ABS(H408)</x:f>
        <x:v>0.4390830709416172</x:v>
      </x:c>
      <x:c r="J408" s="30" t="n">
        <x:v>0.6784452296819788</x:v>
      </x:c>
      <x:c r="K408" s="30" t="n">
        <x:v>0.011169753408305116</x:v>
      </x:c>
      <x:c r="L408" s="30" t="n">
        <x:v>0.27841829904901494</x:v>
      </x:c>
      <x:c r="M408" s="30" t="n">
        <x:v>0.6289752650176679</x:v>
      </x:c>
      <x:c r="N408" s="19" t="n">
        <x:v>1981</x:v>
      </x:c>
      <x:c r="O408" t="b">
        <x:f>P408="legacy_common_sample_8902245"</x:f>
        <x:v>1</x:v>
      </x:c>
      <x:c r="P408" t="str">
        <x:v>legacy_common_sample_8902245</x:v>
      </x:c>
      <x:c r="Q408" s="74" t="n">
        <x:v>46211.366626724535</x:v>
      </x:c>
      <x:c r="R408" s="19" t="n">
        <x:v>8902245</x:v>
      </x:c>
      <x:c r="S408" t="str">
        <x:v>8f7e606554926462248cbcc654181861438ca768a0063f6b317223ede37d16fb</x:v>
      </x:c>
      <x:c r="T408" t="str">
        <x:v>factor_report/gtja191_batch/gtja_113/ic_summary.csv</x:v>
      </x:c>
    </x:row>
    <x:row r="409">
      <x:c r="A409" s="50" t="n">
        <x:f>IF($P409="legacy_common_sample_8902245",1+COUNTIFS($C$5:$C$546,$C409,$P$5:$P$546,"legacy_common_sample_8902245",$I$5:$I$546,"&gt;"&amp;$I409),"")</x:f>
        <x:v>49</x:v>
      </x:c>
      <x:c r="B409" t="str">
        <x:v>gtja_101</x:v>
      </x:c>
      <x:c r="C409" s="50" t="n">
        <x:v>20</x:v>
      </x:c>
      <x:c r="D409" t="str">
        <x:f>IF(E409&gt;=0,"positive","negative")</x:f>
        <x:v>positive</x:v>
      </x:c>
      <x:c r="E409" s="30" t="n">
        <x:v>0.024210244793398127</x:v>
      </x:c>
      <x:c r="F409" s="30" t="n">
        <x:f>ABS(E409)</x:f>
        <x:v>0.024210244793398127</x:v>
      </x:c>
      <x:c r="G409" s="30" t="n">
        <x:v>0.056029940687683</x:v>
      </x:c>
      <x:c r="H409" s="30" t="n">
        <x:v>0.4320947781891948</x:v>
      </x:c>
      <x:c r="I409" s="30" t="n">
        <x:f>ABS(H409)</x:f>
        <x:v>0.4320947781891948</x:v>
      </x:c>
      <x:c r="J409" s="30" t="n">
        <x:v>0.6678571428571428</x:v>
      </x:c>
      <x:c r="K409" s="30" t="n">
        <x:v>0.010982358911862194</x:v>
      </x:c>
      <x:c r="L409" s="30" t="n">
        <x:v>0.2307257816810398</x:v>
      </x:c>
      <x:c r="M409" s="30" t="n">
        <x:v>0.5918367346938775</x:v>
      </x:c>
      <x:c r="N409" s="19" t="n">
        <x:v>1960</x:v>
      </x:c>
      <x:c r="O409" t="b">
        <x:f>P409="legacy_common_sample_8902245"</x:f>
        <x:v>1</x:v>
      </x:c>
      <x:c r="P409" t="str">
        <x:v>legacy_common_sample_8902245</x:v>
      </x:c>
      <x:c r="Q409" s="74" t="n">
        <x:v>46211.35053340278</x:v>
      </x:c>
      <x:c r="R409" s="19" t="n">
        <x:v>8902245</x:v>
      </x:c>
      <x:c r="S409" t="str">
        <x:v>8f7e606554926462248cbcc654181861438ca768a0063f6b317223ede37d16fb</x:v>
      </x:c>
      <x:c r="T409" t="str">
        <x:v>factor_report/gtja191_batch/gtja_101/ic_summary.csv</x:v>
      </x:c>
    </x:row>
    <x:row r="410">
      <x:c r="A410" s="50" t="n">
        <x:f>IF($P410="legacy_common_sample_8902245",1+COUNTIFS($C$5:$C$546,$C410,$P$5:$P$546,"legacy_common_sample_8902245",$I$5:$I$546,"&gt;"&amp;$I410),"")</x:f>
        <x:v>50</x:v>
      </x:c>
      <x:c r="B410" t="str">
        <x:v>gtja_027</x:v>
      </x:c>
      <x:c r="C410" s="50" t="n">
        <x:v>20</x:v>
      </x:c>
      <x:c r="D410" t="str">
        <x:f>IF(E410&gt;=0,"positive","negative")</x:f>
        <x:v>negative</x:v>
      </x:c>
      <x:c r="E410" s="30" t="n">
        <x:v>-0.057093229495932894</x:v>
      </x:c>
      <x:c r="F410" s="30" t="n">
        <x:f>ABS(E410)</x:f>
        <x:v>0.057093229495932894</x:v>
      </x:c>
      <x:c r="G410" s="30" t="n">
        <x:v>0.13214307218299262</x:v>
      </x:c>
      <x:c r="H410" s="30" t="n">
        <x:v>-0.4320561687628225</x:v>
      </x:c>
      <x:c r="I410" s="30" t="n">
        <x:f>ABS(H410)</x:f>
        <x:v>0.4320561687628225</x:v>
      </x:c>
      <x:c r="J410" s="30" t="n">
        <x:v>0.33266027258960124</x:v>
      </x:c>
      <x:c r="K410" s="30" t="n">
        <x:v>-0.043771221717553974</x:v>
      </x:c>
      <x:c r="L410" s="30" t="n">
        <x:v>-0.381668651770488</x:v>
      </x:c>
      <x:c r="M410" s="30" t="n">
        <x:v>0.3432609793033821</x:v>
      </x:c>
      <x:c r="N410" s="19" t="n">
        <x:v>1981</x:v>
      </x:c>
      <x:c r="O410" t="b">
        <x:f>P410="legacy_common_sample_8902245"</x:f>
        <x:v>1</x:v>
      </x:c>
      <x:c r="P410" t="str">
        <x:v>legacy_common_sample_8902245</x:v>
      </x:c>
      <x:c r="Q410" s="74" t="n">
        <x:v>46210.22519262732</x:v>
      </x:c>
      <x:c r="R410" s="19" t="n">
        <x:v>8902245</x:v>
      </x:c>
      <x:c r="S410" t="str">
        <x:v>40355b29bce094aef0e99358bdfd4011b92e72a54440a67760de4afae4883c33</x:v>
      </x:c>
      <x:c r="T410" t="str">
        <x:v>factor_report/gtja191_batch/gtja_027/ic_summary.csv</x:v>
      </x:c>
    </x:row>
    <x:row r="411">
      <x:c r="A411" s="50" t="n">
        <x:f>IF($P411="legacy_common_sample_8902245",1+COUNTIFS($C$5:$C$546,$C411,$P$5:$P$546,"legacy_common_sample_8902245",$I$5:$I$546,"&gt;"&amp;$I411),"")</x:f>
        <x:v>51</x:v>
      </x:c>
      <x:c r="B411" t="str">
        <x:v>gtja_144</x:v>
      </x:c>
      <x:c r="C411" s="50" t="n">
        <x:v>20</x:v>
      </x:c>
      <x:c r="D411" t="str">
        <x:f>IF(E411&gt;=0,"positive","negative")</x:f>
        <x:v>positive</x:v>
      </x:c>
      <x:c r="E411" s="30" t="n">
        <x:v>0.06900964811763187</x:v>
      </x:c>
      <x:c r="F411" s="30" t="n">
        <x:f>ABS(E411)</x:f>
        <x:v>0.06900964811763187</x:v>
      </x:c>
      <x:c r="G411" s="30" t="n">
        <x:v>0.1600424455375173</x:v>
      </x:c>
      <x:c r="H411" s="30" t="n">
        <x:v>0.4311959110963132</x:v>
      </x:c>
      <x:c r="I411" s="30" t="n">
        <x:f>ABS(H411)</x:f>
        <x:v>0.4311959110963132</x:v>
      </x:c>
      <x:c r="J411" s="30" t="n">
        <x:v>0.7067137809187279</x:v>
      </x:c>
      <x:c r="K411" s="30" t="n">
        <x:v>0.03952480441124564</x:v>
      </x:c>
      <x:c r="L411" s="30" t="n">
        <x:v>0.4082181376987403</x:v>
      </x:c>
      <x:c r="M411" s="30" t="n">
        <x:v>0.6834931852599697</x:v>
      </x:c>
      <x:c r="N411" s="19" t="n">
        <x:v>1981</x:v>
      </x:c>
      <x:c r="O411" t="b">
        <x:f>P411="legacy_common_sample_8902245"</x:f>
        <x:v>1</x:v>
      </x:c>
      <x:c r="P411" t="str">
        <x:v>legacy_common_sample_8902245</x:v>
      </x:c>
      <x:c r="Q411" s="74" t="n">
        <x:v>46211.45256542824</x:v>
      </x:c>
      <x:c r="R411" s="19" t="n">
        <x:v>8902245</x:v>
      </x:c>
      <x:c r="S411" t="str">
        <x:v>8f7e606554926462248cbcc654181861438ca768a0063f6b317223ede37d16fb</x:v>
      </x:c>
      <x:c r="T411" t="str">
        <x:v>factor_report/gtja191_batch/gtja_144/ic_summary.csv</x:v>
      </x:c>
    </x:row>
    <x:row r="412">
      <x:c r="A412" s="50" t="n">
        <x:f>IF($P412="legacy_common_sample_8902245",1+COUNTIFS($C$5:$C$546,$C412,$P$5:$P$546,"legacy_common_sample_8902245",$I$5:$I$546,"&gt;"&amp;$I412),"")</x:f>
        <x:v>52</x:v>
      </x:c>
      <x:c r="B412" t="str">
        <x:v>gtja_122</x:v>
      </x:c>
      <x:c r="C412" s="50" t="n">
        <x:v>20</x:v>
      </x:c>
      <x:c r="D412" t="str">
        <x:f>IF(E412&gt;=0,"positive","negative")</x:f>
        <x:v>negative</x:v>
      </x:c>
      <x:c r="E412" s="30" t="n">
        <x:v>-0.06169555004624976</x:v>
      </x:c>
      <x:c r="F412" s="30" t="n">
        <x:f>ABS(E412)</x:f>
        <x:v>0.06169555004624976</x:v>
      </x:c>
      <x:c r="G412" s="30" t="n">
        <x:v>0.14376589309802157</x:v>
      </x:c>
      <x:c r="H412" s="30" t="n">
        <x:v>-0.42913898920507443</x:v>
      </x:c>
      <x:c r="I412" s="30" t="n">
        <x:f>ABS(H412)</x:f>
        <x:v>0.42913898920507443</x:v>
      </x:c>
      <x:c r="J412" s="30" t="n">
        <x:v>0.3432609793033821</x:v>
      </x:c>
      <x:c r="K412" s="30" t="n">
        <x:v>-0.02894877316253272</x:v>
      </x:c>
      <x:c r="L412" s="30" t="n">
        <x:v>-0.2647693230893919</x:v>
      </x:c>
      <x:c r="M412" s="30" t="n">
        <x:v>0.3927309439676931</x:v>
      </x:c>
      <x:c r="N412" s="19" t="n">
        <x:v>1981</x:v>
      </x:c>
      <x:c r="O412" t="b">
        <x:f>P412="legacy_common_sample_8902245"</x:f>
        <x:v>1</x:v>
      </x:c>
      <x:c r="P412" t="str">
        <x:v>legacy_common_sample_8902245</x:v>
      </x:c>
      <x:c r="Q412" s="74" t="n">
        <x:v>46210.69213701389</x:v>
      </x:c>
      <x:c r="R412" s="19" t="n">
        <x:v>8902245</x:v>
      </x:c>
      <x:c r="S412" t="str">
        <x:v>40355b29bce094aef0e99358bdfd4011b92e72a54440a67760de4afae4883c33</x:v>
      </x:c>
      <x:c r="T412" t="str">
        <x:v>factor_report/gtja191_batch/gtja_122/ic_summary.csv</x:v>
      </x:c>
    </x:row>
    <x:row r="413">
      <x:c r="A413" s="50" t="n">
        <x:f>IF($P413="legacy_common_sample_8902245",1+COUNTIFS($C$5:$C$546,$C413,$P$5:$P$546,"legacy_common_sample_8902245",$I$5:$I$546,"&gt;"&amp;$I413),"")</x:f>
        <x:v>53</x:v>
      </x:c>
      <x:c r="B413" t="str">
        <x:v>gtja_135</x:v>
      </x:c>
      <x:c r="C413" s="50" t="n">
        <x:v>20</x:v>
      </x:c>
      <x:c r="D413" t="str">
        <x:f>IF(E413&gt;=0,"positive","negative")</x:f>
        <x:v>negative</x:v>
      </x:c>
      <x:c r="E413" s="30" t="n">
        <x:v>-0.06280560668826968</x:v>
      </x:c>
      <x:c r="F413" s="30" t="n">
        <x:f>ABS(E413)</x:f>
        <x:v>0.06280560668826968</x:v>
      </x:c>
      <x:c r="G413" s="30" t="n">
        <x:v>0.14687649250408932</x:v>
      </x:c>
      <x:c r="H413" s="30" t="n">
        <x:v>-0.42760829604179884</x:v>
      </x:c>
      <x:c r="I413" s="30" t="n">
        <x:f>ABS(H413)</x:f>
        <x:v>0.42760829604179884</x:v>
      </x:c>
      <x:c r="J413" s="30" t="n">
        <x:v>0.3493185259969712</x:v>
      </x:c>
      <x:c r="K413" s="30" t="n">
        <x:v>-0.034791335530482234</x:v>
      </x:c>
      <x:c r="L413" s="30" t="n">
        <x:v>-0.269417896989712</x:v>
      </x:c>
      <x:c r="M413" s="30" t="n">
        <x:v>0.38869257950530034</x:v>
      </x:c>
      <x:c r="N413" s="19" t="n">
        <x:v>1981</x:v>
      </x:c>
      <x:c r="O413" t="b">
        <x:f>P413="legacy_common_sample_8902245"</x:f>
        <x:v>1</x:v>
      </x:c>
      <x:c r="P413" t="str">
        <x:v>legacy_common_sample_8902245</x:v>
      </x:c>
      <x:c r="Q413" s="74" t="n">
        <x:v>46210.7465330787</x:v>
      </x:c>
      <x:c r="R413" s="19" t="n">
        <x:v>8902245</x:v>
      </x:c>
      <x:c r="S413" t="str">
        <x:v>40355b29bce094aef0e99358bdfd4011b92e72a54440a67760de4afae4883c33</x:v>
      </x:c>
      <x:c r="T413" t="str">
        <x:v>factor_report/gtja191_batch/gtja_135/ic_summary.csv</x:v>
      </x:c>
    </x:row>
    <x:row r="414">
      <x:c r="A414" s="50" t="n">
        <x:f>IF($P414="legacy_common_sample_8902245",1+COUNTIFS($C$5:$C$546,$C414,$P$5:$P$546,"legacy_common_sample_8902245",$I$5:$I$546,"&gt;"&amp;$I414),"")</x:f>
        <x:v>54</x:v>
      </x:c>
      <x:c r="B414" t="str">
        <x:v>gtja_052</x:v>
      </x:c>
      <x:c r="C414" s="50" t="n">
        <x:v>20</x:v>
      </x:c>
      <x:c r="D414" t="str">
        <x:f>IF(E414&gt;=0,"positive","negative")</x:f>
        <x:v>negative</x:v>
      </x:c>
      <x:c r="E414" s="30" t="n">
        <x:v>-0.05688399120856618</x:v>
      </x:c>
      <x:c r="F414" s="30" t="n">
        <x:f>ABS(E414)</x:f>
        <x:v>0.05688399120856618</x:v>
      </x:c>
      <x:c r="G414" s="30" t="n">
        <x:v>0.1338864946040737</x:v>
      </x:c>
      <x:c r="H414" s="30" t="n">
        <x:v>-0.4248672831175565</x:v>
      </x:c>
      <x:c r="I414" s="30" t="n">
        <x:f>ABS(H414)</x:f>
        <x:v>0.4248672831175565</x:v>
      </x:c>
      <x:c r="J414" s="30" t="n">
        <x:v>0.3442705704189803</x:v>
      </x:c>
      <x:c r="K414" s="30" t="n">
        <x:v>-0.02630236368686134</x:v>
      </x:c>
      <x:c r="L414" s="30" t="n">
        <x:v>-0.21872500545111467</x:v>
      </x:c>
      <x:c r="M414" s="30" t="n">
        <x:v>0.43109540636042404</x:v>
      </x:c>
      <x:c r="N414" s="19" t="n">
        <x:v>1981</x:v>
      </x:c>
      <x:c r="O414" t="b">
        <x:f>P414="legacy_common_sample_8902245"</x:f>
        <x:v>1</x:v>
      </x:c>
      <x:c r="P414" t="str">
        <x:v>legacy_common_sample_8902245</x:v>
      </x:c>
      <x:c r="Q414" s="74" t="n">
        <x:v>46210.3353965162</x:v>
      </x:c>
      <x:c r="R414" s="19" t="n">
        <x:v>8902245</x:v>
      </x:c>
      <x:c r="S414" t="str">
        <x:v>40355b29bce094aef0e99358bdfd4011b92e72a54440a67760de4afae4883c33</x:v>
      </x:c>
      <x:c r="T414" t="str">
        <x:v>factor_report/gtja191_batch/gtja_052/ic_summary.csv</x:v>
      </x:c>
    </x:row>
    <x:row r="415">
      <x:c r="A415" s="50" t="n">
        <x:f>IF($P415="legacy_common_sample_8902245",1+COUNTIFS($C$5:$C$546,$C415,$P$5:$P$546,"legacy_common_sample_8902245",$I$5:$I$546,"&gt;"&amp;$I415),"")</x:f>
        <x:v>55</x:v>
      </x:c>
      <x:c r="B415" t="str">
        <x:v>gtja_175</x:v>
      </x:c>
      <x:c r="C415" s="50" t="n">
        <x:v>20</x:v>
      </x:c>
      <x:c r="D415" t="str">
        <x:f>IF(E415&gt;=0,"positive","negative")</x:f>
        <x:v>negative</x:v>
      </x:c>
      <x:c r="E415" s="30" t="n">
        <x:v>-0.08375038278283142</x:v>
      </x:c>
      <x:c r="F415" s="30" t="n">
        <x:f>ABS(E415)</x:f>
        <x:v>0.08375038278283142</x:v>
      </x:c>
      <x:c r="G415" s="30" t="n">
        <x:v>0.19712506240832867</x:v>
      </x:c>
      <x:c r="H415" s="30" t="n">
        <x:v>-0.4248591313536239</x:v>
      </x:c>
      <x:c r="I415" s="30" t="n">
        <x:f>ABS(H415)</x:f>
        <x:v>0.4248591313536239</x:v>
      </x:c>
      <x:c r="J415" s="30" t="n">
        <x:v>0.3674911660777385</x:v>
      </x:c>
      <x:c r="K415" s="30" t="n">
        <x:v>-0.02718753607111106</x:v>
      </x:c>
      <x:c r="L415" s="30" t="n">
        <x:v>-0.22084087758164703</x:v>
      </x:c>
      <x:c r="M415" s="30" t="n">
        <x:v>0.4078748107016658</x:v>
      </x:c>
      <x:c r="N415" s="19" t="n">
        <x:v>1981</x:v>
      </x:c>
      <x:c r="O415" t="b">
        <x:f>P415="legacy_common_sample_8902245"</x:f>
        <x:v>1</x:v>
      </x:c>
      <x:c r="P415" t="str">
        <x:v>legacy_common_sample_8902245</x:v>
      </x:c>
      <x:c r="Q415" s="74" t="n">
        <x:v>46210.925217731485</x:v>
      </x:c>
      <x:c r="R415" s="19" t="n">
        <x:v>8902245</x:v>
      </x:c>
      <x:c r="S415" t="str">
        <x:v>40355b29bce094aef0e99358bdfd4011b92e72a54440a67760de4afae4883c33</x:v>
      </x:c>
      <x:c r="T415" t="str">
        <x:v>factor_report/gtja191_batch/gtja_175/ic_summary.csv</x:v>
      </x:c>
    </x:row>
    <x:row r="416">
      <x:c r="A416" s="50" t="n">
        <x:f>IF($P416="legacy_common_sample_8902245",1+COUNTIFS($C$5:$C$546,$C416,$P$5:$P$546,"legacy_common_sample_8902245",$I$5:$I$546,"&gt;"&amp;$I416),"")</x:f>
        <x:v>56</x:v>
      </x:c>
      <x:c r="B416" t="str">
        <x:v>gtja_116</x:v>
      </x:c>
      <x:c r="C416" s="50" t="n">
        <x:v>20</x:v>
      </x:c>
      <x:c r="D416" t="str">
        <x:f>IF(E416&gt;=0,"positive","negative")</x:f>
        <x:v>negative</x:v>
      </x:c>
      <x:c r="E416" s="30" t="n">
        <x:v>-0.056171338403911066</x:v>
      </x:c>
      <x:c r="F416" s="30" t="n">
        <x:f>ABS(E416)</x:f>
        <x:v>0.056171338403911066</x:v>
      </x:c>
      <x:c r="G416" s="30" t="n">
        <x:v>0.13222457679161828</x:v>
      </x:c>
      <x:c r="H416" s="30" t="n">
        <x:v>-0.42481768342080084</x:v>
      </x:c>
      <x:c r="I416" s="30" t="n">
        <x:f>ABS(H416)</x:f>
        <x:v>0.42481768342080084</x:v>
      </x:c>
      <x:c r="J416" s="30" t="n">
        <x:v>0.34174659262998486</x:v>
      </x:c>
      <x:c r="K416" s="30" t="n">
        <x:v>-0.020312846266858864</x:v>
      </x:c>
      <x:c r="L416" s="30" t="n">
        <x:v>-0.23599073504679421</x:v>
      </x:c>
      <x:c r="M416" s="30" t="n">
        <x:v>0.4048460373548713</x:v>
      </x:c>
      <x:c r="N416" s="19" t="n">
        <x:v>1981</x:v>
      </x:c>
      <x:c r="O416" t="b">
        <x:f>P416="legacy_common_sample_8902245"</x:f>
        <x:v>1</x:v>
      </x:c>
      <x:c r="P416" t="str">
        <x:v>legacy_common_sample_8902245</x:v>
      </x:c>
      <x:c r="Q416" s="74" t="n">
        <x:v>46210.64638673611</x:v>
      </x:c>
      <x:c r="R416" s="19" t="n">
        <x:v>8902245</x:v>
      </x:c>
      <x:c r="S416" t="str">
        <x:v>40355b29bce094aef0e99358bdfd4011b92e72a54440a67760de4afae4883c33</x:v>
      </x:c>
      <x:c r="T416" t="str">
        <x:v>factor_report/gtja191_batch/gtja_116/ic_summary.csv</x:v>
      </x:c>
    </x:row>
    <x:row r="417">
      <x:c r="A417" s="50" t="n">
        <x:f>IF($P417="legacy_common_sample_8902245",1+COUNTIFS($C$5:$C$546,$C417,$P$5:$P$546,"legacy_common_sample_8902245",$I$5:$I$546,"&gt;"&amp;$I417),"")</x:f>
        <x:v>57</x:v>
      </x:c>
      <x:c r="B417" t="str">
        <x:v>gtja_145</x:v>
      </x:c>
      <x:c r="C417" s="50" t="n">
        <x:v>20</x:v>
      </x:c>
      <x:c r="D417" t="str">
        <x:f>IF(E417&gt;=0,"positive","negative")</x:f>
        <x:v>negative</x:v>
      </x:c>
      <x:c r="E417" s="30" t="n">
        <x:v>-0.035881009684746605</x:v>
      </x:c>
      <x:c r="F417" s="30" t="n">
        <x:f>ABS(E417)</x:f>
        <x:v>0.035881009684746605</x:v>
      </x:c>
      <x:c r="G417" s="30" t="n">
        <x:v>0.08467668865820151</x:v>
      </x:c>
      <x:c r="H417" s="30" t="n">
        <x:v>-0.42374129472139305</x:v>
      </x:c>
      <x:c r="I417" s="30" t="n">
        <x:f>ABS(H417)</x:f>
        <x:v>0.42374129472139305</x:v>
      </x:c>
      <x:c r="J417" s="30" t="n">
        <x:v>0.32054517920242304</x:v>
      </x:c>
      <x:c r="K417" s="30" t="n">
        <x:v>-0.019181050086041034</x:v>
      </x:c>
      <x:c r="L417" s="30" t="n">
        <x:v>-0.2709063448039105</x:v>
      </x:c>
      <x:c r="M417" s="30" t="n">
        <x:v>0.38465421504290764</x:v>
      </x:c>
      <x:c r="N417" s="19" t="n">
        <x:v>1981</x:v>
      </x:c>
      <x:c r="O417" t="b">
        <x:f>P417="legacy_common_sample_8902245"</x:f>
        <x:v>1</x:v>
      </x:c>
      <x:c r="P417" t="str">
        <x:v>legacy_common_sample_8902245</x:v>
      </x:c>
      <x:c r="Q417" s="74" t="n">
        <x:v>46210.79587657408</x:v>
      </x:c>
      <x:c r="R417" s="19" t="n">
        <x:v>8902245</x:v>
      </x:c>
      <x:c r="S417" t="str">
        <x:v>40355b29bce094aef0e99358bdfd4011b92e72a54440a67760de4afae4883c33</x:v>
      </x:c>
      <x:c r="T417" t="str">
        <x:v>factor_report/gtja191_batch/gtja_145/ic_summary.csv</x:v>
      </x:c>
    </x:row>
    <x:row r="418">
      <x:c r="A418" s="50" t="n">
        <x:f>IF($P418="legacy_common_sample_8902245",1+COUNTIFS($C$5:$C$546,$C418,$P$5:$P$546,"legacy_common_sample_8902245",$I$5:$I$546,"&gt;"&amp;$I418),"")</x:f>
        <x:v>58</x:v>
      </x:c>
      <x:c r="B418" t="str">
        <x:v>gtja_185</x:v>
      </x:c>
      <x:c r="C418" s="50" t="n">
        <x:v>20</x:v>
      </x:c>
      <x:c r="D418" t="str">
        <x:f>IF(E418&gt;=0,"positive","negative")</x:f>
        <x:v>positive</x:v>
      </x:c>
      <x:c r="E418" s="30" t="n">
        <x:v>0.04305487070574985</x:v>
      </x:c>
      <x:c r="F418" s="30" t="n">
        <x:f>ABS(E418)</x:f>
        <x:v>0.04305487070574985</x:v>
      </x:c>
      <x:c r="G418" s="30" t="n">
        <x:v>0.10316897199019846</x:v>
      </x:c>
      <x:c r="H418" s="30" t="n">
        <x:v>0.4173238317218113</x:v>
      </x:c>
      <x:c r="I418" s="30" t="n">
        <x:f>ABS(H418)</x:f>
        <x:v>0.4173238317218113</x:v>
      </x:c>
      <x:c r="J418" s="30" t="n">
        <x:v>0.6910651186269561</x:v>
      </x:c>
      <x:c r="K418" s="30" t="n">
        <x:v>0.015731237187731232</x:v>
      </x:c>
      <x:c r="L418" s="30" t="n">
        <x:v>0.18033721229877472</x:v>
      </x:c>
      <x:c r="M418" s="30" t="n">
        <x:v>0.5840484603735487</x:v>
      </x:c>
      <x:c r="N418" s="19" t="n">
        <x:v>1981</x:v>
      </x:c>
      <x:c r="O418" t="b">
        <x:f>P418="legacy_common_sample_8902245"</x:f>
        <x:v>1</x:v>
      </x:c>
      <x:c r="P418" t="str">
        <x:v>legacy_common_sample_8902245</x:v>
      </x:c>
      <x:c r="Q418" s="74" t="n">
        <x:v>46211.545996712965</x:v>
      </x:c>
      <x:c r="R418" s="19" t="n">
        <x:v>8902245</x:v>
      </x:c>
      <x:c r="S418" t="str">
        <x:v>8f7e606554926462248cbcc654181861438ca768a0063f6b317223ede37d16fb</x:v>
      </x:c>
      <x:c r="T418" t="str">
        <x:v>factor_report/gtja191_batch/gtja_185/ic_summary.csv</x:v>
      </x:c>
    </x:row>
    <x:row r="419">
      <x:c r="A419" s="50" t="n">
        <x:f>IF($P419="legacy_common_sample_8902245",1+COUNTIFS($C$5:$C$546,$C419,$P$5:$P$546,"legacy_common_sample_8902245",$I$5:$I$546,"&gt;"&amp;$I419),"")</x:f>
        <x:v>59</x:v>
      </x:c>
      <x:c r="B419" t="str">
        <x:v>gtja_177</x:v>
      </x:c>
      <x:c r="C419" s="50" t="n">
        <x:v>20</x:v>
      </x:c>
      <x:c r="D419" t="str">
        <x:f>IF(E419&gt;=0,"positive","negative")</x:f>
        <x:v>negative</x:v>
      </x:c>
      <x:c r="E419" s="30" t="n">
        <x:v>-0.04136338386476683</x:v>
      </x:c>
      <x:c r="F419" s="30" t="n">
        <x:f>ABS(E419)</x:f>
        <x:v>0.04136338386476683</x:v>
      </x:c>
      <x:c r="G419" s="30" t="n">
        <x:v>0.10039328048995054</x:v>
      </x:c>
      <x:c r="H419" s="30" t="n">
        <x:v>-0.4120134700539778</x:v>
      </x:c>
      <x:c r="I419" s="30" t="n">
        <x:f>ABS(H419)</x:f>
        <x:v>0.4120134700539778</x:v>
      </x:c>
      <x:c r="J419" s="30" t="n">
        <x:v>0.3462897526501767</x:v>
      </x:c>
      <x:c r="K419" s="30" t="n">
        <x:v>-0.02326012765743274</x:v>
      </x:c>
      <x:c r="L419" s="30" t="n">
        <x:v>-0.26305853224281206</x:v>
      </x:c>
      <x:c r="M419" s="30" t="n">
        <x:v>0.3952549217566885</x:v>
      </x:c>
      <x:c r="N419" s="19" t="n">
        <x:v>1981</x:v>
      </x:c>
      <x:c r="O419" t="b">
        <x:f>P419="legacy_common_sample_8902245"</x:f>
        <x:v>1</x:v>
      </x:c>
      <x:c r="P419" t="str">
        <x:v>legacy_common_sample_8902245</x:v>
      </x:c>
      <x:c r="Q419" s="74" t="n">
        <x:v>46210.93332200232</x:v>
      </x:c>
      <x:c r="R419" s="19" t="n">
        <x:v>8902245</x:v>
      </x:c>
      <x:c r="S419" t="str">
        <x:v>40355b29bce094aef0e99358bdfd4011b92e72a54440a67760de4afae4883c33</x:v>
      </x:c>
      <x:c r="T419" t="str">
        <x:v>factor_report/gtja191_batch/gtja_177/ic_summary.csv</x:v>
      </x:c>
    </x:row>
    <x:row r="420">
      <x:c r="A420" s="50" t="n">
        <x:f>IF($P420="legacy_common_sample_8902245",1+COUNTIFS($C$5:$C$546,$C420,$P$5:$P$546,"legacy_common_sample_8902245",$I$5:$I$546,"&gt;"&amp;$I420),"")</x:f>
        <x:v>60</x:v>
      </x:c>
      <x:c r="B420" t="str">
        <x:v>gtja_109</x:v>
      </x:c>
      <x:c r="C420" s="50" t="n">
        <x:v>20</x:v>
      </x:c>
      <x:c r="D420" t="str">
        <x:f>IF(E420&gt;=0,"positive","negative")</x:f>
        <x:v>negative</x:v>
      </x:c>
      <x:c r="E420" s="30" t="n">
        <x:v>-0.03460018068250707</x:v>
      </x:c>
      <x:c r="F420" s="30" t="n">
        <x:f>ABS(E420)</x:f>
        <x:v>0.03460018068250707</x:v>
      </x:c>
      <x:c r="G420" s="30" t="n">
        <x:v>0.08447591976966186</x:v>
      </x:c>
      <x:c r="H420" s="30" t="n">
        <x:v>-0.409586314974142</x:v>
      </x:c>
      <x:c r="I420" s="30" t="n">
        <x:f>ABS(H420)</x:f>
        <x:v>0.409586314974142</x:v>
      </x:c>
      <x:c r="J420" s="30" t="n">
        <x:v>0.34780413932357396</x:v>
      </x:c>
      <x:c r="K420" s="30" t="n">
        <x:v>-0.028208219434979646</x:v>
      </x:c>
      <x:c r="L420" s="30" t="n">
        <x:v>-0.4225609102210926</x:v>
      </x:c>
      <x:c r="M420" s="30" t="n">
        <x:v>0.3311458859162039</x:v>
      </x:c>
      <x:c r="N420" s="19" t="n">
        <x:v>1981</x:v>
      </x:c>
      <x:c r="O420" t="b">
        <x:f>P420="legacy_common_sample_8902245"</x:f>
        <x:v>1</x:v>
      </x:c>
      <x:c r="P420" t="str">
        <x:v>legacy_common_sample_8902245</x:v>
      </x:c>
      <x:c r="Q420" s="74" t="n">
        <x:v>46210.612487280094</x:v>
      </x:c>
      <x:c r="R420" s="19" t="n">
        <x:v>8902245</x:v>
      </x:c>
      <x:c r="S420" t="str">
        <x:v>40355b29bce094aef0e99358bdfd4011b92e72a54440a67760de4afae4883c33</x:v>
      </x:c>
      <x:c r="T420" t="str">
        <x:v>factor_report/gtja191_batch/gtja_109/ic_summary.csv</x:v>
      </x:c>
    </x:row>
    <x:row r="421">
      <x:c r="A421" s="50" t="n">
        <x:f>IF($P421="legacy_common_sample_8902245",1+COUNTIFS($C$5:$C$546,$C421,$P$5:$P$546,"legacy_common_sample_8902245",$I$5:$I$546,"&gt;"&amp;$I421),"")</x:f>
        <x:v>61</x:v>
      </x:c>
      <x:c r="B421" t="str">
        <x:v>gtja_133</x:v>
      </x:c>
      <x:c r="C421" s="50" t="n">
        <x:v>20</x:v>
      </x:c>
      <x:c r="D421" t="str">
        <x:f>IF(E421&gt;=0,"positive","negative")</x:f>
        <x:v>negative</x:v>
      </x:c>
      <x:c r="E421" s="30" t="n">
        <x:v>-0.04540233891489587</x:v>
      </x:c>
      <x:c r="F421" s="30" t="n">
        <x:f>ABS(E421)</x:f>
        <x:v>0.04540233891489587</x:v>
      </x:c>
      <x:c r="G421" s="30" t="n">
        <x:v>0.11247178586177452</x:v>
      </x:c>
      <x:c r="H421" s="30" t="n">
        <x:v>-0.40367758515628444</x:v>
      </x:c>
      <x:c r="I421" s="30" t="n">
        <x:f>ABS(H421)</x:f>
        <x:v>0.40367758515628444</x:v>
      </x:c>
      <x:c r="J421" s="30" t="n">
        <x:v>0.3528520949015649</x:v>
      </x:c>
      <x:c r="K421" s="30" t="n">
        <x:v>-0.025032666612662076</x:v>
      </x:c>
      <x:c r="L421" s="30" t="n">
        <x:v>-0.25072962506660534</x:v>
      </x:c>
      <x:c r="M421" s="30" t="n">
        <x:v>0.40636042402826855</x:v>
      </x:c>
      <x:c r="N421" s="19" t="n">
        <x:v>1981</x:v>
      </x:c>
      <x:c r="O421" t="b">
        <x:f>P421="legacy_common_sample_8902245"</x:f>
        <x:v>1</x:v>
      </x:c>
      <x:c r="P421" t="str">
        <x:v>legacy_common_sample_8902245</x:v>
      </x:c>
      <x:c r="Q421" s="74" t="n">
        <x:v>46210.73796425926</x:v>
      </x:c>
      <x:c r="R421" s="19" t="n">
        <x:v>8902245</x:v>
      </x:c>
      <x:c r="S421" t="str">
        <x:v>40355b29bce094aef0e99358bdfd4011b92e72a54440a67760de4afae4883c33</x:v>
      </x:c>
      <x:c r="T421" t="str">
        <x:v>factor_report/gtja191_batch/gtja_133/ic_summary.csv</x:v>
      </x:c>
    </x:row>
    <x:row r="422">
      <x:c r="A422" s="50" t="n">
        <x:f>IF($P422="legacy_common_sample_8902245",1+COUNTIFS($C$5:$C$546,$C422,$P$5:$P$546,"legacy_common_sample_8902245",$I$5:$I$546,"&gt;"&amp;$I422),"")</x:f>
        <x:v>62</x:v>
      </x:c>
      <x:c r="B422" t="str">
        <x:v>gtja_161</x:v>
      </x:c>
      <x:c r="C422" s="50" t="n">
        <x:v>20</x:v>
      </x:c>
      <x:c r="D422" t="str">
        <x:f>IF(E422&gt;=0,"positive","negative")</x:f>
        <x:v>negative</x:v>
      </x:c>
      <x:c r="E422" s="30" t="n">
        <x:v>-0.08018019777096075</x:v>
      </x:c>
      <x:c r="F422" s="30" t="n">
        <x:f>ABS(E422)</x:f>
        <x:v>0.08018019777096075</x:v>
      </x:c>
      <x:c r="G422" s="30" t="n">
        <x:v>0.1990911488113105</x:v>
      </x:c>
      <x:c r="H422" s="30" t="n">
        <x:v>-0.4027311020589463</x:v>
      </x:c>
      <x:c r="I422" s="30" t="n">
        <x:f>ABS(H422)</x:f>
        <x:v>0.4027311020589463</x:v>
      </x:c>
      <x:c r="J422" s="30" t="n">
        <x:v>0.37001514386673395</x:v>
      </x:c>
      <x:c r="K422" s="30" t="n">
        <x:v>-0.024833076660142603</x:v>
      </x:c>
      <x:c r="L422" s="30" t="n">
        <x:v>-0.2001655733633918</x:v>
      </x:c>
      <x:c r="M422" s="30" t="n">
        <x:v>0.4174659262998486</x:v>
      </x:c>
      <x:c r="N422" s="19" t="n">
        <x:v>1981</x:v>
      </x:c>
      <x:c r="O422" t="b">
        <x:f>P422="legacy_common_sample_8902245"</x:f>
        <x:v>1</x:v>
      </x:c>
      <x:c r="P422" t="str">
        <x:v>legacy_common_sample_8902245</x:v>
      </x:c>
      <x:c r="Q422" s="74" t="n">
        <x:v>46210.86347449074</x:v>
      </x:c>
      <x:c r="R422" s="19" t="n">
        <x:v>8902245</x:v>
      </x:c>
      <x:c r="S422" t="str">
        <x:v>40355b29bce094aef0e99358bdfd4011b92e72a54440a67760de4afae4883c33</x:v>
      </x:c>
      <x:c r="T422" t="str">
        <x:v>factor_report/gtja191_batch/gtja_161/ic_summary.csv</x:v>
      </x:c>
    </x:row>
    <x:row r="423">
      <x:c r="A423" s="50" t="n">
        <x:f>IF($P423="legacy_common_sample_8902245",1+COUNTIFS($C$5:$C$546,$C423,$P$5:$P$546,"legacy_common_sample_8902245",$I$5:$I$546,"&gt;"&amp;$I423),"")</x:f>
        <x:v>63</x:v>
      </x:c>
      <x:c r="B423" t="str">
        <x:v>gtja_035</x:v>
      </x:c>
      <x:c r="C423" s="50" t="n">
        <x:v>20</x:v>
      </x:c>
      <x:c r="D423" t="str">
        <x:f>IF(E423&gt;=0,"positive","negative")</x:f>
        <x:v>positive</x:v>
      </x:c>
      <x:c r="E423" s="30" t="n">
        <x:v>0.03934209835890449</x:v>
      </x:c>
      <x:c r="F423" s="30" t="n">
        <x:f>ABS(E423)</x:f>
        <x:v>0.03934209835890449</x:v>
      </x:c>
      <x:c r="G423" s="30" t="n">
        <x:v>0.09802067572825025</x:v>
      </x:c>
      <x:c r="H423" s="30" t="n">
        <x:v>0.4013653044789796</x:v>
      </x:c>
      <x:c r="I423" s="30" t="n">
        <x:f>ABS(H423)</x:f>
        <x:v>0.4013653044789796</x:v>
      </x:c>
      <x:c r="J423" s="30" t="n">
        <x:v>0.6567390206966178</x:v>
      </x:c>
      <x:c r="K423" s="30" t="n">
        <x:v>0.029816239824070334</x:v>
      </x:c>
      <x:c r="L423" s="30" t="n">
        <x:v>0.3399153360009977</x:v>
      </x:c>
      <x:c r="M423" s="30" t="n">
        <x:v>0.6304896516910651</x:v>
      </x:c>
      <x:c r="N423" s="19" t="n">
        <x:v>1981</x:v>
      </x:c>
      <x:c r="O423" t="b">
        <x:f>P423="legacy_common_sample_8902245"</x:f>
        <x:v>1</x:v>
      </x:c>
      <x:c r="P423" t="str">
        <x:v>legacy_common_sample_8902245</x:v>
      </x:c>
      <x:c r="Q423" s="74" t="n">
        <x:v>46211.2335940162</x:v>
      </x:c>
      <x:c r="R423" s="19" t="n">
        <x:v>8902245</x:v>
      </x:c>
      <x:c r="S423" t="str">
        <x:v>8f7e606554926462248cbcc654181861438ca768a0063f6b317223ede37d16fb</x:v>
      </x:c>
      <x:c r="T423" t="str">
        <x:v>factor_report/gtja191_batch/gtja_035/ic_summary.csv</x:v>
      </x:c>
    </x:row>
    <x:row r="424">
      <x:c r="A424" s="50" t="n">
        <x:f>IF($P424="legacy_common_sample_8902245",1+COUNTIFS($C$5:$C$546,$C424,$P$5:$P$546,"legacy_common_sample_8902245",$I$5:$I$546,"&gt;"&amp;$I424),"")</x:f>
        <x:v>64</x:v>
      </x:c>
      <x:c r="B424" t="str">
        <x:v>gtja_148</x:v>
      </x:c>
      <x:c r="C424" s="50" t="n">
        <x:v>20</x:v>
      </x:c>
      <x:c r="D424" t="str">
        <x:f>IF(E424&gt;=0,"positive","negative")</x:f>
        <x:v>positive</x:v>
      </x:c>
      <x:c r="E424" s="30" t="n">
        <x:v>0.03800825867623931</x:v>
      </x:c>
      <x:c r="F424" s="30" t="n">
        <x:f>ABS(E424)</x:f>
        <x:v>0.03800825867623931</x:v>
      </x:c>
      <x:c r="G424" s="30" t="n">
        <x:v>0.09543178137946179</x:v>
      </x:c>
      <x:c r="H424" s="30" t="n">
        <x:v>0.3982767389105785</x:v>
      </x:c>
      <x:c r="I424" s="30" t="n">
        <x:f>ABS(H424)</x:f>
        <x:v>0.3982767389105785</x:v>
      </x:c>
      <x:c r="J424" s="30" t="n">
        <x:v>0.6481952211489578</x:v>
      </x:c>
      <x:c r="K424" s="30" t="n">
        <x:v>0.01823649715627192</x:v>
      </x:c>
      <x:c r="L424" s="30" t="n">
        <x:v>0.21872244816002412</x:v>
      </x:c>
      <x:c r="M424" s="30" t="n">
        <x:v>0.581596339603457</x:v>
      </x:c>
      <x:c r="N424" s="19" t="n">
        <x:v>1967</x:v>
      </x:c>
      <x:c r="O424" t="b">
        <x:f>P424="legacy_common_sample_8902245"</x:f>
        <x:v>1</x:v>
      </x:c>
      <x:c r="P424" t="str">
        <x:v>legacy_common_sample_8902245</x:v>
      </x:c>
      <x:c r="Q424" s="74" t="n">
        <x:v>46211.47057563657</x:v>
      </x:c>
      <x:c r="R424" s="19" t="n">
        <x:v>8902245</x:v>
      </x:c>
      <x:c r="S424" t="str">
        <x:v>8f7e606554926462248cbcc654181861438ca768a0063f6b317223ede37d16fb</x:v>
      </x:c>
      <x:c r="T424" t="str">
        <x:v>factor_report/gtja191_batch/gtja_148/ic_summary.csv</x:v>
      </x:c>
    </x:row>
    <x:row r="425">
      <x:c r="A425" s="50" t="n">
        <x:f>IF($P425="legacy_common_sample_8902245",1+COUNTIFS($C$5:$C$546,$C425,$P$5:$P$546,"legacy_common_sample_8902245",$I$5:$I$546,"&gt;"&amp;$I425),"")</x:f>
        <x:v>65</x:v>
      </x:c>
      <x:c r="B425" t="str">
        <x:v>gtja_110</x:v>
      </x:c>
      <x:c r="C425" s="50" t="n">
        <x:v>20</x:v>
      </x:c>
      <x:c r="D425" t="str">
        <x:f>IF(E425&gt;=0,"positive","negative")</x:f>
        <x:v>negative</x:v>
      </x:c>
      <x:c r="E425" s="30" t="n">
        <x:v>-0.04728066301414187</x:v>
      </x:c>
      <x:c r="F425" s="30" t="n">
        <x:f>ABS(E425)</x:f>
        <x:v>0.04728066301414187</x:v>
      </x:c>
      <x:c r="G425" s="30" t="n">
        <x:v>0.11878454260773844</x:v>
      </x:c>
      <x:c r="H425" s="30" t="n">
        <x:v>-0.3980371686093581</x:v>
      </x:c>
      <x:c r="I425" s="30" t="n">
        <x:f>ABS(H425)</x:f>
        <x:v>0.3980371686093581</x:v>
      </x:c>
      <x:c r="J425" s="30" t="n">
        <x:v>0.35386168601716306</x:v>
      </x:c>
      <x:c r="K425" s="30" t="n">
        <x:v>-0.018371692613840696</x:v>
      </x:c>
      <x:c r="L425" s="30" t="n">
        <x:v>-0.17399743714816532</x:v>
      </x:c>
      <x:c r="M425" s="30" t="n">
        <x:v>0.44623927309439676</x:v>
      </x:c>
      <x:c r="N425" s="19" t="n">
        <x:v>1981</x:v>
      </x:c>
      <x:c r="O425" t="b">
        <x:f>P425="legacy_common_sample_8902245"</x:f>
        <x:v>1</x:v>
      </x:c>
      <x:c r="P425" t="str">
        <x:v>legacy_common_sample_8902245</x:v>
      </x:c>
      <x:c r="Q425" s="74" t="n">
        <x:v>46210.616483287034</x:v>
      </x:c>
      <x:c r="R425" s="19" t="n">
        <x:v>8902245</x:v>
      </x:c>
      <x:c r="S425" t="str">
        <x:v>40355b29bce094aef0e99358bdfd4011b92e72a54440a67760de4afae4883c33</x:v>
      </x:c>
      <x:c r="T425" t="str">
        <x:v>factor_report/gtja191_batch/gtja_110/ic_summary.csv</x:v>
      </x:c>
    </x:row>
    <x:row r="426">
      <x:c r="A426" s="50" t="n">
        <x:f>IF($P426="legacy_common_sample_8902245",1+COUNTIFS($C$5:$C$546,$C426,$P$5:$P$546,"legacy_common_sample_8902245",$I$5:$I$546,"&gt;"&amp;$I426),"")</x:f>
        <x:v>66</x:v>
      </x:c>
      <x:c r="B426" t="str">
        <x:v>gtja_189</x:v>
      </x:c>
      <x:c r="C426" s="50" t="n">
        <x:v>20</x:v>
      </x:c>
      <x:c r="D426" t="str">
        <x:f>IF(E426&gt;=0,"positive","negative")</x:f>
        <x:v>negative</x:v>
      </x:c>
      <x:c r="E426" s="30" t="n">
        <x:v>-0.07429851088196267</x:v>
      </x:c>
      <x:c r="F426" s="30" t="n">
        <x:f>ABS(E426)</x:f>
        <x:v>0.07429851088196267</x:v>
      </x:c>
      <x:c r="G426" s="30" t="n">
        <x:v>0.1895750432391116</x:v>
      </x:c>
      <x:c r="H426" s="30" t="n">
        <x:v>-0.3919213711493117</x:v>
      </x:c>
      <x:c r="I426" s="30" t="n">
        <x:f>ABS(H426)</x:f>
        <x:v>0.3919213711493117</x:v>
      </x:c>
      <x:c r="J426" s="30" t="n">
        <x:v>0.37607269056032305</x:v>
      </x:c>
      <x:c r="K426" s="30" t="n">
        <x:v>-0.022971417502326365</x:v>
      </x:c>
      <x:c r="L426" s="30" t="n">
        <x:v>-0.20466547423102066</x:v>
      </x:c>
      <x:c r="M426" s="30" t="n">
        <x:v>0.4154467440686522</x:v>
      </x:c>
      <x:c r="N426" s="19" t="n">
        <x:v>1981</x:v>
      </x:c>
      <x:c r="O426" t="b">
        <x:f>P426="legacy_common_sample_8902245"</x:f>
        <x:v>1</x:v>
      </x:c>
      <x:c r="P426" t="str">
        <x:v>legacy_common_sample_8902245</x:v>
      </x:c>
      <x:c r="Q426" s="74" t="n">
        <x:v>46210.9753753125</x:v>
      </x:c>
      <x:c r="R426" s="19" t="n">
        <x:v>8902245</x:v>
      </x:c>
      <x:c r="S426" t="str">
        <x:v>40355b29bce094aef0e99358bdfd4011b92e72a54440a67760de4afae4883c33</x:v>
      </x:c>
      <x:c r="T426" t="str">
        <x:v>factor_report/gtja191_batch/gtja_189/ic_summary.csv</x:v>
      </x:c>
    </x:row>
    <x:row r="427">
      <x:c r="A427" s="50" t="n">
        <x:f>IF($P427="legacy_common_sample_8902245",1+COUNTIFS($C$5:$C$546,$C427,$P$5:$P$546,"legacy_common_sample_8902245",$I$5:$I$546,"&gt;"&amp;$I427),"")</x:f>
        <x:v>67</x:v>
      </x:c>
      <x:c r="B427" t="str">
        <x:v>gtja_147</x:v>
      </x:c>
      <x:c r="C427" s="50" t="n">
        <x:v>20</x:v>
      </x:c>
      <x:c r="D427" t="str">
        <x:f>IF(E427&gt;=0,"positive","negative")</x:f>
        <x:v>negative</x:v>
      </x:c>
      <x:c r="E427" s="30" t="n">
        <x:v>-0.05142714709902863</x:v>
      </x:c>
      <x:c r="F427" s="30" t="n">
        <x:f>ABS(E427)</x:f>
        <x:v>0.05142714709902863</x:v>
      </x:c>
      <x:c r="G427" s="30" t="n">
        <x:v>0.13179996064441496</x:v>
      </x:c>
      <x:c r="H427" s="30" t="n">
        <x:v>-0.3901909139242817</x:v>
      </x:c>
      <x:c r="I427" s="30" t="n">
        <x:f>ABS(H427)</x:f>
        <x:v>0.3901909139242817</x:v>
      </x:c>
      <x:c r="J427" s="30" t="n">
        <x:v>0.3649671882887431</x:v>
      </x:c>
      <x:c r="K427" s="30" t="n">
        <x:v>-0.017166466868387117</x:v>
      </x:c>
      <x:c r="L427" s="30" t="n">
        <x:v>-0.20132149863106383</x:v>
      </x:c>
      <x:c r="M427" s="30" t="n">
        <x:v>0.414437152953054</x:v>
      </x:c>
      <x:c r="N427" s="19" t="n">
        <x:v>1981</x:v>
      </x:c>
      <x:c r="O427" t="b">
        <x:f>P427="legacy_common_sample_8902245"</x:f>
        <x:v>1</x:v>
      </x:c>
      <x:c r="P427" t="str">
        <x:v>legacy_common_sample_8902245</x:v>
      </x:c>
      <x:c r="Q427" s="74" t="n">
        <x:v>46210.805681736114</x:v>
      </x:c>
      <x:c r="R427" s="19" t="n">
        <x:v>8902245</x:v>
      </x:c>
      <x:c r="S427" t="str">
        <x:v>40355b29bce094aef0e99358bdfd4011b92e72a54440a67760de4afae4883c33</x:v>
      </x:c>
      <x:c r="T427" t="str">
        <x:v>factor_report/gtja191_batch/gtja_147/ic_summary.csv</x:v>
      </x:c>
    </x:row>
    <x:row r="428">
      <x:c r="A428" s="50" t="n">
        <x:f>IF($P428="legacy_common_sample_8902245",1+COUNTIFS($C$5:$C$546,$C428,$P$5:$P$546,"legacy_common_sample_8902245",$I$5:$I$546,"&gt;"&amp;$I428),"")</x:f>
        <x:v>68</x:v>
      </x:c>
      <x:c r="B428" t="str">
        <x:v>gtja_024</x:v>
      </x:c>
      <x:c r="C428" s="50" t="n">
        <x:v>20</x:v>
      </x:c>
      <x:c r="D428" t="str">
        <x:f>IF(E428&gt;=0,"positive","negative")</x:f>
        <x:v>negative</x:v>
      </x:c>
      <x:c r="E428" s="30" t="n">
        <x:v>-0.049039034211319485</x:v>
      </x:c>
      <x:c r="F428" s="30" t="n">
        <x:f>ABS(E428)</x:f>
        <x:v>0.049039034211319485</x:v>
      </x:c>
      <x:c r="G428" s="30" t="n">
        <x:v>0.1279414354218107</x:v>
      </x:c>
      <x:c r="H428" s="30" t="n">
        <x:v>-0.3832928249526236</x:v>
      </x:c>
      <x:c r="I428" s="30" t="n">
        <x:f>ABS(H428)</x:f>
        <x:v>0.3832928249526236</x:v>
      </x:c>
      <x:c r="J428" s="30" t="n">
        <x:v>0.3674911660777385</x:v>
      </x:c>
      <x:c r="K428" s="30" t="n">
        <x:v>-0.02185142305075718</x:v>
      </x:c>
      <x:c r="L428" s="30" t="n">
        <x:v>-0.2684002451072706</x:v>
      </x:c>
      <x:c r="M428" s="30" t="n">
        <x:v>0.39374053508329127</x:v>
      </x:c>
      <x:c r="N428" s="19" t="n">
        <x:v>1981</x:v>
      </x:c>
      <x:c r="O428" t="b">
        <x:f>P428="legacy_common_sample_8902245"</x:f>
        <x:v>1</x:v>
      </x:c>
      <x:c r="P428" t="str">
        <x:v>legacy_common_sample_8902245</x:v>
      </x:c>
      <x:c r="Q428" s="74" t="n">
        <x:v>46210.21420491898</x:v>
      </x:c>
      <x:c r="R428" s="19" t="n">
        <x:v>8902245</x:v>
      </x:c>
      <x:c r="S428" t="str">
        <x:v>40355b29bce094aef0e99358bdfd4011b92e72a54440a67760de4afae4883c33</x:v>
      </x:c>
      <x:c r="T428" t="str">
        <x:v>factor_report/gtja191_batch/gtja_024/ic_summary.csv</x:v>
      </x:c>
    </x:row>
    <x:row r="429">
      <x:c r="A429" s="50" t="n">
        <x:f>IF($P429="legacy_common_sample_8902245",1+COUNTIFS($C$5:$C$546,$C429,$P$5:$P$546,"legacy_common_sample_8902245",$I$5:$I$546,"&gt;"&amp;$I429),"")</x:f>
        <x:v>69</x:v>
      </x:c>
      <x:c r="B429" t="str">
        <x:v>gtja_079</x:v>
      </x:c>
      <x:c r="C429" s="50" t="n">
        <x:v>20</x:v>
      </x:c>
      <x:c r="D429" t="str">
        <x:f>IF(E429&gt;=0,"positive","negative")</x:f>
        <x:v>negative</x:v>
      </x:c>
      <x:c r="E429" s="30" t="n">
        <x:v>-0.050061524150600216</x:v>
      </x:c>
      <x:c r="F429" s="30" t="n">
        <x:f>ABS(E429)</x:f>
        <x:v>0.050061524150600216</x:v>
      </x:c>
      <x:c r="G429" s="30" t="n">
        <x:v>0.13088440444962812</x:v>
      </x:c>
      <x:c r="H429" s="30" t="n">
        <x:v>-0.3824865488070183</x:v>
      </x:c>
      <x:c r="I429" s="30" t="n">
        <x:f>ABS(H429)</x:f>
        <x:v>0.3824865488070183</x:v>
      </x:c>
      <x:c r="J429" s="30" t="n">
        <x:v>0.3614336193841494</x:v>
      </x:c>
      <x:c r="K429" s="30" t="n">
        <x:v>-0.024675929984585003</x:v>
      </x:c>
      <x:c r="L429" s="30" t="n">
        <x:v>-0.21743233271168075</x:v>
      </x:c>
      <x:c r="M429" s="30" t="n">
        <x:v>0.4381625441696113</x:v>
      </x:c>
      <x:c r="N429" s="19" t="n">
        <x:v>1981</x:v>
      </x:c>
      <x:c r="O429" t="b">
        <x:f>P429="legacy_common_sample_8902245"</x:f>
        <x:v>1</x:v>
      </x:c>
      <x:c r="P429" t="str">
        <x:v>legacy_common_sample_8902245</x:v>
      </x:c>
      <x:c r="Q429" s="74" t="n">
        <x:v>46210.47234655092</x:v>
      </x:c>
      <x:c r="R429" s="19" t="n">
        <x:v>8902245</x:v>
      </x:c>
      <x:c r="S429" t="str">
        <x:v>40355b29bce094aef0e99358bdfd4011b92e72a54440a67760de4afae4883c33</x:v>
      </x:c>
      <x:c r="T429" t="str">
        <x:v>factor_report/gtja191_batch/gtja_079/ic_summary.csv</x:v>
      </x:c>
    </x:row>
    <x:row r="430">
      <x:c r="A430" s="50" t="n">
        <x:f>IF($P430="legacy_common_sample_8902245",1+COUNTIFS($C$5:$C$546,$C430,$P$5:$P$546,"legacy_common_sample_8902245",$I$5:$I$546,"&gt;"&amp;$I430),"")</x:f>
        <x:v>70</x:v>
      </x:c>
      <x:c r="B430" t="str">
        <x:v>gtja_164</x:v>
      </x:c>
      <x:c r="C430" s="50" t="n">
        <x:v>20</x:v>
      </x:c>
      <x:c r="D430" t="str">
        <x:f>IF(E430&gt;=0,"positive","negative")</x:f>
        <x:v>positive</x:v>
      </x:c>
      <x:c r="E430" s="30" t="n">
        <x:v>0.07173398532509588</x:v>
      </x:c>
      <x:c r="F430" s="30" t="n">
        <x:f>ABS(E430)</x:f>
        <x:v>0.07173398532509588</x:v>
      </x:c>
      <x:c r="G430" s="30" t="n">
        <x:v>0.18793592471919088</x:v>
      </x:c>
      <x:c r="H430" s="30" t="n">
        <x:v>0.3816938429003342</x:v>
      </x:c>
      <x:c r="I430" s="30" t="n">
        <x:f>ABS(H430)</x:f>
        <x:v>0.3816938429003342</x:v>
      </x:c>
      <x:c r="J430" s="30" t="n">
        <x:v>0.6234225138818779</x:v>
      </x:c>
      <x:c r="K430" s="30" t="n">
        <x:v>0.02099955359403606</x:v>
      </x:c>
      <x:c r="L430" s="30" t="n">
        <x:v>0.20445406161880714</x:v>
      </x:c>
      <x:c r="M430" s="30" t="n">
        <x:v>0.541645633518425</x:v>
      </x:c>
      <x:c r="N430" s="19" t="n">
        <x:v>1981</x:v>
      </x:c>
      <x:c r="O430" t="b">
        <x:f>P430="legacy_common_sample_8902245"</x:f>
        <x:v>1</x:v>
      </x:c>
      <x:c r="P430" t="str">
        <x:v>legacy_common_sample_8902245</x:v>
      </x:c>
      <x:c r="Q430" s="74" t="n">
        <x:v>46211.51530107639</x:v>
      </x:c>
      <x:c r="R430" s="19" t="n">
        <x:v>8902245</x:v>
      </x:c>
      <x:c r="S430" t="str">
        <x:v>8f7e606554926462248cbcc654181861438ca768a0063f6b317223ede37d16fb</x:v>
      </x:c>
      <x:c r="T430" t="str">
        <x:v>factor_report/gtja191_batch/gtja_164/ic_summary.csv</x:v>
      </x:c>
    </x:row>
    <x:row r="431">
      <x:c r="A431" s="50" t="n">
        <x:f>IF($P431="legacy_common_sample_8902245",1+COUNTIFS($C$5:$C$546,$C431,$P$5:$P$546,"legacy_common_sample_8902245",$I$5:$I$546,"&gt;"&amp;$I431),"")</x:f>
        <x:v>71</x:v>
      </x:c>
      <x:c r="B431" t="str">
        <x:v>gtja_190</x:v>
      </x:c>
      <x:c r="C431" s="50" t="n">
        <x:v>20</x:v>
      </x:c>
      <x:c r="D431" t="str">
        <x:f>IF(E431&gt;=0,"positive","negative")</x:f>
        <x:v>positive</x:v>
      </x:c>
      <x:c r="E431" s="30" t="n">
        <x:v>0.029581587819414487</x:v>
      </x:c>
      <x:c r="F431" s="30" t="n">
        <x:f>ABS(E431)</x:f>
        <x:v>0.029581587819414487</x:v>
      </x:c>
      <x:c r="G431" s="30" t="n">
        <x:v>0.07822043890188278</x:v>
      </x:c>
      <x:c r="H431" s="30" t="n">
        <x:v>0.37818232976831906</x:v>
      </x:c>
      <x:c r="I431" s="30" t="n">
        <x:f>ABS(H431)</x:f>
        <x:v>0.37818232976831906</x:v>
      </x:c>
      <x:c r="J431" s="30" t="n">
        <x:v>0.6370519939424533</x:v>
      </x:c>
      <x:c r="K431" s="30" t="n">
        <x:v>0.013980820810191657</x:v>
      </x:c>
      <x:c r="L431" s="30" t="n">
        <x:v>0.2120384039483108</x:v>
      </x:c>
      <x:c r="M431" s="30" t="n">
        <x:v>0.5673902069661787</x:v>
      </x:c>
      <x:c r="N431" s="19" t="n">
        <x:v>1981</x:v>
      </x:c>
      <x:c r="O431" t="b">
        <x:f>P431="legacy_common_sample_8902245"</x:f>
        <x:v>1</x:v>
      </x:c>
      <x:c r="P431" t="str">
        <x:v>legacy_common_sample_8902245</x:v>
      </x:c>
      <x:c r="Q431" s="74" t="n">
        <x:v>46211.55394319444</x:v>
      </x:c>
      <x:c r="R431" s="19" t="n">
        <x:v>8902245</x:v>
      </x:c>
      <x:c r="S431" t="str">
        <x:v>8f7e606554926462248cbcc654181861438ca768a0063f6b317223ede37d16fb</x:v>
      </x:c>
      <x:c r="T431" t="str">
        <x:v>factor_report/gtja191_batch/gtja_190/ic_summary.csv</x:v>
      </x:c>
    </x:row>
    <x:row r="432">
      <x:c r="A432" s="50" t="n">
        <x:f>IF($P432="legacy_common_sample_8902245",1+COUNTIFS($C$5:$C$546,$C432,$P$5:$P$546,"legacy_common_sample_8902245",$I$5:$I$546,"&gt;"&amp;$I432),"")</x:f>
        <x:v>72</x:v>
      </x:c>
      <x:c r="B432" t="str">
        <x:v>gtja_136</x:v>
      </x:c>
      <x:c r="C432" s="50" t="n">
        <x:v>20</x:v>
      </x:c>
      <x:c r="D432" t="str">
        <x:f>IF(E432&gt;=0,"positive","negative")</x:f>
        <x:v>positive</x:v>
      </x:c>
      <x:c r="E432" s="30" t="n">
        <x:v>0.027085990344603763</x:v>
      </x:c>
      <x:c r="F432" s="30" t="n">
        <x:f>ABS(E432)</x:f>
        <x:v>0.027085990344603763</x:v>
      </x:c>
      <x:c r="G432" s="30" t="n">
        <x:v>0.07234314056502635</x:v>
      </x:c>
      <x:c r="H432" s="30" t="n">
        <x:v>0.37440993206891887</x:v>
      </x:c>
      <x:c r="I432" s="30" t="n">
        <x:f>ABS(H432)</x:f>
        <x:v>0.37440993206891887</x:v>
      </x:c>
      <x:c r="J432" s="30" t="n">
        <x:v>0.6653205451792025</x:v>
      </x:c>
      <x:c r="K432" s="30" t="n">
        <x:v>0.020172640653936254</x:v>
      </x:c>
      <x:c r="L432" s="30" t="n">
        <x:v>0.3349107457577639</x:v>
      </x:c>
      <x:c r="M432" s="30" t="n">
        <x:v>0.6451287228672388</x:v>
      </x:c>
      <x:c r="N432" s="19" t="n">
        <x:v>1981</x:v>
      </x:c>
      <x:c r="O432" t="b">
        <x:f>P432="legacy_common_sample_8902245"</x:f>
        <x:v>1</x:v>
      </x:c>
      <x:c r="P432" t="str">
        <x:v>legacy_common_sample_8902245</x:v>
      </x:c>
      <x:c r="Q432" s="74" t="n">
        <x:v>46211.42709479167</x:v>
      </x:c>
      <x:c r="R432" s="19" t="n">
        <x:v>8902245</x:v>
      </x:c>
      <x:c r="S432" t="str">
        <x:v>8f7e606554926462248cbcc654181861438ca768a0063f6b317223ede37d16fb</x:v>
      </x:c>
      <x:c r="T432" t="str">
        <x:v>factor_report/gtja191_batch/gtja_136/ic_summary.csv</x:v>
      </x:c>
    </x:row>
    <x:row r="433">
      <x:c r="A433" s="50" t="n">
        <x:f>IF($P433="legacy_common_sample_8902245",1+COUNTIFS($C$5:$C$546,$C433,$P$5:$P$546,"legacy_common_sample_8902245",$I$5:$I$546,"&gt;"&amp;$I433),"")</x:f>
        <x:v>73</x:v>
      </x:c>
      <x:c r="B433" t="str">
        <x:v>gtja_046</x:v>
      </x:c>
      <x:c r="C433" s="50" t="n">
        <x:v>20</x:v>
      </x:c>
      <x:c r="D433" t="str">
        <x:f>IF(E433&gt;=0,"positive","negative")</x:f>
        <x:v>positive</x:v>
      </x:c>
      <x:c r="E433" s="30" t="n">
        <x:v>0.04895945324656493</x:v>
      </x:c>
      <x:c r="F433" s="30" t="n">
        <x:f>ABS(E433)</x:f>
        <x:v>0.04895945324656493</x:v>
      </x:c>
      <x:c r="G433" s="30" t="n">
        <x:v>0.13112112927469824</x:v>
      </x:c>
      <x:c r="H433" s="30" t="n">
        <x:v>0.37339102795549506</x:v>
      </x:c>
      <x:c r="I433" s="30" t="n">
        <x:f>ABS(H433)</x:f>
        <x:v>0.37339102795549506</x:v>
      </x:c>
      <x:c r="J433" s="30" t="n">
        <x:v>0.6304896516910651</x:v>
      </x:c>
      <x:c r="K433" s="30" t="n">
        <x:v>0.04034314725965842</x:v>
      </x:c>
      <x:c r="L433" s="30" t="n">
        <x:v>0.35716144048213394</x:v>
      </x:c>
      <x:c r="M433" s="30" t="n">
        <x:v>0.6476527006562343</x:v>
      </x:c>
      <x:c r="N433" s="19" t="n">
        <x:v>1981</x:v>
      </x:c>
      <x:c r="O433" t="b">
        <x:f>P433="legacy_common_sample_8902245"</x:f>
        <x:v>1</x:v>
      </x:c>
      <x:c r="P433" t="str">
        <x:v>legacy_common_sample_8902245</x:v>
      </x:c>
      <x:c r="Q433" s="74" t="n">
        <x:v>46211.26878402778</x:v>
      </x:c>
      <x:c r="R433" s="19" t="n">
        <x:v>8902245</x:v>
      </x:c>
      <x:c r="S433" t="str">
        <x:v>8f7e606554926462248cbcc654181861438ca768a0063f6b317223ede37d16fb</x:v>
      </x:c>
      <x:c r="T433" t="str">
        <x:v>factor_report/gtja191_batch/gtja_046/ic_summary.csv</x:v>
      </x:c>
    </x:row>
    <x:row r="434">
      <x:c r="A434" s="50" t="n">
        <x:f>IF($P434="legacy_common_sample_8902245",1+COUNTIFS($C$5:$C$546,$C434,$P$5:$P$546,"legacy_common_sample_8902245",$I$5:$I$546,"&gt;"&amp;$I434),"")</x:f>
        <x:v>74</x:v>
      </x:c>
      <x:c r="B434" t="str">
        <x:v>gtja_130</x:v>
      </x:c>
      <x:c r="C434" s="50" t="n">
        <x:v>20</x:v>
      </x:c>
      <x:c r="D434" t="str">
        <x:f>IF(E434&gt;=0,"positive","negative")</x:f>
        <x:v>positive</x:v>
      </x:c>
      <x:c r="E434" s="30" t="n">
        <x:v>0.020724012759167194</x:v>
      </x:c>
      <x:c r="F434" s="30" t="n">
        <x:f>ABS(E434)</x:f>
        <x:v>0.020724012759167194</x:v>
      </x:c>
      <x:c r="G434" s="30" t="n">
        <x:v>0.05552645919161364</x:v>
      </x:c>
      <x:c r="H434" s="30" t="n">
        <x:v>0.37322770190787197</x:v>
      </x:c>
      <x:c r="I434" s="30" t="n">
        <x:f>ABS(H434)</x:f>
        <x:v>0.37322770190787197</x:v>
      </x:c>
      <x:c r="J434" s="30" t="n">
        <x:v>0.6567390206966178</x:v>
      </x:c>
      <x:c r="K434" s="30" t="n">
        <x:v>0.0018013498166453861</x:v>
      </x:c>
      <x:c r="L434" s="30" t="n">
        <x:v>0.09683596792459025</x:v>
      </x:c>
      <x:c r="M434" s="30" t="n">
        <x:v>0.5063099444724887</x:v>
      </x:c>
      <x:c r="N434" s="19" t="n">
        <x:v>1981</x:v>
      </x:c>
      <x:c r="O434" t="b">
        <x:f>P434="legacy_common_sample_8902245"</x:f>
        <x:v>1</x:v>
      </x:c>
      <x:c r="P434" t="str">
        <x:v>legacy_common_sample_8902245</x:v>
      </x:c>
      <x:c r="Q434" s="74" t="n">
        <x:v>46211.42025105324</x:v>
      </x:c>
      <x:c r="R434" s="19" t="n">
        <x:v>8902245</x:v>
      </x:c>
      <x:c r="S434" t="str">
        <x:v>8f7e606554926462248cbcc654181861438ca768a0063f6b317223ede37d16fb</x:v>
      </x:c>
      <x:c r="T434" t="str">
        <x:v>factor_report/gtja191_batch/gtja_130/ic_summary.csv</x:v>
      </x:c>
    </x:row>
    <x:row r="435">
      <x:c r="A435" s="50" t="n">
        <x:f>IF($P435="legacy_common_sample_8902245",1+COUNTIFS($C$5:$C$546,$C435,$P$5:$P$546,"legacy_common_sample_8902245",$I$5:$I$546,"&gt;"&amp;$I435),"")</x:f>
        <x:v>75</x:v>
      </x:c>
      <x:c r="B435" t="str">
        <x:v>gtja_056</x:v>
      </x:c>
      <x:c r="C435" s="50" t="n">
        <x:v>20</x:v>
      </x:c>
      <x:c r="D435" t="str">
        <x:f>IF(E435&gt;=0,"positive","negative")</x:f>
        <x:v>positive</x:v>
      </x:c>
      <x:c r="E435" s="30" t="n">
        <x:v>0.03241313674768896</x:v>
      </x:c>
      <x:c r="F435" s="30" t="n">
        <x:f>ABS(E435)</x:f>
        <x:v>0.03241313674768896</x:v>
      </x:c>
      <x:c r="G435" s="30" t="n">
        <x:v>0.08848711684236264</x:v>
      </x:c>
      <x:c r="H435" s="30" t="n">
        <x:v>0.3663034564165094</x:v>
      </x:c>
      <x:c r="I435" s="30" t="n">
        <x:f>ABS(H435)</x:f>
        <x:v>0.3663034564165094</x:v>
      </x:c>
      <x:c r="J435" s="30" t="n">
        <x:v>0.6263959390862944</x:v>
      </x:c>
      <x:c r="K435" s="30" t="n">
        <x:v>0.016734842262765923</x:v>
      </x:c>
      <x:c r="L435" s="30" t="n">
        <x:v>0.21540907203463364</x:v>
      </x:c>
      <x:c r="M435" s="30" t="n">
        <x:v>0.5675126903553299</x:v>
      </x:c>
      <x:c r="N435" s="19" t="n">
        <x:v>1970</x:v>
      </x:c>
      <x:c r="O435" t="b">
        <x:f>P435="legacy_common_sample_8902245"</x:f>
        <x:v>1</x:v>
      </x:c>
      <x:c r="P435" t="str">
        <x:v>legacy_common_sample_8902245</x:v>
      </x:c>
      <x:c r="Q435" s="74" t="n">
        <x:v>46211.28159711805</x:v>
      </x:c>
      <x:c r="R435" s="19" t="n">
        <x:v>8902245</x:v>
      </x:c>
      <x:c r="S435" t="str">
        <x:v>8f7e606554926462248cbcc654181861438ca768a0063f6b317223ede37d16fb</x:v>
      </x:c>
      <x:c r="T435" t="str">
        <x:v>factor_report/gtja191_batch/gtja_056/ic_summary.csv</x:v>
      </x:c>
    </x:row>
    <x:row r="436">
      <x:c r="A436" s="50" t="n">
        <x:f>IF($P436="legacy_common_sample_8902245",1+COUNTIFS($C$5:$C$546,$C436,$P$5:$P$546,"legacy_common_sample_8902245",$I$5:$I$546,"&gt;"&amp;$I436),"")</x:f>
        <x:v>76</x:v>
      </x:c>
      <x:c r="B436" t="str">
        <x:v>gtja_128</x:v>
      </x:c>
      <x:c r="C436" s="50" t="n">
        <x:v>20</x:v>
      </x:c>
      <x:c r="D436" t="str">
        <x:f>IF(E436&gt;=0,"positive","negative")</x:f>
        <x:v>negative</x:v>
      </x:c>
      <x:c r="E436" s="30" t="n">
        <x:v>-0.03950094064651557</x:v>
      </x:c>
      <x:c r="F436" s="30" t="n">
        <x:f>ABS(E436)</x:f>
        <x:v>0.03950094064651557</x:v>
      </x:c>
      <x:c r="G436" s="30" t="n">
        <x:v>0.10841740380872587</x:v>
      </x:c>
      <x:c r="H436" s="30" t="n">
        <x:v>-0.36434132582813583</x:v>
      </x:c>
      <x:c r="I436" s="30" t="n">
        <x:f>ABS(H436)</x:f>
        <x:v>0.36434132582813583</x:v>
      </x:c>
      <x:c r="J436" s="30" t="n">
        <x:v>0.358909641595154</x:v>
      </x:c>
      <x:c r="K436" s="30" t="n">
        <x:v>-0.018103259969608106</x:v>
      </x:c>
      <x:c r="L436" s="30" t="n">
        <x:v>-0.1928619579913147</x:v>
      </x:c>
      <x:c r="M436" s="30" t="n">
        <x:v>0.42806663301362946</x:v>
      </x:c>
      <x:c r="N436" s="19" t="n">
        <x:v>1981</x:v>
      </x:c>
      <x:c r="O436" t="b">
        <x:f>P436="legacy_common_sample_8902245"</x:f>
        <x:v>1</x:v>
      </x:c>
      <x:c r="P436" t="str">
        <x:v>legacy_common_sample_8902245</x:v>
      </x:c>
      <x:c r="Q436" s="74" t="n">
        <x:v>46210.71593150463</x:v>
      </x:c>
      <x:c r="R436" s="19" t="n">
        <x:v>8902245</x:v>
      </x:c>
      <x:c r="S436" t="str">
        <x:v>40355b29bce094aef0e99358bdfd4011b92e72a54440a67760de4afae4883c33</x:v>
      </x:c>
      <x:c r="T436" t="str">
        <x:v>factor_report/gtja191_batch/gtja_128/ic_summary.csv</x:v>
      </x:c>
    </x:row>
    <x:row r="437">
      <x:c r="A437" s="50" t="n">
        <x:f>IF($P437="legacy_common_sample_8902245",1+COUNTIFS($C$5:$C$546,$C437,$P$5:$P$546,"legacy_common_sample_8902245",$I$5:$I$546,"&gt;"&amp;$I437),"")</x:f>
        <x:v>77</x:v>
      </x:c>
      <x:c r="B437" t="str">
        <x:v>gtja_103</x:v>
      </x:c>
      <x:c r="C437" s="50" t="n">
        <x:v>20</x:v>
      </x:c>
      <x:c r="D437" t="str">
        <x:f>IF(E437&gt;=0,"positive","negative")</x:f>
        <x:v>positive</x:v>
      </x:c>
      <x:c r="E437" s="30" t="n">
        <x:v>0.03790450316082415</x:v>
      </x:c>
      <x:c r="F437" s="30" t="n">
        <x:f>ABS(E437)</x:f>
        <x:v>0.03790450316082415</x:v>
      </x:c>
      <x:c r="G437" s="30" t="n">
        <x:v>0.104257390630995</x:v>
      </x:c>
      <x:c r="H437" s="30" t="n">
        <x:v>0.36356658200838765</x:v>
      </x:c>
      <x:c r="I437" s="30" t="n">
        <x:f>ABS(H437)</x:f>
        <x:v>0.36356658200838765</x:v>
      </x:c>
      <x:c r="J437" s="30" t="n">
        <x:v>0.6264512872286724</x:v>
      </x:c>
      <x:c r="K437" s="30" t="n">
        <x:v>0.01957322597659048</x:v>
      </x:c>
      <x:c r="L437" s="30" t="n">
        <x:v>0.22248367280994413</x:v>
      </x:c>
      <x:c r="M437" s="30" t="n">
        <x:v>0.5542655224634023</x:v>
      </x:c>
      <x:c r="N437" s="19" t="n">
        <x:v>1981</x:v>
      </x:c>
      <x:c r="O437" t="b">
        <x:f>P437="legacy_common_sample_8902245"</x:f>
        <x:v>1</x:v>
      </x:c>
      <x:c r="P437" t="str">
        <x:v>legacy_common_sample_8902245</x:v>
      </x:c>
      <x:c r="Q437" s="74" t="n">
        <x:v>46211.35333019676</x:v>
      </x:c>
      <x:c r="R437" s="19" t="n">
        <x:v>8902245</x:v>
      </x:c>
      <x:c r="S437" t="str">
        <x:v>8f7e606554926462248cbcc654181861438ca768a0063f6b317223ede37d16fb</x:v>
      </x:c>
      <x:c r="T437" t="str">
        <x:v>factor_report/gtja191_batch/gtja_103/ic_summary.csv</x:v>
      </x:c>
    </x:row>
    <x:row r="438">
      <x:c r="A438" s="50" t="n">
        <x:f>IF($P438="legacy_common_sample_8902245",1+COUNTIFS($C$5:$C$546,$C438,$P$5:$P$546,"legacy_common_sample_8902245",$I$5:$I$546,"&gt;"&amp;$I438),"")</x:f>
        <x:v>78</x:v>
      </x:c>
      <x:c r="B438" t="str">
        <x:v>gtja_120</x:v>
      </x:c>
      <x:c r="C438" s="50" t="n">
        <x:v>20</x:v>
      </x:c>
      <x:c r="D438" t="str">
        <x:f>IF(E438&gt;=0,"positive","negative")</x:f>
        <x:v>positive</x:v>
      </x:c>
      <x:c r="E438" s="30" t="n">
        <x:v>0.05357793930772217</x:v>
      </x:c>
      <x:c r="F438" s="30" t="n">
        <x:f>ABS(E438)</x:f>
        <x:v>0.05357793930772217</x:v>
      </x:c>
      <x:c r="G438" s="30" t="n">
        <x:v>0.15056080826428653</x:v>
      </x:c>
      <x:c r="H438" s="30" t="n">
        <x:v>0.3558558161674735</x:v>
      </x:c>
      <x:c r="I438" s="30" t="n">
        <x:f>ABS(H438)</x:f>
        <x:v>0.3558558161674735</x:v>
      </x:c>
      <x:c r="J438" s="30" t="n">
        <x:v>0.618879353861686</x:v>
      </x:c>
      <x:c r="K438" s="30" t="n">
        <x:v>0.01746689160102537</x:v>
      </x:c>
      <x:c r="L438" s="30" t="n">
        <x:v>0.3958965719893244</x:v>
      </x:c>
      <x:c r="M438" s="30" t="n">
        <x:v>0.6224129227662797</x:v>
      </x:c>
      <x:c r="N438" s="19" t="n">
        <x:v>1981</x:v>
      </x:c>
      <x:c r="O438" t="b">
        <x:f>P438="legacy_common_sample_8902245"</x:f>
        <x:v>1</x:v>
      </x:c>
      <x:c r="P438" t="str">
        <x:v>legacy_common_sample_8902245</x:v>
      </x:c>
      <x:c r="Q438" s="74" t="n">
        <x:v>46211.39541752315</x:v>
      </x:c>
      <x:c r="R438" s="19" t="n">
        <x:v>8902245</x:v>
      </x:c>
      <x:c r="S438" t="str">
        <x:v>8f7e606554926462248cbcc654181861438ca768a0063f6b317223ede37d16fb</x:v>
      </x:c>
      <x:c r="T438" t="str">
        <x:v>factor_report/gtja191_batch/gtja_120/ic_summary.csv</x:v>
      </x:c>
    </x:row>
    <x:row r="439">
      <x:c r="A439" s="50" t="n">
        <x:f>IF($P439="legacy_common_sample_8902245",1+COUNTIFS($C$5:$C$546,$C439,$P$5:$P$546,"legacy_common_sample_8902245",$I$5:$I$546,"&gt;"&amp;$I439),"")</x:f>
        <x:v>79</x:v>
      </x:c>
      <x:c r="B439" t="str">
        <x:v>gtja_003</x:v>
      </x:c>
      <x:c r="C439" s="50" t="n">
        <x:v>20</x:v>
      </x:c>
      <x:c r="D439" t="str">
        <x:f>IF(E439&gt;=0,"positive","negative")</x:f>
        <x:v>negative</x:v>
      </x:c>
      <x:c r="E439" s="30" t="n">
        <x:v>-0.040821568603022704</x:v>
      </x:c>
      <x:c r="F439" s="30" t="n">
        <x:f>ABS(E439)</x:f>
        <x:v>0.040821568603022704</x:v>
      </x:c>
      <x:c r="G439" s="30" t="n">
        <x:v>0.1159749249208376</x:v>
      </x:c>
      <x:c r="H439" s="30" t="n">
        <x:v>-0.3519861610678927</x:v>
      </x:c>
      <x:c r="I439" s="30" t="n">
        <x:f>ABS(H439)</x:f>
        <x:v>0.3519861610678927</x:v>
      </x:c>
      <x:c r="J439" s="30" t="n">
        <x:v>0.358909641595154</x:v>
      </x:c>
      <x:c r="K439" s="30" t="n">
        <x:v>-0.021750706704818917</x:v>
      </x:c>
      <x:c r="L439" s="30" t="n">
        <x:v>-0.28876814393665573</x:v>
      </x:c>
      <x:c r="M439" s="30" t="n">
        <x:v>0.3770822816759212</x:v>
      </x:c>
      <x:c r="N439" s="19" t="n">
        <x:v>1981</x:v>
      </x:c>
      <x:c r="O439" t="b">
        <x:f>P439="legacy_common_sample_8902245"</x:f>
        <x:v>1</x:v>
      </x:c>
      <x:c r="P439" t="str">
        <x:v>legacy_common_sample_8902245</x:v>
      </x:c>
      <x:c r="Q439" s="74" t="n">
        <x:v>46210.119879363425</x:v>
      </x:c>
      <x:c r="R439" s="19" t="n">
        <x:v>8902245</x:v>
      </x:c>
      <x:c r="S439" t="str">
        <x:v>40355b29bce094aef0e99358bdfd4011b92e72a54440a67760de4afae4883c33</x:v>
      </x:c>
      <x:c r="T439" t="str">
        <x:v>factor_report/gtja191_batch/gtja_003/ic_summary.csv</x:v>
      </x:c>
    </x:row>
    <x:row r="440">
      <x:c r="A440" s="50" t="n">
        <x:f>IF($P440="legacy_common_sample_8902245",1+COUNTIFS($C$5:$C$546,$C440,$P$5:$P$546,"legacy_common_sample_8902245",$I$5:$I$546,"&gt;"&amp;$I440),"")</x:f>
        <x:v>80</x:v>
      </x:c>
      <x:c r="B440" t="str">
        <x:v>gtja_166</x:v>
      </x:c>
      <x:c r="C440" s="50" t="n">
        <x:v>20</x:v>
      </x:c>
      <x:c r="D440" t="str">
        <x:f>IF(E440&gt;=0,"positive","negative")</x:f>
        <x:v>positive</x:v>
      </x:c>
      <x:c r="E440" s="30" t="n">
        <x:v>0.031560567818774</x:v>
      </x:c>
      <x:c r="F440" s="30" t="n">
        <x:f>ABS(E440)</x:f>
        <x:v>0.031560567818774</x:v>
      </x:c>
      <x:c r="G440" s="30" t="n">
        <x:v>0.09028592668954233</x:v>
      </x:c>
      <x:c r="H440" s="30" t="n">
        <x:v>0.34956242878580995</x:v>
      </x:c>
      <x:c r="I440" s="30" t="n">
        <x:f>ABS(H440)</x:f>
        <x:v>0.34956242878580995</x:v>
      </x:c>
      <x:c r="J440" s="30" t="n">
        <x:v>0.6395759717314488</x:v>
      </x:c>
      <x:c r="K440" s="30" t="n">
        <x:v>0.01687771058154601</x:v>
      </x:c>
      <x:c r="L440" s="30" t="n">
        <x:v>0.22760005606886174</x:v>
      </x:c>
      <x:c r="M440" s="30" t="n">
        <x:v>0.5795053003533569</x:v>
      </x:c>
      <x:c r="N440" s="19" t="n">
        <x:v>1981</x:v>
      </x:c>
      <x:c r="O440" t="b">
        <x:f>P440="legacy_common_sample_8902245"</x:f>
        <x:v>1</x:v>
      </x:c>
      <x:c r="P440" t="str">
        <x:v>legacy_common_sample_8902245</x:v>
      </x:c>
      <x:c r="Q440" s="74" t="n">
        <x:v>46211.52024034722</x:v>
      </x:c>
      <x:c r="R440" s="19" t="n">
        <x:v>8902245</x:v>
      </x:c>
      <x:c r="S440" t="str">
        <x:v>8f7e606554926462248cbcc654181861438ca768a0063f6b317223ede37d16fb</x:v>
      </x:c>
      <x:c r="T440" t="str">
        <x:v>factor_report/gtja191_batch/gtja_166/ic_summary.csv</x:v>
      </x:c>
    </x:row>
    <x:row r="441">
      <x:c r="A441" s="50" t="n">
        <x:f>IF($P441="legacy_common_sample_8902245",1+COUNTIFS($C$5:$C$546,$C441,$P$5:$P$546,"legacy_common_sample_8902245",$I$5:$I$546,"&gt;"&amp;$I441),"")</x:f>
        <x:v>81</x:v>
      </x:c>
      <x:c r="B441" t="str">
        <x:v>gtja_168</x:v>
      </x:c>
      <x:c r="C441" s="50" t="n">
        <x:v>20</x:v>
      </x:c>
      <x:c r="D441" t="str">
        <x:f>IF(E441&gt;=0,"positive","negative")</x:f>
        <x:v>positive</x:v>
      </x:c>
      <x:c r="E441" s="30" t="n">
        <x:v>0.027973862548659086</x:v>
      </x:c>
      <x:c r="F441" s="30" t="n">
        <x:f>ABS(E441)</x:f>
        <x:v>0.027973862548659086</x:v>
      </x:c>
      <x:c r="G441" s="30" t="n">
        <x:v>0.08046810068219426</x:v>
      </x:c>
      <x:c r="H441" s="30" t="n">
        <x:v>0.34763915528640105</x:v>
      </x:c>
      <x:c r="I441" s="30" t="n">
        <x:f>ABS(H441)</x:f>
        <x:v>0.34763915528640105</x:v>
      </x:c>
      <x:c r="J441" s="30" t="n">
        <x:v>0.6400807672892479</x:v>
      </x:c>
      <x:c r="K441" s="30" t="n">
        <x:v>0.03196551747138004</x:v>
      </x:c>
      <x:c r="L441" s="30" t="n">
        <x:v>0.50488849264425</x:v>
      </x:c>
      <x:c r="M441" s="30" t="n">
        <x:v>0.7036850075719334</x:v>
      </x:c>
      <x:c r="N441" s="19" t="n">
        <x:v>1981</x:v>
      </x:c>
      <x:c r="O441" t="b">
        <x:f>P441="legacy_common_sample_8902245"</x:f>
        <x:v>1</x:v>
      </x:c>
      <x:c r="P441" t="str">
        <x:v>legacy_common_sample_8902245</x:v>
      </x:c>
      <x:c r="Q441" s="74" t="n">
        <x:v>46211.52286168982</x:v>
      </x:c>
      <x:c r="R441" s="19" t="n">
        <x:v>8902245</x:v>
      </x:c>
      <x:c r="S441" t="str">
        <x:v>8f7e606554926462248cbcc654181861438ca768a0063f6b317223ede37d16fb</x:v>
      </x:c>
      <x:c r="T441" t="str">
        <x:v>factor_report/gtja191_batch/gtja_168/ic_summary.csv</x:v>
      </x:c>
    </x:row>
    <x:row r="442">
      <x:c r="A442" s="50" t="n">
        <x:f>IF($P442="legacy_common_sample_8902245",1+COUNTIFS($C$5:$C$546,$C442,$P$5:$P$546,"legacy_common_sample_8902245",$I$5:$I$546,"&gt;"&amp;$I442),"")</x:f>
        <x:v>82</x:v>
      </x:c>
      <x:c r="B442" t="str">
        <x:v>gtja_151</x:v>
      </x:c>
      <x:c r="C442" s="50" t="n">
        <x:v>20</x:v>
      </x:c>
      <x:c r="D442" t="str">
        <x:f>IF(E442&gt;=0,"positive","negative")</x:f>
        <x:v>negative</x:v>
      </x:c>
      <x:c r="E442" s="30" t="n">
        <x:v>-0.048389435009328755</x:v>
      </x:c>
      <x:c r="F442" s="30" t="n">
        <x:f>ABS(E442)</x:f>
        <x:v>0.048389435009328755</x:v>
      </x:c>
      <x:c r="G442" s="30" t="n">
        <x:v>0.13939499552008833</x:v>
      </x:c>
      <x:c r="H442" s="30" t="n">
        <x:v>-0.3471389688617287</x:v>
      </x:c>
      <x:c r="I442" s="30" t="n">
        <x:f>ABS(H442)</x:f>
        <x:v>0.3471389688617287</x:v>
      </x:c>
      <x:c r="J442" s="30" t="n">
        <x:v>0.37657748611812214</x:v>
      </x:c>
      <x:c r="K442" s="30" t="n">
        <x:v>-0.010061863710200701</x:v>
      </x:c>
      <x:c r="L442" s="30" t="n">
        <x:v>-0.11168236862515765</x:v>
      </x:c>
      <x:c r="M442" s="30" t="n">
        <x:v>0.4603735487127713</x:v>
      </x:c>
      <x:c r="N442" s="19" t="n">
        <x:v>1981</x:v>
      </x:c>
      <x:c r="O442" t="b">
        <x:f>P442="legacy_common_sample_8902245"</x:f>
        <x:v>1</x:v>
      </x:c>
      <x:c r="P442" t="str">
        <x:v>legacy_common_sample_8902245</x:v>
      </x:c>
      <x:c r="Q442" s="74" t="n">
        <x:v>46210.81806668981</x:v>
      </x:c>
      <x:c r="R442" s="19" t="n">
        <x:v>8902245</x:v>
      </x:c>
      <x:c r="S442" t="str">
        <x:v>40355b29bce094aef0e99358bdfd4011b92e72a54440a67760de4afae4883c33</x:v>
      </x:c>
      <x:c r="T442" t="str">
        <x:v>factor_report/gtja191_batch/gtja_151/ic_summary.csv</x:v>
      </x:c>
    </x:row>
    <x:row r="443">
      <x:c r="A443" s="50" t="n">
        <x:f>IF($P443="legacy_common_sample_8902245",1+COUNTIFS($C$5:$C$546,$C443,$P$5:$P$546,"legacy_common_sample_8902245",$I$5:$I$546,"&gt;"&amp;$I443),"")</x:f>
        <x:v>83</x:v>
      </x:c>
      <x:c r="B443" t="str">
        <x:v>gtja_058</x:v>
      </x:c>
      <x:c r="C443" s="50" t="n">
        <x:v>20</x:v>
      </x:c>
      <x:c r="D443" t="str">
        <x:f>IF(E443&gt;=0,"positive","negative")</x:f>
        <x:v>negative</x:v>
      </x:c>
      <x:c r="E443" s="30" t="n">
        <x:v>-0.035209552716903916</x:v>
      </x:c>
      <x:c r="F443" s="30" t="n">
        <x:f>ABS(E443)</x:f>
        <x:v>0.035209552716903916</x:v>
      </x:c>
      <x:c r="G443" s="30" t="n">
        <x:v>0.10314637761879196</x:v>
      </x:c>
      <x:c r="H443" s="30" t="n">
        <x:v>-0.3413552034471949</x:v>
      </x:c>
      <x:c r="I443" s="30" t="n">
        <x:f>ABS(H443)</x:f>
        <x:v>0.3413552034471949</x:v>
      </x:c>
      <x:c r="J443" s="30" t="n">
        <x:v>0.39374053508329127</x:v>
      </x:c>
      <x:c r="K443" s="30" t="n">
        <x:v>-0.015909565993262417</x:v>
      </x:c>
      <x:c r="L443" s="30" t="n">
        <x:v>-0.17212783238914925</x:v>
      </x:c>
      <x:c r="M443" s="30" t="n">
        <x:v>0.45532559313478044</x:v>
      </x:c>
      <x:c r="N443" s="19" t="n">
        <x:v>1981</x:v>
      </x:c>
      <x:c r="O443" t="b">
        <x:f>P443="legacy_common_sample_8902245"</x:f>
        <x:v>1</x:v>
      </x:c>
      <x:c r="P443" t="str">
        <x:v>legacy_common_sample_8902245</x:v>
      </x:c>
      <x:c r="Q443" s="74" t="n">
        <x:v>46210.36385592593</x:v>
      </x:c>
      <x:c r="R443" s="19" t="n">
        <x:v>8902245</x:v>
      </x:c>
      <x:c r="S443" t="str">
        <x:v>40355b29bce094aef0e99358bdfd4011b92e72a54440a67760de4afae4883c33</x:v>
      </x:c>
      <x:c r="T443" t="str">
        <x:v>factor_report/gtja191_batch/gtja_058/ic_summary.csv</x:v>
      </x:c>
    </x:row>
    <x:row r="444">
      <x:c r="A444" s="50" t="n">
        <x:f>IF($P444="legacy_common_sample_8902245",1+COUNTIFS($C$5:$C$546,$C444,$P$5:$P$546,"legacy_common_sample_8902245",$I$5:$I$546,"&gt;"&amp;$I444),"")</x:f>
        <x:v>84</x:v>
      </x:c>
      <x:c r="B444" t="str">
        <x:v>gtja_031</x:v>
      </x:c>
      <x:c r="C444" s="50" t="n">
        <x:v>20</x:v>
      </x:c>
      <x:c r="D444" t="str">
        <x:f>IF(E444&gt;=0,"positive","negative")</x:f>
        <x:v>negative</x:v>
      </x:c>
      <x:c r="E444" s="30" t="n">
        <x:v>-0.04388569754062773</x:v>
      </x:c>
      <x:c r="F444" s="30" t="n">
        <x:f>ABS(E444)</x:f>
        <x:v>0.04388569754062773</x:v>
      </x:c>
      <x:c r="G444" s="30" t="n">
        <x:v>0.12856787073727688</x:v>
      </x:c>
      <x:c r="H444" s="30" t="n">
        <x:v>-0.3413426487423622</x:v>
      </x:c>
      <x:c r="I444" s="30" t="n">
        <x:f>ABS(H444)</x:f>
        <x:v>0.3413426487423622</x:v>
      </x:c>
      <x:c r="J444" s="30" t="n">
        <x:v>0.37657748611812214</x:v>
      </x:c>
      <x:c r="K444" s="30" t="n">
        <x:v>-0.0410780614295464</x:v>
      </x:c>
      <x:c r="L444" s="30" t="n">
        <x:v>-0.3783281995972305</x:v>
      </x:c>
      <x:c r="M444" s="30" t="n">
        <x:v>0.3493185259969712</x:v>
      </x:c>
      <x:c r="N444" s="19" t="n">
        <x:v>1981</x:v>
      </x:c>
      <x:c r="O444" t="b">
        <x:f>P444="legacy_common_sample_8902245"</x:f>
        <x:v>1</x:v>
      </x:c>
      <x:c r="P444" t="str">
        <x:v>legacy_common_sample_8902245</x:v>
      </x:c>
      <x:c r="Q444" s="74" t="n">
        <x:v>46210.23892871528</x:v>
      </x:c>
      <x:c r="R444" s="19" t="n">
        <x:v>8902245</x:v>
      </x:c>
      <x:c r="S444" t="str">
        <x:v>40355b29bce094aef0e99358bdfd4011b92e72a54440a67760de4afae4883c33</x:v>
      </x:c>
      <x:c r="T444" t="str">
        <x:v>factor_report/gtja191_batch/gtja_031/ic_summary.csv</x:v>
      </x:c>
    </x:row>
    <x:row r="445">
      <x:c r="A445" s="50" t="n">
        <x:f>IF($P445="legacy_common_sample_8902245",1+COUNTIFS($C$5:$C$546,$C445,$P$5:$P$546,"legacy_common_sample_8902245",$I$5:$I$546,"&gt;"&amp;$I445),"")</x:f>
        <x:v>85</x:v>
      </x:c>
      <x:c r="B445" t="str">
        <x:v>gtja_034</x:v>
      </x:c>
      <x:c r="C445" s="50" t="n">
        <x:v>20</x:v>
      </x:c>
      <x:c r="D445" t="str">
        <x:f>IF(E445&gt;=0,"positive","negative")</x:f>
        <x:v>positive</x:v>
      </x:c>
      <x:c r="E445" s="30" t="n">
        <x:v>0.04388568023091014</x:v>
      </x:c>
      <x:c r="F445" s="30" t="n">
        <x:f>ABS(E445)</x:f>
        <x:v>0.04388568023091014</x:v>
      </x:c>
      <x:c r="G445" s="30" t="n">
        <x:v>0.12856784648346237</x:v>
      </x:c>
      <x:c r="H445" s="30" t="n">
        <x:v>0.3413425785004118</x:v>
      </x:c>
      <x:c r="I445" s="30" t="n">
        <x:f>ABS(H445)</x:f>
        <x:v>0.3413425785004118</x:v>
      </x:c>
      <x:c r="J445" s="30" t="n">
        <x:v>0.6234225138818779</x:v>
      </x:c>
      <x:c r="K445" s="30" t="n">
        <x:v>0.03653057003266553</x:v>
      </x:c>
      <x:c r="L445" s="30" t="n">
        <x:v>0.33539572322136363</x:v>
      </x:c>
      <x:c r="M445" s="30" t="n">
        <x:v>0.6289752650176679</x:v>
      </x:c>
      <x:c r="N445" s="19" t="n">
        <x:v>1981</x:v>
      </x:c>
      <x:c r="O445" t="b">
        <x:f>P445="legacy_common_sample_8902245"</x:f>
        <x:v>1</x:v>
      </x:c>
      <x:c r="P445" t="str">
        <x:v>legacy_common_sample_8902245</x:v>
      </x:c>
      <x:c r="Q445" s="74" t="n">
        <x:v>46211.230695833336</x:v>
      </x:c>
      <x:c r="R445" s="19" t="n">
        <x:v>8902245</x:v>
      </x:c>
      <x:c r="S445" t="str">
        <x:v>8f7e606554926462248cbcc654181861438ca768a0063f6b317223ede37d16fb</x:v>
      </x:c>
      <x:c r="T445" t="str">
        <x:v>factor_report/gtja191_batch/gtja_034/ic_summary.csv</x:v>
      </x:c>
    </x:row>
    <x:row r="446">
      <x:c r="A446" s="50" t="n">
        <x:f>IF($P446="legacy_common_sample_8902245",1+COUNTIFS($C$5:$C$546,$C446,$P$5:$P$546,"legacy_common_sample_8902245",$I$5:$I$546,"&gt;"&amp;$I446),"")</x:f>
        <x:v>86</x:v>
      </x:c>
      <x:c r="B446" t="str">
        <x:v>gtja_174</x:v>
      </x:c>
      <x:c r="C446" s="50" t="n">
        <x:v>20</x:v>
      </x:c>
      <x:c r="D446" t="str">
        <x:f>IF(E446&gt;=0,"positive","negative")</x:f>
        <x:v>negative</x:v>
      </x:c>
      <x:c r="E446" s="30" t="n">
        <x:v>-0.0671005193785548</x:v>
      </x:c>
      <x:c r="F446" s="30" t="n">
        <x:f>ABS(E446)</x:f>
        <x:v>0.0671005193785548</x:v>
      </x:c>
      <x:c r="G446" s="30" t="n">
        <x:v>0.1978973692421543</x:v>
      </x:c>
      <x:c r="H446" s="30" t="n">
        <x:v>-0.3390672631754301</x:v>
      </x:c>
      <x:c r="I446" s="30" t="n">
        <x:f>ABS(H446)</x:f>
        <x:v>0.3390672631754301</x:v>
      </x:c>
      <x:c r="J446" s="30" t="n">
        <x:v>0.3871781928319031</x:v>
      </x:c>
      <x:c r="K446" s="30" t="n">
        <x:v>-0.02033816585298569</x:v>
      </x:c>
      <x:c r="L446" s="30" t="n">
        <x:v>-0.16817035889749726</x:v>
      </x:c>
      <x:c r="M446" s="30" t="n">
        <x:v>0.4316002019182231</x:v>
      </x:c>
      <x:c r="N446" s="19" t="n">
        <x:v>1981</x:v>
      </x:c>
      <x:c r="O446" t="b">
        <x:f>P446="legacy_common_sample_8902245"</x:f>
        <x:v>1</x:v>
      </x:c>
      <x:c r="P446" t="str">
        <x:v>legacy_common_sample_8902245</x:v>
      </x:c>
      <x:c r="Q446" s="74" t="n">
        <x:v>46210.92118445602</x:v>
      </x:c>
      <x:c r="R446" s="19" t="n">
        <x:v>8902245</x:v>
      </x:c>
      <x:c r="S446" t="str">
        <x:v>40355b29bce094aef0e99358bdfd4011b92e72a54440a67760de4afae4883c33</x:v>
      </x:c>
      <x:c r="T446" t="str">
        <x:v>factor_report/gtja191_batch/gtja_174/ic_summary.csv</x:v>
      </x:c>
    </x:row>
    <x:row r="447">
      <x:c r="A447" s="50" t="n">
        <x:f>IF($P447="legacy_common_sample_8902245",1+COUNTIFS($C$5:$C$546,$C447,$P$5:$P$546,"legacy_common_sample_8902245",$I$5:$I$546,"&gt;"&amp;$I447),"")</x:f>
        <x:v>87</x:v>
      </x:c>
      <x:c r="B447" t="str">
        <x:v>gtja_043</x:v>
      </x:c>
      <x:c r="C447" s="50" t="n">
        <x:v>20</x:v>
      </x:c>
      <x:c r="D447" t="str">
        <x:f>IF(E447&gt;=0,"positive","negative")</x:f>
        <x:v>negative</x:v>
      </x:c>
      <x:c r="E447" s="30" t="n">
        <x:v>-0.030147416050492905</x:v>
      </x:c>
      <x:c r="F447" s="30" t="n">
        <x:f>ABS(E447)</x:f>
        <x:v>0.030147416050492905</x:v>
      </x:c>
      <x:c r="G447" s="30" t="n">
        <x:v>0.08908464092320842</x:v>
      </x:c>
      <x:c r="H447" s="30" t="n">
        <x:v>-0.3384131735624347</x:v>
      </x:c>
      <x:c r="I447" s="30" t="n">
        <x:f>ABS(H447)</x:f>
        <x:v>0.3384131735624347</x:v>
      </x:c>
      <x:c r="J447" s="30" t="n">
        <x:v>0.3558808682483594</x:v>
      </x:c>
      <x:c r="K447" s="30" t="n">
        <x:v>-0.01651515444735533</x:v>
      </x:c>
      <x:c r="L447" s="30" t="n">
        <x:v>-0.3014476744104645</x:v>
      </x:c>
      <x:c r="M447" s="30" t="n">
        <x:v>0.39374053508329127</x:v>
      </x:c>
      <x:c r="N447" s="19" t="n">
        <x:v>1981</x:v>
      </x:c>
      <x:c r="O447" t="b">
        <x:f>P447="legacy_common_sample_8902245"</x:f>
        <x:v>1</x:v>
      </x:c>
      <x:c r="P447" t="str">
        <x:v>legacy_common_sample_8902245</x:v>
      </x:c>
      <x:c r="Q447" s="74" t="n">
        <x:v>46210.29250166666</x:v>
      </x:c>
      <x:c r="R447" s="19" t="n">
        <x:v>8902245</x:v>
      </x:c>
      <x:c r="S447" t="str">
        <x:v>40355b29bce094aef0e99358bdfd4011b92e72a54440a67760de4afae4883c33</x:v>
      </x:c>
      <x:c r="T447" t="str">
        <x:v>factor_report/gtja191_batch/gtja_043/ic_summary.csv</x:v>
      </x:c>
    </x:row>
    <x:row r="448">
      <x:c r="A448" s="50" t="n">
        <x:f>IF($P448="legacy_common_sample_8902245",1+COUNTIFS($C$5:$C$546,$C448,$P$5:$P$546,"legacy_common_sample_8902245",$I$5:$I$546,"&gt;"&amp;$I448),"")</x:f>
        <x:v>88</x:v>
      </x:c>
      <x:c r="B448" t="str">
        <x:v>gtja_051</x:v>
      </x:c>
      <x:c r="C448" s="50" t="n">
        <x:v>20</x:v>
      </x:c>
      <x:c r="D448" t="str">
        <x:f>IF(E448&gt;=0,"positive","negative")</x:f>
        <x:v>negative</x:v>
      </x:c>
      <x:c r="E448" s="30" t="n">
        <x:v>-0.040487045047700426</x:v>
      </x:c>
      <x:c r="F448" s="30" t="n">
        <x:f>ABS(E448)</x:f>
        <x:v>0.040487045047700426</x:v>
      </x:c>
      <x:c r="G448" s="30" t="n">
        <x:v>0.12070707097991402</x:v>
      </x:c>
      <x:c r="H448" s="30" t="n">
        <x:v>-0.3354156862478883</x:v>
      </x:c>
      <x:c r="I448" s="30" t="n">
        <x:f>ABS(H448)</x:f>
        <x:v>0.3354156862478883</x:v>
      </x:c>
      <x:c r="J448" s="30" t="n">
        <x:v>0.3750630994447249</x:v>
      </x:c>
      <x:c r="K448" s="30" t="n">
        <x:v>-0.019469537966310825</x:v>
      </x:c>
      <x:c r="L448" s="30" t="n">
        <x:v>-0.18602282269880818</x:v>
      </x:c>
      <x:c r="M448" s="30" t="n">
        <x:v>0.4447248864209995</x:v>
      </x:c>
      <x:c r="N448" s="19" t="n">
        <x:v>1981</x:v>
      </x:c>
      <x:c r="O448" t="b">
        <x:f>P448="legacy_common_sample_8902245"</x:f>
        <x:v>1</x:v>
      </x:c>
      <x:c r="P448" t="str">
        <x:v>legacy_common_sample_8902245</x:v>
      </x:c>
      <x:c r="Q448" s="74" t="n">
        <x:v>46210.33137918982</x:v>
      </x:c>
      <x:c r="R448" s="19" t="n">
        <x:v>8902245</x:v>
      </x:c>
      <x:c r="S448" t="str">
        <x:v>40355b29bce094aef0e99358bdfd4011b92e72a54440a67760de4afae4883c33</x:v>
      </x:c>
      <x:c r="T448" t="str">
        <x:v>factor_report/gtja191_batch/gtja_051/ic_summary.csv</x:v>
      </x:c>
    </x:row>
    <x:row r="449">
      <x:c r="A449" s="50" t="n">
        <x:f>IF($P449="legacy_common_sample_8902245",1+COUNTIFS($C$5:$C$546,$C449,$P$5:$P$546,"legacy_common_sample_8902245",$I$5:$I$546,"&gt;"&amp;$I449),"")</x:f>
        <x:v>89</x:v>
      </x:c>
      <x:c r="B449" t="str">
        <x:v>gtja_049</x:v>
      </x:c>
      <x:c r="C449" s="50" t="n">
        <x:v>20</x:v>
      </x:c>
      <x:c r="D449" t="str">
        <x:f>IF(E449&gt;=0,"positive","negative")</x:f>
        <x:v>positive</x:v>
      </x:c>
      <x:c r="E449" s="30" t="n">
        <x:v>0.04048704282719138</x:v>
      </x:c>
      <x:c r="F449" s="30" t="n">
        <x:f>ABS(E449)</x:f>
        <x:v>0.04048704282719138</x:v>
      </x:c>
      <x:c r="G449" s="30" t="n">
        <x:v>0.12070709891165099</x:v>
      </x:c>
      <x:c r="H449" s="30" t="n">
        <x:v>0.3354155902365362</x:v>
      </x:c>
      <x:c r="I449" s="30" t="n">
        <x:f>ABS(H449)</x:f>
        <x:v>0.3354155902365362</x:v>
      </x:c>
      <x:c r="J449" s="30" t="n">
        <x:v>0.6249369005552751</x:v>
      </x:c>
      <x:c r="K449" s="30" t="n">
        <x:v>0.019469537966310825</x:v>
      </x:c>
      <x:c r="L449" s="30" t="n">
        <x:v>0.18602282269880818</x:v>
      </x:c>
      <x:c r="M449" s="30" t="n">
        <x:v>0.5552751135790005</x:v>
      </x:c>
      <x:c r="N449" s="19" t="n">
        <x:v>1981</x:v>
      </x:c>
      <x:c r="O449" t="b">
        <x:f>P449="legacy_common_sample_8902245"</x:f>
        <x:v>1</x:v>
      </x:c>
      <x:c r="P449" t="str">
        <x:v>legacy_common_sample_8902245</x:v>
      </x:c>
      <x:c r="Q449" s="74" t="n">
        <x:v>46211.27667114583</x:v>
      </x:c>
      <x:c r="R449" s="19" t="n">
        <x:v>8902245</x:v>
      </x:c>
      <x:c r="S449" t="str">
        <x:v>8f7e606554926462248cbcc654181861438ca768a0063f6b317223ede37d16fb</x:v>
      </x:c>
      <x:c r="T449" t="str">
        <x:v>factor_report/gtja191_batch/gtja_049/ic_summary.csv</x:v>
      </x:c>
    </x:row>
    <x:row r="450">
      <x:c r="A450" s="50" t="n">
        <x:f>IF($P450="legacy_common_sample_8902245",1+COUNTIFS($C$5:$C$546,$C450,$P$5:$P$546,"legacy_common_sample_8902245",$I$5:$I$546,"&gt;"&amp;$I450),"")</x:f>
        <x:v>90</x:v>
      </x:c>
      <x:c r="B450" t="str">
        <x:v>gtja_050</x:v>
      </x:c>
      <x:c r="C450" s="50" t="n">
        <x:v>20</x:v>
      </x:c>
      <x:c r="D450" t="str">
        <x:f>IF(E450&gt;=0,"positive","negative")</x:f>
        <x:v>negative</x:v>
      </x:c>
      <x:c r="E450" s="30" t="n">
        <x:v>-0.04048703310051595</x:v>
      </x:c>
      <x:c r="F450" s="30" t="n">
        <x:f>ABS(E450)</x:f>
        <x:v>0.04048703310051595</x:v>
      </x:c>
      <x:c r="G450" s="30" t="n">
        <x:v>0.12070708202468723</x:v>
      </x:c>
      <x:c r="H450" s="30" t="n">
        <x:v>-0.33541555658047856</x:v>
      </x:c>
      <x:c r="I450" s="30" t="n">
        <x:f>ABS(H450)</x:f>
        <x:v>0.33541555658047856</x:v>
      </x:c>
      <x:c r="J450" s="30" t="n">
        <x:v>0.3750630994447249</x:v>
      </x:c>
      <x:c r="K450" s="30" t="n">
        <x:v>-0.019469537966310825</x:v>
      </x:c>
      <x:c r="L450" s="30" t="n">
        <x:v>-0.18602282269880818</x:v>
      </x:c>
      <x:c r="M450" s="30" t="n">
        <x:v>0.4447248864209995</x:v>
      </x:c>
      <x:c r="N450" s="19" t="n">
        <x:v>1981</x:v>
      </x:c>
      <x:c r="O450" t="b">
        <x:f>P450="legacy_common_sample_8902245"</x:f>
        <x:v>1</x:v>
      </x:c>
      <x:c r="P450" t="str">
        <x:v>legacy_common_sample_8902245</x:v>
      </x:c>
      <x:c r="Q450" s="74" t="n">
        <x:v>46210.32673208333</x:v>
      </x:c>
      <x:c r="R450" s="19" t="n">
        <x:v>8902245</x:v>
      </x:c>
      <x:c r="S450" t="str">
        <x:v>40355b29bce094aef0e99358bdfd4011b92e72a54440a67760de4afae4883c33</x:v>
      </x:c>
      <x:c r="T450" t="str">
        <x:v>factor_report/gtja191_batch/gtja_050/ic_summary.csv</x:v>
      </x:c>
    </x:row>
    <x:row r="451">
      <x:c r="A451" s="50" t="n">
        <x:f>IF($P451="legacy_common_sample_8902245",1+COUNTIFS($C$5:$C$546,$C451,$P$5:$P$546,"legacy_common_sample_8902245",$I$5:$I$546,"&gt;"&amp;$I451),"")</x:f>
        <x:v>91</x:v>
      </x:c>
      <x:c r="B451" t="str">
        <x:v>gtja_078</x:v>
      </x:c>
      <x:c r="C451" s="50" t="n">
        <x:v>20</x:v>
      </x:c>
      <x:c r="D451" t="str">
        <x:f>IF(E451&gt;=0,"positive","negative")</x:f>
        <x:v>negative</x:v>
      </x:c>
      <x:c r="E451" s="30" t="n">
        <x:v>-0.03871594371270681</x:v>
      </x:c>
      <x:c r="F451" s="30" t="n">
        <x:f>ABS(E451)</x:f>
        <x:v>0.03871594371270681</x:v>
      </x:c>
      <x:c r="G451" s="30" t="n">
        <x:v>0.1163417199175225</x:v>
      </x:c>
      <x:c r="H451" s="30" t="n">
        <x:v>-0.33277781813912927</x:v>
      </x:c>
      <x:c r="I451" s="30" t="n">
        <x:f>ABS(H451)</x:f>
        <x:v>0.33277781813912927</x:v>
      </x:c>
      <x:c r="J451" s="30" t="n">
        <x:v>0.3801110550227158</x:v>
      </x:c>
      <x:c r="K451" s="30" t="n">
        <x:v>-0.025590561493302046</x:v>
      </x:c>
      <x:c r="L451" s="30" t="n">
        <x:v>-0.2603111837794398</x:v>
      </x:c>
      <x:c r="M451" s="30" t="n">
        <x:v>0.40636042402826855</x:v>
      </x:c>
      <x:c r="N451" s="19" t="n">
        <x:v>1981</x:v>
      </x:c>
      <x:c r="O451" t="b">
        <x:f>P451="legacy_common_sample_8902245"</x:f>
        <x:v>1</x:v>
      </x:c>
      <x:c r="P451" t="str">
        <x:v>legacy_common_sample_8902245</x:v>
      </x:c>
      <x:c r="Q451" s="74" t="n">
        <x:v>46210.46714320602</x:v>
      </x:c>
      <x:c r="R451" s="19" t="n">
        <x:v>8902245</x:v>
      </x:c>
      <x:c r="S451" t="str">
        <x:v>40355b29bce094aef0e99358bdfd4011b92e72a54440a67760de4afae4883c33</x:v>
      </x:c>
      <x:c r="T451" t="str">
        <x:v>factor_report/gtja191_batch/gtja_078/ic_summary.csv</x:v>
      </x:c>
    </x:row>
    <x:row r="452">
      <x:c r="A452" s="50" t="n">
        <x:f>IF($P452="legacy_common_sample_8902245",1+COUNTIFS($C$5:$C$546,$C452,$P$5:$P$546,"legacy_common_sample_8902245",$I$5:$I$546,"&gt;"&amp;$I452),"")</x:f>
        <x:v>92</x:v>
      </x:c>
      <x:c r="B452" t="str">
        <x:v>gtja_054</x:v>
      </x:c>
      <x:c r="C452" s="50" t="n">
        <x:v>20</x:v>
      </x:c>
      <x:c r="D452" t="str">
        <x:f>IF(E452&gt;=0,"positive","negative")</x:f>
        <x:v>positive</x:v>
      </x:c>
      <x:c r="E452" s="30" t="n">
        <x:v>0.038602647215080194</x:v>
      </x:c>
      <x:c r="F452" s="30" t="n">
        <x:f>ABS(E452)</x:f>
        <x:v>0.038602647215080194</x:v>
      </x:c>
      <x:c r="G452" s="30" t="n">
        <x:v>0.11603224447110118</x:v>
      </x:c>
      <x:c r="H452" s="30" t="n">
        <x:v>0.33268896409820387</x:v>
      </x:c>
      <x:c r="I452" s="30" t="n">
        <x:f>ABS(H452)</x:f>
        <x:v>0.33268896409820387</x:v>
      </x:c>
      <x:c r="J452" s="30" t="n">
        <x:v>0.6249369005552751</x:v>
      </x:c>
      <x:c r="K452" s="30" t="n">
        <x:v>0.0199915398765741</x:v>
      </x:c>
      <x:c r="L452" s="30" t="n">
        <x:v>0.19893344948858097</x:v>
      </x:c>
      <x:c r="M452" s="30" t="n">
        <x:v>0.569409389197375</x:v>
      </x:c>
      <x:c r="N452" s="19" t="n">
        <x:v>1981</x:v>
      </x:c>
      <x:c r="O452" t="b">
        <x:f>P452="legacy_common_sample_8902245"</x:f>
        <x:v>1</x:v>
      </x:c>
      <x:c r="P452" t="str">
        <x:v>legacy_common_sample_8902245</x:v>
      </x:c>
      <x:c r="Q452" s="74" t="n">
        <x:v>46211.27909778935</x:v>
      </x:c>
      <x:c r="R452" s="19" t="n">
        <x:v>8902245</x:v>
      </x:c>
      <x:c r="S452" t="str">
        <x:v>8f7e606554926462248cbcc654181861438ca768a0063f6b317223ede37d16fb</x:v>
      </x:c>
      <x:c r="T452" t="str">
        <x:v>factor_report/gtja191_batch/gtja_054/ic_summary.csv</x:v>
      </x:c>
    </x:row>
    <x:row r="453">
      <x:c r="A453" s="50" t="n">
        <x:f>IF($P453="legacy_common_sample_8902245",1+COUNTIFS($C$5:$C$546,$C453,$P$5:$P$546,"legacy_common_sample_8902245",$I$5:$I$546,"&gt;"&amp;$I453),"")</x:f>
        <x:v>93</x:v>
      </x:c>
      <x:c r="B453" t="str">
        <x:v>gtja_021</x:v>
      </x:c>
      <x:c r="C453" s="50" t="n">
        <x:v>20</x:v>
      </x:c>
      <x:c r="D453" t="str">
        <x:f>IF(E453&gt;=0,"positive","negative")</x:f>
        <x:v>negative</x:v>
      </x:c>
      <x:c r="E453" s="30" t="n">
        <x:v>-0.04078459231172008</x:v>
      </x:c>
      <x:c r="F453" s="30" t="n">
        <x:f>ABS(E453)</x:f>
        <x:v>0.04078459231172008</x:v>
      </x:c>
      <x:c r="G453" s="30" t="n">
        <x:v>0.12279992774039832</x:v>
      </x:c>
      <x:c r="H453" s="30" t="n">
        <x:v>-0.33212228266078125</x:v>
      </x:c>
      <x:c r="I453" s="30" t="n">
        <x:f>ABS(H453)</x:f>
        <x:v>0.33212228266078125</x:v>
      </x:c>
      <x:c r="J453" s="30" t="n">
        <x:v>0.3750630994447249</x:v>
      </x:c>
      <x:c r="K453" s="30" t="n">
        <x:v>-0.0184698042171239</x:v>
      </x:c>
      <x:c r="L453" s="30" t="n">
        <x:v>-0.2393004987955675</x:v>
      </x:c>
      <x:c r="M453" s="30" t="n">
        <x:v>0.4073700151438667</x:v>
      </x:c>
      <x:c r="N453" s="19" t="n">
        <x:v>1981</x:v>
      </x:c>
      <x:c r="O453" t="b">
        <x:f>P453="legacy_common_sample_8902245"</x:f>
        <x:v>1</x:v>
      </x:c>
      <x:c r="P453" t="str">
        <x:v>legacy_common_sample_8902245</x:v>
      </x:c>
      <x:c r="Q453" s="74" t="n">
        <x:v>46210.1997081713</x:v>
      </x:c>
      <x:c r="R453" s="19" t="n">
        <x:v>8902245</x:v>
      </x:c>
      <x:c r="S453" t="str">
        <x:v>40355b29bce094aef0e99358bdfd4011b92e72a54440a67760de4afae4883c33</x:v>
      </x:c>
      <x:c r="T453" t="str">
        <x:v>factor_report/gtja191_batch/gtja_021/ic_summary.csv</x:v>
      </x:c>
    </x:row>
    <x:row r="454">
      <x:c r="A454" s="50" t="n">
        <x:f>IF($P454="legacy_common_sample_8902245",1+COUNTIFS($C$5:$C$546,$C454,$P$5:$P$546,"legacy_common_sample_8902245",$I$5:$I$546,"&gt;"&amp;$I454),"")</x:f>
        <x:v>94</x:v>
      </x:c>
      <x:c r="B454" t="str">
        <x:v>gtja_038</x:v>
      </x:c>
      <x:c r="C454" s="50" t="n">
        <x:v>20</x:v>
      </x:c>
      <x:c r="D454" t="str">
        <x:f>IF(E454&gt;=0,"positive","negative")</x:f>
        <x:v>positive</x:v>
      </x:c>
      <x:c r="E454" s="30" t="n">
        <x:v>0.024956186800785343</x:v>
      </x:c>
      <x:c r="F454" s="30" t="n">
        <x:f>ABS(E454)</x:f>
        <x:v>0.024956186800785343</x:v>
      </x:c>
      <x:c r="G454" s="30" t="n">
        <x:v>0.07624253048381201</x:v>
      </x:c>
      <x:c r="H454" s="30" t="n">
        <x:v>0.327326318295326</x:v>
      </x:c>
      <x:c r="I454" s="30" t="n">
        <x:f>ABS(H454)</x:f>
        <x:v>0.327326318295326</x:v>
      </x:c>
      <x:c r="J454" s="30" t="n">
        <x:v>0.6375567895002524</x:v>
      </x:c>
      <x:c r="K454" s="30" t="n">
        <x:v>0.019081759383054137</x:v>
      </x:c>
      <x:c r="L454" s="30" t="n">
        <x:v>0.31014150768173215</x:v>
      </x:c>
      <x:c r="M454" s="30" t="n">
        <x:v>0.6476527006562343</x:v>
      </x:c>
      <x:c r="N454" s="19" t="n">
        <x:v>1981</x:v>
      </x:c>
      <x:c r="O454" t="b">
        <x:f>P454="legacy_common_sample_8902245"</x:f>
        <x:v>1</x:v>
      </x:c>
      <x:c r="P454" t="str">
        <x:v>legacy_common_sample_8902245</x:v>
      </x:c>
      <x:c r="Q454" s="74" t="n">
        <x:v>46211.24138539352</x:v>
      </x:c>
      <x:c r="R454" s="19" t="n">
        <x:v>8902245</x:v>
      </x:c>
      <x:c r="S454" t="str">
        <x:v>8f7e606554926462248cbcc654181861438ca768a0063f6b317223ede37d16fb</x:v>
      </x:c>
      <x:c r="T454" t="str">
        <x:v>factor_report/gtja191_batch/gtja_038/ic_summary.csv</x:v>
      </x:c>
    </x:row>
    <x:row r="455">
      <x:c r="A455" s="50" t="n">
        <x:f>IF($P455="legacy_common_sample_8902245",1+COUNTIFS($C$5:$C$546,$C455,$P$5:$P$546,"legacy_common_sample_8902245",$I$5:$I$546,"&gt;"&amp;$I455),"")</x:f>
        <x:v>95</x:v>
      </x:c>
      <x:c r="B455" t="str">
        <x:v>gtja_129</x:v>
      </x:c>
      <x:c r="C455" s="50" t="n">
        <x:v>20</x:v>
      </x:c>
      <x:c r="D455" t="str">
        <x:f>IF(E455&gt;=0,"positive","negative")</x:f>
        <x:v>negative</x:v>
      </x:c>
      <x:c r="E455" s="30" t="n">
        <x:v>-0.06248063742368558</x:v>
      </x:c>
      <x:c r="F455" s="30" t="n">
        <x:f>ABS(E455)</x:f>
        <x:v>0.06248063742368558</x:v>
      </x:c>
      <x:c r="G455" s="30" t="n">
        <x:v>0.19097497573467578</x:v>
      </x:c>
      <x:c r="H455" s="30" t="n">
        <x:v>-0.3271666205654651</x:v>
      </x:c>
      <x:c r="I455" s="30" t="n">
        <x:f>ABS(H455)</x:f>
        <x:v>0.3271666205654651</x:v>
      </x:c>
      <x:c r="J455" s="30" t="n">
        <x:v>0.392226148409894</x:v>
      </x:c>
      <x:c r="K455" s="30" t="n">
        <x:v>-0.01703572837594714</x:v>
      </x:c>
      <x:c r="L455" s="30" t="n">
        <x:v>-0.15176365757794855</x:v>
      </x:c>
      <x:c r="M455" s="30" t="n">
        <x:v>0.43715295305401314</x:v>
      </x:c>
      <x:c r="N455" s="19" t="n">
        <x:v>1981</x:v>
      </x:c>
      <x:c r="O455" t="b">
        <x:f>P455="legacy_common_sample_8902245"</x:f>
        <x:v>1</x:v>
      </x:c>
      <x:c r="P455" t="str">
        <x:v>legacy_common_sample_8902245</x:v>
      </x:c>
      <x:c r="Q455" s="74" t="n">
        <x:v>46210.71993697916</x:v>
      </x:c>
      <x:c r="R455" s="19" t="n">
        <x:v>8902245</x:v>
      </x:c>
      <x:c r="S455" t="str">
        <x:v>40355b29bce094aef0e99358bdfd4011b92e72a54440a67760de4afae4883c33</x:v>
      </x:c>
      <x:c r="T455" t="str">
        <x:v>factor_report/gtja191_batch/gtja_129/ic_summary.csv</x:v>
      </x:c>
    </x:row>
    <x:row r="456">
      <x:c r="A456" s="50" t="n">
        <x:f>IF($P456="legacy_common_sample_8902245",1+COUNTIFS($C$5:$C$546,$C456,$P$5:$P$546,"legacy_common_sample_8902245",$I$5:$I$546,"&gt;"&amp;$I456),"")</x:f>
        <x:v>96</x:v>
      </x:c>
      <x:c r="B456" t="str">
        <x:v>gtja_086</x:v>
      </x:c>
      <x:c r="C456" s="50" t="n">
        <x:v>20</x:v>
      </x:c>
      <x:c r="D456" t="str">
        <x:f>IF(E456&gt;=0,"positive","negative")</x:f>
        <x:v>positive</x:v>
      </x:c>
      <x:c r="E456" s="30" t="n">
        <x:v>0.031187852970758673</x:v>
      </x:c>
      <x:c r="F456" s="30" t="n">
        <x:f>ABS(E456)</x:f>
        <x:v>0.031187852970758673</x:v>
      </x:c>
      <x:c r="G456" s="30" t="n">
        <x:v>0.09537633457491719</x:v>
      </x:c>
      <x:c r="H456" s="30" t="n">
        <x:v>0.3269978146021214</x:v>
      </x:c>
      <x:c r="I456" s="30" t="n">
        <x:f>ABS(H456)</x:f>
        <x:v>0.3269978146021214</x:v>
      </x:c>
      <x:c r="J456" s="30" t="n">
        <x:v>0.6451287228672388</x:v>
      </x:c>
      <x:c r="K456" s="30" t="n">
        <x:v>0.022154758663680312</x:v>
      </x:c>
      <x:c r="L456" s="30" t="n">
        <x:v>0.27794663230871014</x:v>
      </x:c>
      <x:c r="M456" s="30" t="n">
        <x:v>0.6173649671882887</x:v>
      </x:c>
      <x:c r="N456" s="19" t="n">
        <x:v>1981</x:v>
      </x:c>
      <x:c r="O456" t="b">
        <x:f>P456="legacy_common_sample_8902245"</x:f>
        <x:v>1</x:v>
      </x:c>
      <x:c r="P456" t="str">
        <x:v>legacy_common_sample_8902245</x:v>
      </x:c>
      <x:c r="Q456" s="74" t="n">
        <x:v>46211.32645658565</x:v>
      </x:c>
      <x:c r="R456" s="19" t="n">
        <x:v>8902245</x:v>
      </x:c>
      <x:c r="S456" t="str">
        <x:v>8f7e606554926462248cbcc654181861438ca768a0063f6b317223ede37d16fb</x:v>
      </x:c>
      <x:c r="T456" t="str">
        <x:v>factor_report/gtja191_batch/gtja_086/ic_summary.csv</x:v>
      </x:c>
    </x:row>
    <x:row r="457">
      <x:c r="A457" s="50" t="n">
        <x:f>IF($P457="legacy_common_sample_8902245",1+COUNTIFS($C$5:$C$546,$C457,$P$5:$P$546,"legacy_common_sample_8902245",$I$5:$I$546,"&gt;"&amp;$I457),"")</x:f>
        <x:v>97</x:v>
      </x:c>
      <x:c r="B457" t="str">
        <x:v>gtja_087</x:v>
      </x:c>
      <x:c r="C457" s="50" t="n">
        <x:v>20</x:v>
      </x:c>
      <x:c r="D457" t="str">
        <x:f>IF(E457&gt;=0,"positive","negative")</x:f>
        <x:v>positive</x:v>
      </x:c>
      <x:c r="E457" s="30" t="n">
        <x:v>0.028545089065096254</x:v>
      </x:c>
      <x:c r="F457" s="30" t="n">
        <x:f>ABS(E457)</x:f>
        <x:v>0.028545089065096254</x:v>
      </x:c>
      <x:c r="G457" s="30" t="n">
        <x:v>0.08815126591871315</x:v>
      </x:c>
      <x:c r="H457" s="30" t="n">
        <x:v>0.3238193889514702</x:v>
      </x:c>
      <x:c r="I457" s="30" t="n">
        <x:f>ABS(H457)</x:f>
        <x:v>0.3238193889514702</x:v>
      </x:c>
      <x:c r="J457" s="30" t="n">
        <x:v>0.6214033316506815</x:v>
      </x:c>
      <x:c r="K457" s="30" t="n">
        <x:v>0.017477897423344373</x:v>
      </x:c>
      <x:c r="L457" s="30" t="n">
        <x:v>0.2243344958992847</x:v>
      </x:c>
      <x:c r="M457" s="30" t="n">
        <x:v>0.5810196870267542</x:v>
      </x:c>
      <x:c r="N457" s="19" t="n">
        <x:v>1981</x:v>
      </x:c>
      <x:c r="O457" t="b">
        <x:f>P457="legacy_common_sample_8902245"</x:f>
        <x:v>1</x:v>
      </x:c>
      <x:c r="P457" t="str">
        <x:v>legacy_common_sample_8902245</x:v>
      </x:c>
      <x:c r="Q457" s="74" t="n">
        <x:v>46211.33017637731</x:v>
      </x:c>
      <x:c r="R457" s="19" t="n">
        <x:v>8902245</x:v>
      </x:c>
      <x:c r="S457" t="str">
        <x:v>8f7e606554926462248cbcc654181861438ca768a0063f6b317223ede37d16fb</x:v>
      </x:c>
      <x:c r="T457" t="str">
        <x:v>factor_report/gtja191_batch/gtja_087/ic_summary.csv</x:v>
      </x:c>
    </x:row>
    <x:row r="458">
      <x:c r="A458" s="50" t="n">
        <x:f>IF($P458="legacy_common_sample_8902245",1+COUNTIFS($C$5:$C$546,$C458,$P$5:$P$546,"legacy_common_sample_8902245",$I$5:$I$546,"&gt;"&amp;$I458),"")</x:f>
        <x:v>98</x:v>
      </x:c>
      <x:c r="B458" t="str">
        <x:v>gtja_098</x:v>
      </x:c>
      <x:c r="C458" s="50" t="n">
        <x:v>20</x:v>
      </x:c>
      <x:c r="D458" t="str">
        <x:f>IF(E458&gt;=0,"positive","negative")</x:f>
        <x:v>positive</x:v>
      </x:c>
      <x:c r="E458" s="30" t="n">
        <x:v>0.03461128060512544</x:v>
      </x:c>
      <x:c r="F458" s="30" t="n">
        <x:f>ABS(E458)</x:f>
        <x:v>0.03461128060512544</x:v>
      </x:c>
      <x:c r="G458" s="30" t="n">
        <x:v>0.1071797678042114</x:v>
      </x:c>
      <x:c r="H458" s="30" t="n">
        <x:v>0.32292737066151267</x:v>
      </x:c>
      <x:c r="I458" s="30" t="n">
        <x:f>ABS(H458)</x:f>
        <x:v>0.32292737066151267</x:v>
      </x:c>
      <x:c r="J458" s="30" t="n">
        <x:v>0.6274608783442706</x:v>
      </x:c>
      <x:c r="K458" s="30" t="n">
        <x:v>0.021525996097851705</x:v>
      </x:c>
      <x:c r="L458" s="30" t="n">
        <x:v>0.30392466114727695</x:v>
      </x:c>
      <x:c r="M458" s="30" t="n">
        <x:v>0.602221100454316</x:v>
      </x:c>
      <x:c r="N458" s="19" t="n">
        <x:v>1981</x:v>
      </x:c>
      <x:c r="O458" t="b">
        <x:f>P458="legacy_common_sample_8902245"</x:f>
        <x:v>1</x:v>
      </x:c>
      <x:c r="P458" t="str">
        <x:v>legacy_common_sample_8902245</x:v>
      </x:c>
      <x:c r="Q458" s="74" t="n">
        <x:v>46211.34572662037</x:v>
      </x:c>
      <x:c r="R458" s="19" t="n">
        <x:v>8902245</x:v>
      </x:c>
      <x:c r="S458" t="str">
        <x:v>8f7e606554926462248cbcc654181861438ca768a0063f6b317223ede37d16fb</x:v>
      </x:c>
      <x:c r="T458" t="str">
        <x:v>factor_report/gtja191_batch/gtja_098/ic_summary.csv</x:v>
      </x:c>
    </x:row>
    <x:row r="459">
      <x:c r="A459" s="50" t="n">
        <x:f>IF($P459="legacy_common_sample_8902245",1+COUNTIFS($C$5:$C$546,$C459,$P$5:$P$546,"legacy_common_sample_8902245",$I$5:$I$546,"&gt;"&amp;$I459),"")</x:f>
        <x:v>99</x:v>
      </x:c>
      <x:c r="B459" t="str">
        <x:v>gtja_184</x:v>
      </x:c>
      <x:c r="C459" s="50" t="n">
        <x:v>20</x:v>
      </x:c>
      <x:c r="D459" t="str">
        <x:f>IF(E459&gt;=0,"positive","negative")</x:f>
        <x:v>positive</x:v>
      </x:c>
      <x:c r="E459" s="30" t="n">
        <x:v>0.03304714221422142</x:v>
      </x:c>
      <x:c r="F459" s="30" t="n">
        <x:f>ABS(E459)</x:f>
        <x:v>0.03304714221422142</x:v>
      </x:c>
      <x:c r="G459" s="30" t="n">
        <x:v>0.1029528743334474</x:v>
      </x:c>
      <x:c r="H459" s="30" t="n">
        <x:v>0.32099290503718403</x:v>
      </x:c>
      <x:c r="I459" s="30" t="n">
        <x:f>ABS(H459)</x:f>
        <x:v>0.32099290503718403</x:v>
      </x:c>
      <x:c r="J459" s="30" t="n">
        <x:v>0.6400217509516042</x:v>
      </x:c>
      <x:c r="K459" s="30" t="n">
        <x:v>0.020498136470244108</x:v>
      </x:c>
      <x:c r="L459" s="30" t="n">
        <x:v>0.23196249532308652</x:v>
      </x:c>
      <x:c r="M459" s="30" t="n">
        <x:v>0.6079390973355084</x:v>
      </x:c>
      <x:c r="N459" s="19" t="n">
        <x:v>1839</x:v>
      </x:c>
      <x:c r="O459" t="b">
        <x:f>P459="legacy_common_sample_8902245"</x:f>
        <x:v>1</x:v>
      </x:c>
      <x:c r="P459" t="str">
        <x:v>legacy_common_sample_8902245</x:v>
      </x:c>
      <x:c r="Q459" s="74" t="n">
        <x:v>46211.54342018518</x:v>
      </x:c>
      <x:c r="R459" s="19" t="n">
        <x:v>8902245</x:v>
      </x:c>
      <x:c r="S459" t="str">
        <x:v>8f7e606554926462248cbcc654181861438ca768a0063f6b317223ede37d16fb</x:v>
      </x:c>
      <x:c r="T459" t="str">
        <x:v>factor_report/gtja191_batch/gtja_184/ic_summary.csv</x:v>
      </x:c>
    </x:row>
    <x:row r="460">
      <x:c r="A460" s="50" t="n">
        <x:f>IF($P460="legacy_common_sample_8902245",1+COUNTIFS($C$5:$C$546,$C460,$P$5:$P$546,"legacy_common_sample_8902245",$I$5:$I$546,"&gt;"&amp;$I460),"")</x:f>
        <x:v>100</x:v>
      </x:c>
      <x:c r="B460" t="str">
        <x:v>gtja_029</x:v>
      </x:c>
      <x:c r="C460" s="50" t="n">
        <x:v>20</x:v>
      </x:c>
      <x:c r="D460" t="str">
        <x:f>IF(E460&gt;=0,"positive","negative")</x:f>
        <x:v>negative</x:v>
      </x:c>
      <x:c r="E460" s="30" t="n">
        <x:v>-0.03346616278855135</x:v>
      </x:c>
      <x:c r="F460" s="30" t="n">
        <x:f>ABS(E460)</x:f>
        <x:v>0.03346616278855135</x:v>
      </x:c>
      <x:c r="G460" s="30" t="n">
        <x:v>0.10547796796649117</x:v>
      </x:c>
      <x:c r="H460" s="30" t="n">
        <x:v>-0.31728107237696374</x:v>
      </x:c>
      <x:c r="I460" s="30" t="n">
        <x:f>ABS(H460)</x:f>
        <x:v>0.31728107237696374</x:v>
      </x:c>
      <x:c r="J460" s="30" t="n">
        <x:v>0.3831398283695103</x:v>
      </x:c>
      <x:c r="K460" s="30" t="n">
        <x:v>-0.03062477735943441</x:v>
      </x:c>
      <x:c r="L460" s="30" t="n">
        <x:v>-0.5284775138016177</x:v>
      </x:c>
      <x:c r="M460" s="30" t="n">
        <x:v>0.27460878344270573</x:v>
      </x:c>
      <x:c r="N460" s="19" t="n">
        <x:v>1981</x:v>
      </x:c>
      <x:c r="O460" t="b">
        <x:f>P460="legacy_common_sample_8902245"</x:f>
        <x:v>1</x:v>
      </x:c>
      <x:c r="P460" t="str">
        <x:v>legacy_common_sample_8902245</x:v>
      </x:c>
      <x:c r="Q460" s="74" t="n">
        <x:v>46210.234402939815</x:v>
      </x:c>
      <x:c r="R460" s="19" t="n">
        <x:v>8902245</x:v>
      </x:c>
      <x:c r="S460" t="str">
        <x:v>40355b29bce094aef0e99358bdfd4011b92e72a54440a67760de4afae4883c33</x:v>
      </x:c>
      <x:c r="T460" t="str">
        <x:v>factor_report/gtja191_batch/gtja_029/ic_summary.csv</x:v>
      </x:c>
    </x:row>
    <x:row r="461">
      <x:c r="A461" s="50" t="n">
        <x:f>IF($P461="legacy_common_sample_8902245",1+COUNTIFS($C$5:$C$546,$C461,$P$5:$P$546,"legacy_common_sample_8902245",$I$5:$I$546,"&gt;"&amp;$I461),"")</x:f>
        <x:v>101</x:v>
      </x:c>
      <x:c r="B461" t="str">
        <x:v>gtja_089</x:v>
      </x:c>
      <x:c r="C461" s="50" t="n">
        <x:v>20</x:v>
      </x:c>
      <x:c r="D461" t="str">
        <x:f>IF(E461&gt;=0,"positive","negative")</x:f>
        <x:v>negative</x:v>
      </x:c>
      <x:c r="E461" s="30" t="n">
        <x:v>-0.03780088527753827</x:v>
      </x:c>
      <x:c r="F461" s="30" t="n">
        <x:f>ABS(E461)</x:f>
        <x:v>0.03780088527753827</x:v>
      </x:c>
      <x:c r="G461" s="30" t="n">
        <x:v>0.12010288667285368</x:v>
      </x:c>
      <x:c r="H461" s="30" t="n">
        <x:v>-0.31473752483987744</x:v>
      </x:c>
      <x:c r="I461" s="30" t="n">
        <x:f>ABS(H461)</x:f>
        <x:v>0.31473752483987744</x:v>
      </x:c>
      <x:c r="J461" s="30" t="n">
        <x:v>0.386673397274104</x:v>
      </x:c>
      <x:c r="K461" s="30" t="n">
        <x:v>-0.019127299561553453</x:v>
      </x:c>
      <x:c r="L461" s="30" t="n">
        <x:v>-0.25091894821438865</x:v>
      </x:c>
      <x:c r="M461" s="30" t="n">
        <x:v>0.397778899545684</x:v>
      </x:c>
      <x:c r="N461" s="19" t="n">
        <x:v>1981</x:v>
      </x:c>
      <x:c r="O461" t="b">
        <x:f>P461="legacy_common_sample_8902245"</x:f>
        <x:v>1</x:v>
      </x:c>
      <x:c r="P461" t="str">
        <x:v>legacy_common_sample_8902245</x:v>
      </x:c>
      <x:c r="Q461" s="74" t="n">
        <x:v>46210.52408989584</x:v>
      </x:c>
      <x:c r="R461" s="19" t="n">
        <x:v>8902245</x:v>
      </x:c>
      <x:c r="S461" t="str">
        <x:v>40355b29bce094aef0e99358bdfd4011b92e72a54440a67760de4afae4883c33</x:v>
      </x:c>
      <x:c r="T461" t="str">
        <x:v>factor_report/gtja191_batch/gtja_089/ic_summary.csv</x:v>
      </x:c>
    </x:row>
    <x:row r="462">
      <x:c r="A462" s="50" t="n">
        <x:f>IF($P462="legacy_common_sample_8902245",1+COUNTIFS($C$5:$C$546,$C462,$P$5:$P$546,"legacy_common_sample_8902245",$I$5:$I$546,"&gt;"&amp;$I462),"")</x:f>
        <x:v>102</x:v>
      </x:c>
      <x:c r="B462" t="str">
        <x:v>gtja_112</x:v>
      </x:c>
      <x:c r="C462" s="50" t="n">
        <x:v>20</x:v>
      </x:c>
      <x:c r="D462" t="str">
        <x:f>IF(E462&gt;=0,"positive","negative")</x:f>
        <x:v>negative</x:v>
      </x:c>
      <x:c r="E462" s="30" t="n">
        <x:v>-0.03934198871690689</x:v>
      </x:c>
      <x:c r="F462" s="30" t="n">
        <x:f>ABS(E462)</x:f>
        <x:v>0.03934198871690689</x:v>
      </x:c>
      <x:c r="G462" s="30" t="n">
        <x:v>0.12549142083652348</x:v>
      </x:c>
      <x:c r="H462" s="30" t="n">
        <x:v>-0.3135034128600499</x:v>
      </x:c>
      <x:c r="I462" s="30" t="n">
        <x:f>ABS(H462)</x:f>
        <x:v>0.3135034128600499</x:v>
      </x:c>
      <x:c r="J462" s="30" t="n">
        <x:v>0.37657748611812214</x:v>
      </x:c>
      <x:c r="K462" s="30" t="n">
        <x:v>-0.01939666482043524</x:v>
      </x:c>
      <x:c r="L462" s="30" t="n">
        <x:v>-0.17949992460885567</x:v>
      </x:c>
      <x:c r="M462" s="30" t="n">
        <x:v>0.4457344775365977</x:v>
      </x:c>
      <x:c r="N462" s="19" t="n">
        <x:v>1981</x:v>
      </x:c>
      <x:c r="O462" t="b">
        <x:f>P462="legacy_common_sample_8902245"</x:f>
        <x:v>1</x:v>
      </x:c>
      <x:c r="P462" t="str">
        <x:v>legacy_common_sample_8902245</x:v>
      </x:c>
      <x:c r="Q462" s="74" t="n">
        <x:v>46210.62560251157</x:v>
      </x:c>
      <x:c r="R462" s="19" t="n">
        <x:v>8902245</x:v>
      </x:c>
      <x:c r="S462" t="str">
        <x:v>40355b29bce094aef0e99358bdfd4011b92e72a54440a67760de4afae4883c33</x:v>
      </x:c>
      <x:c r="T462" t="str">
        <x:v>factor_report/gtja191_batch/gtja_112/ic_summary.csv</x:v>
      </x:c>
    </x:row>
    <x:row r="463">
      <x:c r="A463" s="50" t="n">
        <x:f>IF($P463="legacy_common_sample_8902245",1+COUNTIFS($C$5:$C$546,$C463,$P$5:$P$546,"legacy_common_sample_8902245",$I$5:$I$546,"&gt;"&amp;$I463),"")</x:f>
        <x:v>103</x:v>
      </x:c>
      <x:c r="B463" t="str">
        <x:v>gtja_068</x:v>
      </x:c>
      <x:c r="C463" s="50" t="n">
        <x:v>20</x:v>
      </x:c>
      <x:c r="D463" t="str">
        <x:f>IF(E463&gt;=0,"positive","negative")</x:f>
        <x:v>negative</x:v>
      </x:c>
      <x:c r="E463" s="30" t="n">
        <x:v>-0.03782733784595623</x:v>
      </x:c>
      <x:c r="F463" s="30" t="n">
        <x:f>ABS(E463)</x:f>
        <x:v>0.03782733784595623</x:v>
      </x:c>
      <x:c r="G463" s="30" t="n">
        <x:v>0.12119790291225839</x:v>
      </x:c>
      <x:c r="H463" s="30" t="n">
        <x:v>-0.3121121482880892</x:v>
      </x:c>
      <x:c r="I463" s="30" t="n">
        <x:f>ABS(H463)</x:f>
        <x:v>0.3121121482880892</x:v>
      </x:c>
      <x:c r="J463" s="30" t="n">
        <x:v>0.386673397274104</x:v>
      </x:c>
      <x:c r="K463" s="30" t="n">
        <x:v>-0.001780433931252119</x:v>
      </x:c>
      <x:c r="L463" s="30" t="n">
        <x:v>-0.06366617418292125</x:v>
      </x:c>
      <x:c r="M463" s="30" t="n">
        <x:v>0.4724886420999495</x:v>
      </x:c>
      <x:c r="N463" s="19" t="n">
        <x:v>1981</x:v>
      </x:c>
      <x:c r="O463" t="b">
        <x:f>P463="legacy_common_sample_8902245"</x:f>
        <x:v>1</x:v>
      </x:c>
      <x:c r="P463" t="str">
        <x:v>legacy_common_sample_8902245</x:v>
      </x:c>
      <x:c r="Q463" s="74" t="n">
        <x:v>46210.407986018516</x:v>
      </x:c>
      <x:c r="R463" s="19" t="n">
        <x:v>8902245</x:v>
      </x:c>
      <x:c r="S463" t="str">
        <x:v>40355b29bce094aef0e99358bdfd4011b92e72a54440a67760de4afae4883c33</x:v>
      </x:c>
      <x:c r="T463" t="str">
        <x:v>factor_report/gtja191_batch/gtja_068/ic_summary.csv</x:v>
      </x:c>
    </x:row>
    <x:row r="464">
      <x:c r="A464" s="50" t="n">
        <x:f>IF($P464="legacy_common_sample_8902245",1+COUNTIFS($C$5:$C$546,$C464,$P$5:$P$546,"legacy_common_sample_8902245",$I$5:$I$546,"&gt;"&amp;$I464),"")</x:f>
        <x:v>104</x:v>
      </x:c>
      <x:c r="B464" t="str">
        <x:v>gtja_010</x:v>
      </x:c>
      <x:c r="C464" s="50" t="n">
        <x:v>20</x:v>
      </x:c>
      <x:c r="D464" t="str">
        <x:f>IF(E464&gt;=0,"positive","negative")</x:f>
        <x:v>negative</x:v>
      </x:c>
      <x:c r="E464" s="30" t="n">
        <x:v>-0.05555365300187116</x:v>
      </x:c>
      <x:c r="F464" s="30" t="n">
        <x:f>ABS(E464)</x:f>
        <x:v>0.05555365300187116</x:v>
      </x:c>
      <x:c r="G464" s="30" t="n">
        <x:v>0.17946750622297528</x:v>
      </x:c>
      <x:c r="H464" s="30" t="n">
        <x:v>-0.309547138482271</x:v>
      </x:c>
      <x:c r="I464" s="30" t="n">
        <x:f>ABS(H464)</x:f>
        <x:v>0.309547138482271</x:v>
      </x:c>
      <x:c r="J464" s="30" t="n">
        <x:v>0.4093891973750631</x:v>
      </x:c>
      <x:c r="K464" s="30" t="n">
        <x:v>-0.03445431950815748</x:v>
      </x:c>
      <x:c r="L464" s="30" t="n">
        <x:v>-0.22193351418231363</x:v>
      </x:c>
      <x:c r="M464" s="30" t="n">
        <x:v>0.4442200908632004</x:v>
      </x:c>
      <x:c r="N464" s="19" t="n">
        <x:v>1981</x:v>
      </x:c>
      <x:c r="O464" t="b">
        <x:f>P464="legacy_common_sample_8902245"</x:f>
        <x:v>1</x:v>
      </x:c>
      <x:c r="P464" t="str">
        <x:v>legacy_common_sample_8902245</x:v>
      </x:c>
      <x:c r="Q464" s="74" t="n">
        <x:v>46210.15392069444</x:v>
      </x:c>
      <x:c r="R464" s="19" t="n">
        <x:v>8902245</x:v>
      </x:c>
      <x:c r="S464" t="str">
        <x:v>40355b29bce094aef0e99358bdfd4011b92e72a54440a67760de4afae4883c33</x:v>
      </x:c>
      <x:c r="T464" t="str">
        <x:v>factor_report/gtja191_batch/gtja_010/ic_summary.csv</x:v>
      </x:c>
    </x:row>
    <x:row r="465">
      <x:c r="A465" s="50" t="n">
        <x:f>IF($P465="legacy_common_sample_8902245",1+COUNTIFS($C$5:$C$546,$C465,$P$5:$P$546,"legacy_common_sample_8902245",$I$5:$I$546,"&gt;"&amp;$I465),"")</x:f>
        <x:v>105</x:v>
      </x:c>
      <x:c r="B465" t="str">
        <x:v>gtja_169</x:v>
      </x:c>
      <x:c r="C465" s="50" t="n">
        <x:v>20</x:v>
      </x:c>
      <x:c r="D465" t="str">
        <x:f>IF(E465&gt;=0,"positive","negative")</x:f>
        <x:v>negative</x:v>
      </x:c>
      <x:c r="E465" s="30" t="n">
        <x:v>-0.03854590185149994</x:v>
      </x:c>
      <x:c r="F465" s="30" t="n">
        <x:f>ABS(E465)</x:f>
        <x:v>0.03854590185149994</x:v>
      </x:c>
      <x:c r="G465" s="30" t="n">
        <x:v>0.12520568048083566</x:v>
      </x:c>
      <x:c r="H465" s="30" t="n">
        <x:v>-0.3078606474040919</x:v>
      </x:c>
      <x:c r="I465" s="30" t="n">
        <x:f>ABS(H465)</x:f>
        <x:v>0.3078606474040919</x:v>
      </x:c>
      <x:c r="J465" s="30" t="n">
        <x:v>0.3685007571933367</x:v>
      </x:c>
      <x:c r="K465" s="30" t="n">
        <x:v>-0.011776841827623752</x:v>
      </x:c>
      <x:c r="L465" s="30" t="n">
        <x:v>-0.1549460489122689</x:v>
      </x:c>
      <x:c r="M465" s="30" t="n">
        <x:v>0.45229681978798586</x:v>
      </x:c>
      <x:c r="N465" s="19" t="n">
        <x:v>1981</x:v>
      </x:c>
      <x:c r="O465" t="b">
        <x:f>P465="legacy_common_sample_8902245"</x:f>
        <x:v>1</x:v>
      </x:c>
      <x:c r="P465" t="str">
        <x:v>legacy_common_sample_8902245</x:v>
      </x:c>
      <x:c r="Q465" s="74" t="n">
        <x:v>46210.89785068287</x:v>
      </x:c>
      <x:c r="R465" s="19" t="n">
        <x:v>8902245</x:v>
      </x:c>
      <x:c r="S465" t="str">
        <x:v>40355b29bce094aef0e99358bdfd4011b92e72a54440a67760de4afae4883c33</x:v>
      </x:c>
      <x:c r="T465" t="str">
        <x:v>factor_report/gtja191_batch/gtja_169/ic_summary.csv</x:v>
      </x:c>
    </x:row>
    <x:row r="466">
      <x:c r="A466" s="50" t="n">
        <x:f>IF($P466="legacy_common_sample_8902245",1+COUNTIFS($C$5:$C$546,$C466,$P$5:$P$546,"legacy_common_sample_8902245",$I$5:$I$546,"&gt;"&amp;$I466),"")</x:f>
        <x:v>106</x:v>
      </x:c>
      <x:c r="B466" t="str">
        <x:v>gtja_020</x:v>
      </x:c>
      <x:c r="C466" s="50" t="n">
        <x:v>20</x:v>
      </x:c>
      <x:c r="D466" t="str">
        <x:f>IF(E466&gt;=0,"positive","negative")</x:f>
        <x:v>negative</x:v>
      </x:c>
      <x:c r="E466" s="30" t="n">
        <x:v>-0.0379479035368987</x:v>
      </x:c>
      <x:c r="F466" s="30" t="n">
        <x:f>ABS(E466)</x:f>
        <x:v>0.0379479035368987</x:v>
      </x:c>
      <x:c r="G466" s="30" t="n">
        <x:v>0.12586769419484098</x:v>
      </x:c>
      <x:c r="H466" s="30" t="n">
        <x:v>-0.3014904164221521</x:v>
      </x:c>
      <x:c r="I466" s="30" t="n">
        <x:f>ABS(H466)</x:f>
        <x:v>0.3014904164221521</x:v>
      </x:c>
      <x:c r="J466" s="30" t="n">
        <x:v>0.38818778394750125</x:v>
      </x:c>
      <x:c r="K466" s="30" t="n">
        <x:v>-0.03664682973412327</x:v>
      </x:c>
      <x:c r="L466" s="30" t="n">
        <x:v>-0.3509618030569291</x:v>
      </x:c>
      <x:c r="M466" s="30" t="n">
        <x:v>0.36597677940434126</x:v>
      </x:c>
      <x:c r="N466" s="19" t="n">
        <x:v>1981</x:v>
      </x:c>
      <x:c r="O466" t="b">
        <x:f>P466="legacy_common_sample_8902245"</x:f>
        <x:v>1</x:v>
      </x:c>
      <x:c r="P466" t="str">
        <x:v>legacy_common_sample_8902245</x:v>
      </x:c>
      <x:c r="Q466" s="74" t="n">
        <x:v>46210.19493413194</x:v>
      </x:c>
      <x:c r="R466" s="19" t="n">
        <x:v>8902245</x:v>
      </x:c>
      <x:c r="S466" t="str">
        <x:v>40355b29bce094aef0e99358bdfd4011b92e72a54440a67760de4afae4883c33</x:v>
      </x:c>
      <x:c r="T466" t="str">
        <x:v>factor_report/gtja191_batch/gtja_020/ic_summary.csv</x:v>
      </x:c>
    </x:row>
    <x:row r="467">
      <x:c r="A467" s="50" t="n">
        <x:f>IF($P467="legacy_common_sample_8902245",1+COUNTIFS($C$5:$C$546,$C467,$P$5:$P$546,"legacy_common_sample_8902245",$I$5:$I$546,"&gt;"&amp;$I467),"")</x:f>
        <x:v>107</x:v>
      </x:c>
      <x:c r="B467" t="str">
        <x:v>gtja_092</x:v>
      </x:c>
      <x:c r="C467" s="50" t="n">
        <x:v>20</x:v>
      </x:c>
      <x:c r="D467" t="str">
        <x:f>IF(E467&gt;=0,"positive","negative")</x:f>
        <x:v>positive</x:v>
      </x:c>
      <x:c r="E467" s="30" t="n">
        <x:v>0.02360047061428451</x:v>
      </x:c>
      <x:c r="F467" s="30" t="n">
        <x:f>ABS(E467)</x:f>
        <x:v>0.02360047061428451</x:v>
      </x:c>
      <x:c r="G467" s="30" t="n">
        <x:v>0.07845109509203571</x:v>
      </x:c>
      <x:c r="H467" s="30" t="n">
        <x:v>0.3008303528025629</x:v>
      </x:c>
      <x:c r="I467" s="30" t="n">
        <x:f>ABS(H467)</x:f>
        <x:v>0.3008303528025629</x:v>
      </x:c>
      <x:c r="J467" s="30" t="n">
        <x:v>0.6103825136612022</x:v>
      </x:c>
      <x:c r="K467" s="30" t="n">
        <x:v>0.012463861513719237</x:v>
      </x:c>
      <x:c r="L467" s="30" t="n">
        <x:v>0.18214264496182186</x:v>
      </x:c>
      <x:c r="M467" s="30" t="n">
        <x:v>0.5672131147540984</x:v>
      </x:c>
      <x:c r="N467" s="19" t="n">
        <x:v>1830</x:v>
      </x:c>
      <x:c r="O467" t="b">
        <x:f>P467="legacy_common_sample_8902245"</x:f>
        <x:v>1</x:v>
      </x:c>
      <x:c r="P467" t="str">
        <x:v>legacy_common_sample_8902245</x:v>
      </x:c>
      <x:c r="Q467" s="74" t="n">
        <x:v>46211.339528993056</x:v>
      </x:c>
      <x:c r="R467" s="19" t="n">
        <x:v>8902245</x:v>
      </x:c>
      <x:c r="S467" t="str">
        <x:v>8f7e606554926462248cbcc654181861438ca768a0063f6b317223ede37d16fb</x:v>
      </x:c>
      <x:c r="T467" t="str">
        <x:v>factor_report/gtja191_batch/gtja_092/ic_summary.csv</x:v>
      </x:c>
    </x:row>
    <x:row r="468">
      <x:c r="A468" s="50" t="n">
        <x:f>IF($P468="legacy_common_sample_8902245",1+COUNTIFS($C$5:$C$546,$C468,$P$5:$P$546,"legacy_common_sample_8902245",$I$5:$I$546,"&gt;"&amp;$I468),"")</x:f>
        <x:v>108</x:v>
      </x:c>
      <x:c r="B468" t="str">
        <x:v>gtja_160</x:v>
      </x:c>
      <x:c r="C468" s="50" t="n">
        <x:v>20</x:v>
      </x:c>
      <x:c r="D468" t="str">
        <x:f>IF(E468&gt;=0,"positive","negative")</x:f>
        <x:v>negative</x:v>
      </x:c>
      <x:c r="E468" s="30" t="n">
        <x:v>-0.05881287740967297</x:v>
      </x:c>
      <x:c r="F468" s="30" t="n">
        <x:f>ABS(E468)</x:f>
        <x:v>0.05881287740967297</x:v>
      </x:c>
      <x:c r="G468" s="30" t="n">
        <x:v>0.19602200862915456</x:v>
      </x:c>
      <x:c r="H468" s="30" t="n">
        <x:v>-0.3000320107980246</x:v>
      </x:c>
      <x:c r="I468" s="30" t="n">
        <x:f>ABS(H468)</x:f>
        <x:v>0.3000320107980246</x:v>
      </x:c>
      <x:c r="J468" s="30" t="n">
        <x:v>0.3917213528520949</x:v>
      </x:c>
      <x:c r="K468" s="30" t="n">
        <x:v>-0.01565309856777198</x:v>
      </x:c>
      <x:c r="L468" s="30" t="n">
        <x:v>-0.13624803535881755</x:v>
      </x:c>
      <x:c r="M468" s="30" t="n">
        <x:v>0.4437152953054013</x:v>
      </x:c>
      <x:c r="N468" s="19" t="n">
        <x:v>1981</x:v>
      </x:c>
      <x:c r="O468" t="b">
        <x:f>P468="legacy_common_sample_8902245"</x:f>
        <x:v>1</x:v>
      </x:c>
      <x:c r="P468" t="str">
        <x:v>legacy_common_sample_8902245</x:v>
      </x:c>
      <x:c r="Q468" s="74" t="n">
        <x:v>46210.859459722225</x:v>
      </x:c>
      <x:c r="R468" s="19" t="n">
        <x:v>8902245</x:v>
      </x:c>
      <x:c r="S468" t="str">
        <x:v>40355b29bce094aef0e99358bdfd4011b92e72a54440a67760de4afae4883c33</x:v>
      </x:c>
      <x:c r="T468" t="str">
        <x:v>factor_report/gtja191_batch/gtja_160/ic_summary.csv</x:v>
      </x:c>
    </x:row>
    <x:row r="469">
      <x:c r="A469" s="50" t="n">
        <x:f>IF($P469="legacy_common_sample_8902245",1+COUNTIFS($C$5:$C$546,$C469,$P$5:$P$546,"legacy_common_sample_8902245",$I$5:$I$546,"&gt;"&amp;$I469),"")</x:f>
        <x:v>109</x:v>
      </x:c>
      <x:c r="B469" t="str">
        <x:v>gtja_173</x:v>
      </x:c>
      <x:c r="C469" s="50" t="n">
        <x:v>20</x:v>
      </x:c>
      <x:c r="D469" t="str">
        <x:f>IF(E469&gt;=0,"positive","negative")</x:f>
        <x:v>negative</x:v>
      </x:c>
      <x:c r="E469" s="30" t="n">
        <x:v>-0.05594958936404615</x:v>
      </x:c>
      <x:c r="F469" s="30" t="n">
        <x:f>ABS(E469)</x:f>
        <x:v>0.05594958936404615</x:v>
      </x:c>
      <x:c r="G469" s="30" t="n">
        <x:v>0.1865803304529382</x:v>
      </x:c>
      <x:c r="H469" s="30" t="n">
        <x:v>-0.2998686368934184</x:v>
      </x:c>
      <x:c r="I469" s="30" t="n">
        <x:f>ABS(H469)</x:f>
        <x:v>0.2998686368934184</x:v>
      </x:c>
      <x:c r="J469" s="30" t="n">
        <x:v>0.4164563351842504</x:v>
      </x:c>
      <x:c r="K469" s="30" t="n">
        <x:v>-0.016606189853636717</x:v>
      </x:c>
      <x:c r="L469" s="30" t="n">
        <x:v>-0.16993880496329708</x:v>
      </x:c>
      <x:c r="M469" s="30" t="n">
        <x:v>0.4230186774356386</x:v>
      </x:c>
      <x:c r="N469" s="19" t="n">
        <x:v>1981</x:v>
      </x:c>
      <x:c r="O469" t="b">
        <x:f>P469="legacy_common_sample_8902245"</x:f>
        <x:v>1</x:v>
      </x:c>
      <x:c r="P469" t="str">
        <x:v>legacy_common_sample_8902245</x:v>
      </x:c>
      <x:c r="Q469" s="74" t="n">
        <x:v>46210.91649931713</x:v>
      </x:c>
      <x:c r="R469" s="19" t="n">
        <x:v>8902245</x:v>
      </x:c>
      <x:c r="S469" t="str">
        <x:v>40355b29bce094aef0e99358bdfd4011b92e72a54440a67760de4afae4883c33</x:v>
      </x:c>
      <x:c r="T469" t="str">
        <x:v>factor_report/gtja191_batch/gtja_173/ic_summary.csv</x:v>
      </x:c>
    </x:row>
    <x:row r="470">
      <x:c r="A470" s="50" t="n">
        <x:f>IF($P470="legacy_common_sample_8902245",1+COUNTIFS($C$5:$C$546,$C470,$P$5:$P$546,"legacy_common_sample_8902245",$I$5:$I$546,"&gt;"&amp;$I470),"")</x:f>
        <x:v>110</x:v>
      </x:c>
      <x:c r="B470" t="str">
        <x:v>gtja_108</x:v>
      </x:c>
      <x:c r="C470" s="50" t="n">
        <x:v>20</x:v>
      </x:c>
      <x:c r="D470" t="str">
        <x:f>IF(E470&gt;=0,"positive","negative")</x:f>
        <x:v>positive</x:v>
      </x:c>
      <x:c r="E470" s="30" t="n">
        <x:v>0.02396255458178034</x:v>
      </x:c>
      <x:c r="F470" s="30" t="n">
        <x:f>ABS(E470)</x:f>
        <x:v>0.02396255458178034</x:v>
      </x:c>
      <x:c r="G470" s="30" t="n">
        <x:v>0.08005244515589131</x:v>
      </x:c>
      <x:c r="H470" s="30" t="n">
        <x:v>0.2993356984301542</x:v>
      </x:c>
      <x:c r="I470" s="30" t="n">
        <x:f>ABS(H470)</x:f>
        <x:v>0.2993356984301542</x:v>
      </x:c>
      <x:c r="J470" s="30" t="n">
        <x:v>0.6276762402088772</x:v>
      </x:c>
      <x:c r="K470" s="30" t="n">
        <x:v>0.008326181966024906</x:v>
      </x:c>
      <x:c r="L470" s="30" t="n">
        <x:v>0.12806002273653538</x:v>
      </x:c>
      <x:c r="M470" s="30" t="n">
        <x:v>0.5603133159268929</x:v>
      </x:c>
      <x:c r="N470" s="19" t="n">
        <x:v>1915</x:v>
      </x:c>
      <x:c r="O470" t="b">
        <x:f>P470="legacy_common_sample_8902245"</x:f>
        <x:v>1</x:v>
      </x:c>
      <x:c r="P470" t="str">
        <x:v>legacy_common_sample_8902245</x:v>
      </x:c>
      <x:c r="Q470" s="74" t="n">
        <x:v>46211.360724976854</x:v>
      </x:c>
      <x:c r="R470" s="19" t="n">
        <x:v>8902245</x:v>
      </x:c>
      <x:c r="S470" t="str">
        <x:v>8f7e606554926462248cbcc654181861438ca768a0063f6b317223ede37d16fb</x:v>
      </x:c>
      <x:c r="T470" t="str">
        <x:v>factor_report/gtja191_batch/gtja_108/ic_summary.csv</x:v>
      </x:c>
    </x:row>
    <x:row r="471">
      <x:c r="A471" s="50" t="n">
        <x:f>IF($P471="legacy_common_sample_8902245",1+COUNTIFS($C$5:$C$546,$C471,$P$5:$P$546,"legacy_common_sample_8902245",$I$5:$I$546,"&gt;"&amp;$I471),"")</x:f>
        <x:v>111</x:v>
      </x:c>
      <x:c r="B471" t="str">
        <x:v>gtja_126</x:v>
      </x:c>
      <x:c r="C471" s="50" t="n">
        <x:v>20</x:v>
      </x:c>
      <x:c r="D471" t="str">
        <x:f>IF(E471&gt;=0,"positive","negative")</x:f>
        <x:v>negative</x:v>
      </x:c>
      <x:c r="E471" s="30" t="n">
        <x:v>-0.05513131510592174</x:v>
      </x:c>
      <x:c r="F471" s="30" t="n">
        <x:f>ABS(E471)</x:f>
        <x:v>0.05513131510592174</x:v>
      </x:c>
      <x:c r="G471" s="30" t="n">
        <x:v>0.1863625710510884</x:v>
      </x:c>
      <x:c r="H471" s="30" t="n">
        <x:v>-0.2958282599074486</x:v>
      </x:c>
      <x:c r="I471" s="30" t="n">
        <x:f>ABS(H471)</x:f>
        <x:v>0.2958282599074486</x:v>
      </x:c>
      <x:c r="J471" s="30" t="n">
        <x:v>0.4194851085310449</x:v>
      </x:c>
      <x:c r="K471" s="30" t="n">
        <x:v>-0.015380521784915257</x:v>
      </x:c>
      <x:c r="L471" s="30" t="n">
        <x:v>-0.1626299700603497</x:v>
      </x:c>
      <x:c r="M471" s="30" t="n">
        <x:v>0.4270570418980313</x:v>
      </x:c>
      <x:c r="N471" s="19" t="n">
        <x:v>1981</x:v>
      </x:c>
      <x:c r="O471" t="b">
        <x:f>P471="legacy_common_sample_8902245"</x:f>
        <x:v>1</x:v>
      </x:c>
      <x:c r="P471" t="str">
        <x:v>legacy_common_sample_8902245</x:v>
      </x:c>
      <x:c r="Q471" s="74" t="n">
        <x:v>46210.70792734954</x:v>
      </x:c>
      <x:c r="R471" s="19" t="n">
        <x:v>8902245</x:v>
      </x:c>
      <x:c r="S471" t="str">
        <x:v>40355b29bce094aef0e99358bdfd4011b92e72a54440a67760de4afae4883c33</x:v>
      </x:c>
      <x:c r="T471" t="str">
        <x:v>factor_report/gtja191_batch/gtja_126/ic_summary.csv</x:v>
      </x:c>
    </x:row>
    <x:row r="472">
      <x:c r="A472" s="50" t="n">
        <x:f>IF($P472="legacy_common_sample_8902245",1+COUNTIFS($C$5:$C$546,$C472,$P$5:$P$546,"legacy_common_sample_8902245",$I$5:$I$546,"&gt;"&amp;$I472),"")</x:f>
        <x:v>112</x:v>
      </x:c>
      <x:c r="B472" t="str">
        <x:v>gtja_023</x:v>
      </x:c>
      <x:c r="C472" s="50" t="n">
        <x:v>20</x:v>
      </x:c>
      <x:c r="D472" t="str">
        <x:f>IF(E472&gt;=0,"positive","negative")</x:f>
        <x:v>negative</x:v>
      </x:c>
      <x:c r="E472" s="30" t="n">
        <x:v>-0.030742870020993476</x:v>
      </x:c>
      <x:c r="F472" s="30" t="n">
        <x:f>ABS(E472)</x:f>
        <x:v>0.030742870020993476</x:v>
      </x:c>
      <x:c r="G472" s="30" t="n">
        <x:v>0.1039709514390946</x:v>
      </x:c>
      <x:c r="H472" s="30" t="n">
        <x:v>-0.2956871087113444</x:v>
      </x:c>
      <x:c r="I472" s="30" t="n">
        <x:f>ABS(H472)</x:f>
        <x:v>0.2956871087113444</x:v>
      </x:c>
      <x:c r="J472" s="30" t="n">
        <x:v>0.4018172640080767</x:v>
      </x:c>
      <x:c r="K472" s="30" t="n">
        <x:v>-0.014919014650971958</x:v>
      </x:c>
      <x:c r="L472" s="30" t="n">
        <x:v>-0.16436378509432992</x:v>
      </x:c>
      <x:c r="M472" s="30" t="n">
        <x:v>0.4573447753659768</x:v>
      </x:c>
      <x:c r="N472" s="19" t="n">
        <x:v>1981</x:v>
      </x:c>
      <x:c r="O472" t="b">
        <x:f>P472="legacy_common_sample_8902245"</x:f>
        <x:v>1</x:v>
      </x:c>
      <x:c r="P472" t="str">
        <x:v>legacy_common_sample_8902245</x:v>
      </x:c>
      <x:c r="Q472" s="74" t="n">
        <x:v>46210.20966594907</x:v>
      </x:c>
      <x:c r="R472" s="19" t="n">
        <x:v>8902245</x:v>
      </x:c>
      <x:c r="S472" t="str">
        <x:v>40355b29bce094aef0e99358bdfd4011b92e72a54440a67760de4afae4883c33</x:v>
      </x:c>
      <x:c r="T472" t="str">
        <x:v>factor_report/gtja191_batch/gtja_023/ic_summary.csv</x:v>
      </x:c>
    </x:row>
    <x:row r="473">
      <x:c r="A473" s="50" t="n">
        <x:f>IF($P473="legacy_common_sample_8902245",1+COUNTIFS($C$5:$C$546,$C473,$P$5:$P$546,"legacy_common_sample_8902245",$I$5:$I$546,"&gt;"&amp;$I473),"")</x:f>
        <x:v>113</x:v>
      </x:c>
      <x:c r="B473" t="str">
        <x:v>gtja_060</x:v>
      </x:c>
      <x:c r="C473" s="50" t="n">
        <x:v>20</x:v>
      </x:c>
      <x:c r="D473" t="str">
        <x:f>IF(E473&gt;=0,"positive","negative")</x:f>
        <x:v>negative</x:v>
      </x:c>
      <x:c r="E473" s="30" t="n">
        <x:v>-0.027584066159598453</x:v>
      </x:c>
      <x:c r="F473" s="30" t="n">
        <x:f>ABS(E473)</x:f>
        <x:v>0.027584066159598453</x:v>
      </x:c>
      <x:c r="G473" s="30" t="n">
        <x:v>0.09365968639086392</x:v>
      </x:c>
      <x:c r="H473" s="30" t="n">
        <x:v>-0.2945137574397127</x:v>
      </x:c>
      <x:c r="I473" s="30" t="n">
        <x:f>ABS(H473)</x:f>
        <x:v>0.2945137574397127</x:v>
      </x:c>
      <x:c r="J473" s="30" t="n">
        <x:v>0.39979808177688037</x:v>
      </x:c>
      <x:c r="K473" s="30" t="n">
        <x:v>-0.016329541257783086</x:v>
      </x:c>
      <x:c r="L473" s="30" t="n">
        <x:v>-0.29803379073907715</x:v>
      </x:c>
      <x:c r="M473" s="30" t="n">
        <x:v>0.3902069661786976</x:v>
      </x:c>
      <x:c r="N473" s="19" t="n">
        <x:v>1981</x:v>
      </x:c>
      <x:c r="O473" t="b">
        <x:f>P473="legacy_common_sample_8902245"</x:f>
        <x:v>1</x:v>
      </x:c>
      <x:c r="P473" t="str">
        <x:v>legacy_common_sample_8902245</x:v>
      </x:c>
      <x:c r="Q473" s="74" t="n">
        <x:v>46210.37184259259</x:v>
      </x:c>
      <x:c r="R473" s="19" t="n">
        <x:v>8902245</x:v>
      </x:c>
      <x:c r="S473" t="str">
        <x:v>40355b29bce094aef0e99358bdfd4011b92e72a54440a67760de4afae4883c33</x:v>
      </x:c>
      <x:c r="T473" t="str">
        <x:v>factor_report/gtja191_batch/gtja_060/ic_summary.csv</x:v>
      </x:c>
    </x:row>
    <x:row r="474">
      <x:c r="A474" s="50" t="n">
        <x:f>IF($P474="legacy_common_sample_8902245",1+COUNTIFS($C$5:$C$546,$C474,$P$5:$P$546,"legacy_common_sample_8902245",$I$5:$I$546,"&gt;"&amp;$I474),"")</x:f>
        <x:v>114</x:v>
      </x:c>
      <x:c r="B474" t="str">
        <x:v>gtja_053</x:v>
      </x:c>
      <x:c r="C474" s="50" t="n">
        <x:v>20</x:v>
      </x:c>
      <x:c r="D474" t="str">
        <x:f>IF(E474&gt;=0,"positive","negative")</x:f>
        <x:v>negative</x:v>
      </x:c>
      <x:c r="E474" s="30" t="n">
        <x:v>-0.028910114969108554</x:v>
      </x:c>
      <x:c r="F474" s="30" t="n">
        <x:f>ABS(E474)</x:f>
        <x:v>0.028910114969108554</x:v>
      </x:c>
      <x:c r="G474" s="30" t="n">
        <x:v>0.0986342592933982</x:v>
      </x:c>
      <x:c r="H474" s="30" t="n">
        <x:v>-0.29310419296719525</x:v>
      </x:c>
      <x:c r="I474" s="30" t="n">
        <x:f>ABS(H474)</x:f>
        <x:v>0.29310419296719525</x:v>
      </x:c>
      <x:c r="J474" s="30" t="n">
        <x:v>0.40686521958606764</x:v>
      </x:c>
      <x:c r="K474" s="30" t="n">
        <x:v>-0.013327397454991178</x:v>
      </x:c>
      <x:c r="L474" s="30" t="n">
        <x:v>-0.15373112969182773</x:v>
      </x:c>
      <x:c r="M474" s="30" t="n">
        <x:v>0.4563351842503786</x:v>
      </x:c>
      <x:c r="N474" s="19" t="n">
        <x:v>1981</x:v>
      </x:c>
      <x:c r="O474" t="b">
        <x:f>P474="legacy_common_sample_8902245"</x:f>
        <x:v>1</x:v>
      </x:c>
      <x:c r="P474" t="str">
        <x:v>legacy_common_sample_8902245</x:v>
      </x:c>
      <x:c r="Q474" s="74" t="n">
        <x:v>46210.33939799768</x:v>
      </x:c>
      <x:c r="R474" s="19" t="n">
        <x:v>8902245</x:v>
      </x:c>
      <x:c r="S474" t="str">
        <x:v>40355b29bce094aef0e99358bdfd4011b92e72a54440a67760de4afae4883c33</x:v>
      </x:c>
      <x:c r="T474" t="str">
        <x:v>factor_report/gtja191_batch/gtja_053/ic_summary.csv</x:v>
      </x:c>
    </x:row>
    <x:row r="475">
      <x:c r="A475" s="50" t="n">
        <x:f>IF($P475="legacy_common_sample_8902245",1+COUNTIFS($C$5:$C$546,$C475,$P$5:$P$546,"legacy_common_sample_8902245",$I$5:$I$546,"&gt;"&amp;$I475),"")</x:f>
        <x:v>115</x:v>
      </x:c>
      <x:c r="B475" t="str">
        <x:v>gtja_063</x:v>
      </x:c>
      <x:c r="C475" s="50" t="n">
        <x:v>20</x:v>
      </x:c>
      <x:c r="D475" t="str">
        <x:f>IF(E475&gt;=0,"positive","negative")</x:f>
        <x:v>negative</x:v>
      </x:c>
      <x:c r="E475" s="30" t="n">
        <x:v>-0.03637963851538203</x:v>
      </x:c>
      <x:c r="F475" s="30" t="n">
        <x:f>ABS(E475)</x:f>
        <x:v>0.03637963851538203</x:v>
      </x:c>
      <x:c r="G475" s="30" t="n">
        <x:v>0.12510748148979678</x:v>
      </x:c>
      <x:c r="H475" s="30" t="n">
        <x:v>-0.29078707429938144</x:v>
      </x:c>
      <x:c r="I475" s="30" t="n">
        <x:f>ABS(H475)</x:f>
        <x:v>0.29078707429938144</x:v>
      </x:c>
      <x:c r="J475" s="30" t="n">
        <x:v>0.39121655729429583</x:v>
      </x:c>
      <x:c r="K475" s="30" t="n">
        <x:v>-0.01891576978835062</x:v>
      </x:c>
      <x:c r="L475" s="30" t="n">
        <x:v>-0.17614220430451488</x:v>
      </x:c>
      <x:c r="M475" s="30" t="n">
        <x:v>0.4482584553255931</x:v>
      </x:c>
      <x:c r="N475" s="19" t="n">
        <x:v>1981</x:v>
      </x:c>
      <x:c r="O475" t="b">
        <x:f>P475="legacy_common_sample_8902245"</x:f>
        <x:v>1</x:v>
      </x:c>
      <x:c r="P475" t="str">
        <x:v>legacy_common_sample_8902245</x:v>
      </x:c>
      <x:c r="Q475" s="74" t="n">
        <x:v>46210.385858483794</x:v>
      </x:c>
      <x:c r="R475" s="19" t="n">
        <x:v>8902245</x:v>
      </x:c>
      <x:c r="S475" t="str">
        <x:v>40355b29bce094aef0e99358bdfd4011b92e72a54440a67760de4afae4883c33</x:v>
      </x:c>
      <x:c r="T475" t="str">
        <x:v>factor_report/gtja191_batch/gtja_063/ic_summary.csv</x:v>
      </x:c>
    </x:row>
    <x:row r="476">
      <x:c r="A476" s="50" t="n">
        <x:f>IF($P476="legacy_common_sample_8902245",1+COUNTIFS($C$5:$C$546,$C476,$P$5:$P$546,"legacy_common_sample_8902245",$I$5:$I$546,"&gt;"&amp;$I476),"")</x:f>
        <x:v>116</x:v>
      </x:c>
      <x:c r="B476" t="str">
        <x:v>gtja_123</x:v>
      </x:c>
      <x:c r="C476" s="50" t="n">
        <x:v>20</x:v>
      </x:c>
      <x:c r="D476" t="str">
        <x:f>IF(E476&gt;=0,"positive","negative")</x:f>
        <x:v>positive</x:v>
      </x:c>
      <x:c r="E476" s="30" t="n">
        <x:v>0.016235807977282926</x:v>
      </x:c>
      <x:c r="F476" s="30" t="n">
        <x:f>ABS(E476)</x:f>
        <x:v>0.016235807977282926</x:v>
      </x:c>
      <x:c r="G476" s="30" t="n">
        <x:v>0.05607815291636207</x:v>
      </x:c>
      <x:c r="H476" s="30" t="n">
        <x:v>0.2895210903522067</x:v>
      </x:c>
      <x:c r="I476" s="30" t="n">
        <x:f>ABS(H476)</x:f>
        <x:v>0.2895210903522067</x:v>
      </x:c>
      <x:c r="J476" s="30" t="n">
        <x:v>0.6093189964157706</x:v>
      </x:c>
      <x:c r="K476" s="30" t="n">
        <x:v>0.009017365474724115</x:v>
      </x:c>
      <x:c r="L476" s="30" t="n">
        <x:v>0.19160857793686348</x:v>
      </x:c>
      <x:c r="M476" s="30" t="n">
        <x:v>0.5750128008192524</x:v>
      </x:c>
      <x:c r="N476" s="19" t="n">
        <x:v>1953</x:v>
      </x:c>
      <x:c r="O476" t="b">
        <x:f>P476="legacy_common_sample_8902245"</x:f>
        <x:v>1</x:v>
      </x:c>
      <x:c r="P476" t="str">
        <x:v>legacy_common_sample_8902245</x:v>
      </x:c>
      <x:c r="Q476" s="74" t="n">
        <x:v>46211.407905775464</x:v>
      </x:c>
      <x:c r="R476" s="19" t="n">
        <x:v>8902245</x:v>
      </x:c>
      <x:c r="S476" t="str">
        <x:v>8f7e606554926462248cbcc654181861438ca768a0063f6b317223ede37d16fb</x:v>
      </x:c>
      <x:c r="T476" t="str">
        <x:v>factor_report/gtja191_batch/gtja_123/ic_summary.csv</x:v>
      </x:c>
    </x:row>
    <x:row r="477">
      <x:c r="A477" s="50" t="n">
        <x:f>IF($P477="legacy_common_sample_8902245",1+COUNTIFS($C$5:$C$546,$C477,$P$5:$P$546,"legacy_common_sample_8902245",$I$5:$I$546,"&gt;"&amp;$I477),"")</x:f>
        <x:v>117</x:v>
      </x:c>
      <x:c r="B477" t="str">
        <x:v>gtja_014</x:v>
      </x:c>
      <x:c r="C477" s="50" t="n">
        <x:v>20</x:v>
      </x:c>
      <x:c r="D477" t="str">
        <x:f>IF(E477&gt;=0,"positive","negative")</x:f>
        <x:v>negative</x:v>
      </x:c>
      <x:c r="E477" s="30" t="n">
        <x:v>-0.03505559224469427</x:v>
      </x:c>
      <x:c r="F477" s="30" t="n">
        <x:f>ABS(E477)</x:f>
        <x:v>0.03505559224469427</x:v>
      </x:c>
      <x:c r="G477" s="30" t="n">
        <x:v>0.12274817132883978</x:v>
      </x:c>
      <x:c r="H477" s="30" t="n">
        <x:v>-0.2855895274462466</x:v>
      </x:c>
      <x:c r="I477" s="30" t="n">
        <x:f>ABS(H477)</x:f>
        <x:v>0.2855895274462466</x:v>
      </x:c>
      <x:c r="J477" s="30" t="n">
        <x:v>0.39979808177688037</x:v>
      </x:c>
      <x:c r="K477" s="30" t="n">
        <x:v>-0.01873543153446401</x:v>
      </x:c>
      <x:c r="L477" s="30" t="n">
        <x:v>-0.23977066560462082</x:v>
      </x:c>
      <x:c r="M477" s="30" t="n">
        <x:v>0.3992932862190813</x:v>
      </x:c>
      <x:c r="N477" s="19" t="n">
        <x:v>1981</x:v>
      </x:c>
      <x:c r="O477" t="b">
        <x:f>P477="legacy_common_sample_8902245"</x:f>
        <x:v>1</x:v>
      </x:c>
      <x:c r="P477" t="str">
        <x:v>legacy_common_sample_8902245</x:v>
      </x:c>
      <x:c r="Q477" s="74" t="n">
        <x:v>46210.170149652775</x:v>
      </x:c>
      <x:c r="R477" s="19" t="n">
        <x:v>8902245</x:v>
      </x:c>
      <x:c r="S477" t="str">
        <x:v>40355b29bce094aef0e99358bdfd4011b92e72a54440a67760de4afae4883c33</x:v>
      </x:c>
      <x:c r="T477" t="str">
        <x:v>factor_report/gtja191_batch/gtja_014/ic_summary.csv</x:v>
      </x:c>
    </x:row>
    <x:row r="478">
      <x:c r="A478" s="50" t="n">
        <x:f>IF($P478="legacy_common_sample_8902245",1+COUNTIFS($C$5:$C$546,$C478,$P$5:$P$546,"legacy_common_sample_8902245",$I$5:$I$546,"&gt;"&amp;$I478),"")</x:f>
        <x:v>118</x:v>
      </x:c>
      <x:c r="B478" t="str">
        <x:v>gtja_107</x:v>
      </x:c>
      <x:c r="C478" s="50" t="n">
        <x:v>20</x:v>
      </x:c>
      <x:c r="D478" t="str">
        <x:f>IF(E478&gt;=0,"positive","negative")</x:f>
        <x:v>negative</x:v>
      </x:c>
      <x:c r="E478" s="30" t="n">
        <x:v>-0.025765554587392003</x:v>
      </x:c>
      <x:c r="F478" s="30" t="n">
        <x:f>ABS(E478)</x:f>
        <x:v>0.025765554587392003</x:v>
      </x:c>
      <x:c r="G478" s="30" t="n">
        <x:v>0.09210562377100583</x:v>
      </x:c>
      <x:c r="H478" s="30" t="n">
        <x:v>-0.2797392117060154</x:v>
      </x:c>
      <x:c r="I478" s="30" t="n">
        <x:f>ABS(H478)</x:f>
        <x:v>0.2797392117060154</x:v>
      </x:c>
      <x:c r="J478" s="30" t="n">
        <x:v>0.36092882382635033</x:v>
      </x:c>
      <x:c r="K478" s="30" t="n">
        <x:v>0.0041274602293355465</x:v>
      </x:c>
      <x:c r="L478" s="30" t="n">
        <x:v>0.061312754173038574</x:v>
      </x:c>
      <x:c r="M478" s="30" t="n">
        <x:v>0.519434628975265</x:v>
      </x:c>
      <x:c r="N478" s="19" t="n">
        <x:v>1981</x:v>
      </x:c>
      <x:c r="O478" t="b">
        <x:f>P478="legacy_common_sample_8902245"</x:f>
        <x:v>1</x:v>
      </x:c>
      <x:c r="P478" t="str">
        <x:v>legacy_common_sample_8902245</x:v>
      </x:c>
      <x:c r="Q478" s="74" t="n">
        <x:v>46210.60368208333</x:v>
      </x:c>
      <x:c r="R478" s="19" t="n">
        <x:v>8902245</x:v>
      </x:c>
      <x:c r="S478" t="str">
        <x:v>40355b29bce094aef0e99358bdfd4011b92e72a54440a67760de4afae4883c33</x:v>
      </x:c>
      <x:c r="T478" t="str">
        <x:v>factor_report/gtja191_batch/gtja_107/ic_summary.csv</x:v>
      </x:c>
    </x:row>
    <x:row r="479">
      <x:c r="A479" s="50" t="n">
        <x:f>IF($P479="legacy_common_sample_8902245",1+COUNTIFS($C$5:$C$546,$C479,$P$5:$P$546,"legacy_common_sample_8902245",$I$5:$I$546,"&gt;"&amp;$I479),"")</x:f>
        <x:v>119</x:v>
      </x:c>
      <x:c r="B479" t="str">
        <x:v>gtja_153</x:v>
      </x:c>
      <x:c r="C479" s="50" t="n">
        <x:v>20</x:v>
      </x:c>
      <x:c r="D479" t="str">
        <x:f>IF(E479&gt;=0,"positive","negative")</x:f>
        <x:v>negative</x:v>
      </x:c>
      <x:c r="E479" s="30" t="n">
        <x:v>-0.052101026597468354</x:v>
      </x:c>
      <x:c r="F479" s="30" t="n">
        <x:f>ABS(E479)</x:f>
        <x:v>0.052101026597468354</x:v>
      </x:c>
      <x:c r="G479" s="30" t="n">
        <x:v>0.18628598892951526</x:v>
      </x:c>
      <x:c r="H479" s="30" t="n">
        <x:v>-0.27968301264558193</x:v>
      </x:c>
      <x:c r="I479" s="30" t="n">
        <x:f>ABS(H479)</x:f>
        <x:v>0.27968301264558193</x:v>
      </x:c>
      <x:c r="J479" s="30" t="n">
        <x:v>0.425542655224634</x:v>
      </x:c>
      <x:c r="K479" s="30" t="n">
        <x:v>-0.014303941234649403</x:v>
      </x:c>
      <x:c r="L479" s="30" t="n">
        <x:v>-0.15199042327715573</x:v>
      </x:c>
      <x:c r="M479" s="30" t="n">
        <x:v>0.42857142857142855</x:v>
      </x:c>
      <x:c r="N479" s="19" t="n">
        <x:v>1981</x:v>
      </x:c>
      <x:c r="O479" t="b">
        <x:f>P479="legacy_common_sample_8902245"</x:f>
        <x:v>1</x:v>
      </x:c>
      <x:c r="P479" t="str">
        <x:v>legacy_common_sample_8902245</x:v>
      </x:c>
      <x:c r="Q479" s="74" t="n">
        <x:v>46210.827101863426</x:v>
      </x:c>
      <x:c r="R479" s="19" t="n">
        <x:v>8902245</x:v>
      </x:c>
      <x:c r="S479" t="str">
        <x:v>40355b29bce094aef0e99358bdfd4011b92e72a54440a67760de4afae4883c33</x:v>
      </x:c>
      <x:c r="T479" t="str">
        <x:v>factor_report/gtja191_batch/gtja_153/ic_summary.csv</x:v>
      </x:c>
    </x:row>
    <x:row r="480">
      <x:c r="A480" s="50" t="n">
        <x:f>IF($P480="legacy_common_sample_8902245",1+COUNTIFS($C$5:$C$546,$C480,$P$5:$P$546,"legacy_common_sample_8902245",$I$5:$I$546,"&gt;"&amp;$I480),"")</x:f>
        <x:v>120</x:v>
      </x:c>
      <x:c r="B480" t="str">
        <x:v>gtja_033</x:v>
      </x:c>
      <x:c r="C480" s="50" t="n">
        <x:v>20</x:v>
      </x:c>
      <x:c r="D480" t="str">
        <x:f>IF(E480&gt;=0,"positive","negative")</x:f>
        <x:v>positive</x:v>
      </x:c>
      <x:c r="E480" s="30" t="n">
        <x:v>0.03213346568996951</x:v>
      </x:c>
      <x:c r="F480" s="30" t="n">
        <x:f>ABS(E480)</x:f>
        <x:v>0.03213346568996951</x:v>
      </x:c>
      <x:c r="G480" s="30" t="n">
        <x:v>0.11613755386915903</x:v>
      </x:c>
      <x:c r="H480" s="30" t="n">
        <x:v>0.2766845401804414</x:v>
      </x:c>
      <x:c r="I480" s="30" t="n">
        <x:f>ABS(H480)</x:f>
        <x:v>0.2766845401804414</x:v>
      </x:c>
      <x:c r="J480" s="30" t="n">
        <x:v>0.6147859922178989</x:v>
      </x:c>
      <x:c r="K480" s="30" t="n">
        <x:v>0.01094773363540187</x:v>
      </x:c>
      <x:c r="L480" s="30" t="n">
        <x:v>0.16642255560689762</x:v>
      </x:c>
      <x:c r="M480" s="30" t="n">
        <x:v>0.565869927737632</x:v>
      </x:c>
      <x:c r="N480" s="19" t="n">
        <x:v>1799</x:v>
      </x:c>
      <x:c r="O480" t="b">
        <x:f>P480="legacy_common_sample_8902245"</x:f>
        <x:v>1</x:v>
      </x:c>
      <x:c r="P480" t="str">
        <x:v>legacy_common_sample_8902245</x:v>
      </x:c>
      <x:c r="Q480" s="74" t="n">
        <x:v>46211.22782114583</x:v>
      </x:c>
      <x:c r="R480" s="19" t="n">
        <x:v>8902245</x:v>
      </x:c>
      <x:c r="S480" t="str">
        <x:v>8f7e606554926462248cbcc654181861438ca768a0063f6b317223ede37d16fb</x:v>
      </x:c>
      <x:c r="T480" t="str">
        <x:v>factor_report/gtja191_batch/gtja_033/ic_summary.csv</x:v>
      </x:c>
    </x:row>
    <x:row r="481">
      <x:c r="A481" s="50" t="n">
        <x:f>IF($P481="legacy_common_sample_8902245",1+COUNTIFS($C$5:$C$546,$C481,$P$5:$P$546,"legacy_common_sample_8902245",$I$5:$I$546,"&gt;"&amp;$I481),"")</x:f>
        <x:v>121</x:v>
      </x:c>
      <x:c r="B481" t="str">
        <x:v>gtja_018</x:v>
      </x:c>
      <x:c r="C481" s="50" t="n">
        <x:v>20</x:v>
      </x:c>
      <x:c r="D481" t="str">
        <x:f>IF(E481&gt;=0,"positive","negative")</x:f>
        <x:v>negative</x:v>
      </x:c>
      <x:c r="E481" s="30" t="n">
        <x:v>-0.03430560060147005</x:v>
      </x:c>
      <x:c r="F481" s="30" t="n">
        <x:f>ABS(E481)</x:f>
        <x:v>0.03430560060147005</x:v>
      </x:c>
      <x:c r="G481" s="30" t="n">
        <x:v>0.1254099403264624</x:v>
      </x:c>
      <x:c r="H481" s="30" t="n">
        <x:v>-0.2735476989476832</x:v>
      </x:c>
      <x:c r="I481" s="30" t="n">
        <x:f>ABS(H481)</x:f>
        <x:v>0.2735476989476832</x:v>
      </x:c>
      <x:c r="J481" s="30" t="n">
        <x:v>0.4028268551236749</x:v>
      </x:c>
      <x:c r="K481" s="30" t="n">
        <x:v>-0.034669093748687776</x:v>
      </x:c>
      <x:c r="L481" s="30" t="n">
        <x:v>-0.33557674990984204</x:v>
      </x:c>
      <x:c r="M481" s="30" t="n">
        <x:v>0.37051993942453304</x:v>
      </x:c>
      <x:c r="N481" s="19" t="n">
        <x:v>1981</x:v>
      </x:c>
      <x:c r="O481" t="b">
        <x:f>P481="legacy_common_sample_8902245"</x:f>
        <x:v>1</x:v>
      </x:c>
      <x:c r="P481" t="str">
        <x:v>legacy_common_sample_8902245</x:v>
      </x:c>
      <x:c r="Q481" s="74" t="n">
        <x:v>46210.18674793981</x:v>
      </x:c>
      <x:c r="R481" s="19" t="n">
        <x:v>8902245</x:v>
      </x:c>
      <x:c r="S481" t="str">
        <x:v>40355b29bce094aef0e99358bdfd4011b92e72a54440a67760de4afae4883c33</x:v>
      </x:c>
      <x:c r="T481" t="str">
        <x:v>factor_report/gtja191_batch/gtja_018/ic_summary.csv</x:v>
      </x:c>
    </x:row>
    <x:row r="482">
      <x:c r="A482" s="50" t="n">
        <x:f>IF($P482="legacy_common_sample_8902245",1+COUNTIFS($C$5:$C$546,$C482,$P$5:$P$546,"legacy_common_sample_8902245",$I$5:$I$546,"&gt;"&amp;$I482),"")</x:f>
        <x:v>122</x:v>
      </x:c>
      <x:c r="B482" t="str">
        <x:v>gtja_019</x:v>
      </x:c>
      <x:c r="C482" s="50" t="n">
        <x:v>20</x:v>
      </x:c>
      <x:c r="D482" t="str">
        <x:f>IF(E482&gt;=0,"positive","negative")</x:f>
        <x:v>negative</x:v>
      </x:c>
      <x:c r="E482" s="30" t="n">
        <x:v>-0.03430559237782003</x:v>
      </x:c>
      <x:c r="F482" s="30" t="n">
        <x:f>ABS(E482)</x:f>
        <x:v>0.03430559237782003</x:v>
      </x:c>
      <x:c r="G482" s="30" t="n">
        <x:v>0.12540991591715875</x:v>
      </x:c>
      <x:c r="H482" s="30" t="n">
        <x:v>-0.2735476866157941</x:v>
      </x:c>
      <x:c r="I482" s="30" t="n">
        <x:f>ABS(H482)</x:f>
        <x:v>0.2735476866157941</x:v>
      </x:c>
      <x:c r="J482" s="30" t="n">
        <x:v>0.4028268551236749</x:v>
      </x:c>
      <x:c r="K482" s="30" t="n">
        <x:v>-0.030832802295413866</x:v>
      </x:c>
      <x:c r="L482" s="30" t="n">
        <x:v>-0.2938288351002213</x:v>
      </x:c>
      <x:c r="M482" s="30" t="n">
        <x:v>0.38818778394750125</x:v>
      </x:c>
      <x:c r="N482" s="19" t="n">
        <x:v>1981</x:v>
      </x:c>
      <x:c r="O482" t="b">
        <x:f>P482="legacy_common_sample_8902245"</x:f>
        <x:v>1</x:v>
      </x:c>
      <x:c r="P482" t="str">
        <x:v>legacy_common_sample_8902245</x:v>
      </x:c>
      <x:c r="Q482" s="74" t="n">
        <x:v>46210.190837372684</x:v>
      </x:c>
      <x:c r="R482" s="19" t="n">
        <x:v>8902245</x:v>
      </x:c>
      <x:c r="S482" t="str">
        <x:v>40355b29bce094aef0e99358bdfd4011b92e72a54440a67760de4afae4883c33</x:v>
      </x:c>
      <x:c r="T482" t="str">
        <x:v>factor_report/gtja191_batch/gtja_019/ic_summary.csv</x:v>
      </x:c>
    </x:row>
    <x:row r="483">
      <x:c r="A483" s="50" t="n">
        <x:f>IF($P483="legacy_common_sample_8902245",1+COUNTIFS($C$5:$C$546,$C483,$P$5:$P$546,"legacy_common_sample_8902245",$I$5:$I$546,"&gt;"&amp;$I483),"")</x:f>
        <x:v>123</x:v>
      </x:c>
      <x:c r="B483" t="str">
        <x:v>gtja_102</x:v>
      </x:c>
      <x:c r="C483" s="50" t="n">
        <x:v>20</x:v>
      </x:c>
      <x:c r="D483" t="str">
        <x:f>IF(E483&gt;=0,"positive","negative")</x:f>
        <x:v>negative</x:v>
      </x:c>
      <x:c r="E483" s="30" t="n">
        <x:v>-0.020542291091252312</x:v>
      </x:c>
      <x:c r="F483" s="30" t="n">
        <x:f>ABS(E483)</x:f>
        <x:v>0.020542291091252312</x:v>
      </x:c>
      <x:c r="G483" s="30" t="n">
        <x:v>0.07633524818921955</x:v>
      </x:c>
      <x:c r="H483" s="30" t="n">
        <x:v>-0.26910623307770154</x:v>
      </x:c>
      <x:c r="I483" s="30" t="n">
        <x:f>ABS(H483)</x:f>
        <x:v>0.26910623307770154</x:v>
      </x:c>
      <x:c r="J483" s="30" t="n">
        <x:v>0.3806158505805149</x:v>
      </x:c>
      <x:c r="K483" s="30" t="n">
        <x:v>-0.020596459777454</x:v>
      </x:c>
      <x:c r="L483" s="30" t="n">
        <x:v>-0.3260132199080772</x:v>
      </x:c>
      <x:c r="M483" s="30" t="n">
        <x:v>0.3624432104997476</x:v>
      </x:c>
      <x:c r="N483" s="19" t="n">
        <x:v>1981</x:v>
      </x:c>
      <x:c r="O483" t="b">
        <x:f>P483="legacy_common_sample_8902245"</x:f>
        <x:v>1</x:v>
      </x:c>
      <x:c r="P483" t="str">
        <x:v>legacy_common_sample_8902245</x:v>
      </x:c>
      <x:c r="Q483" s="74" t="n">
        <x:v>46210.58357934028</x:v>
      </x:c>
      <x:c r="R483" s="19" t="n">
        <x:v>8902245</x:v>
      </x:c>
      <x:c r="S483" t="str">
        <x:v>40355b29bce094aef0e99358bdfd4011b92e72a54440a67760de4afae4883c33</x:v>
      </x:c>
      <x:c r="T483" t="str">
        <x:v>factor_report/gtja191_batch/gtja_102/ic_summary.csv</x:v>
      </x:c>
    </x:row>
    <x:row r="484">
      <x:c r="A484" s="50" t="n">
        <x:f>IF($P484="legacy_common_sample_8902245",1+COUNTIFS($C$5:$C$546,$C484,$P$5:$P$546,"legacy_common_sample_8902245",$I$5:$I$546,"&gt;"&amp;$I484),"")</x:f>
        <x:v>124</x:v>
      </x:c>
      <x:c r="B484" t="str">
        <x:v>gtja_008</x:v>
      </x:c>
      <x:c r="C484" s="50" t="n">
        <x:v>20</x:v>
      </x:c>
      <x:c r="D484" t="str">
        <x:f>IF(E484&gt;=0,"positive","negative")</x:f>
        <x:v>positive</x:v>
      </x:c>
      <x:c r="E484" s="30" t="n">
        <x:v>0.03263710560902991</x:v>
      </x:c>
      <x:c r="F484" s="30" t="n">
        <x:f>ABS(E484)</x:f>
        <x:v>0.03263710560902991</x:v>
      </x:c>
      <x:c r="G484" s="30" t="n">
        <x:v>0.12327443811446455</x:v>
      </x:c>
      <x:c r="H484" s="30" t="n">
        <x:v>0.26475160713144147</x:v>
      </x:c>
      <x:c r="I484" s="30" t="n">
        <x:f>ABS(H484)</x:f>
        <x:v>0.26475160713144147</x:v>
      </x:c>
      <x:c r="J484" s="30" t="n">
        <x:v>0.6042402826855123</x:v>
      </x:c>
      <x:c r="K484" s="30" t="n">
        <x:v>0.019918612692904212</x:v>
      </x:c>
      <x:c r="L484" s="30" t="n">
        <x:v>0.18943927461031446</x:v>
      </x:c>
      <x:c r="M484" s="30" t="n">
        <x:v>0.5593134780413932</x:v>
      </x:c>
      <x:c r="N484" s="19" t="n">
        <x:v>1981</x:v>
      </x:c>
      <x:c r="O484" t="b">
        <x:f>P484="legacy_common_sample_8902245"</x:f>
        <x:v>1</x:v>
      </x:c>
      <x:c r="P484" t="str">
        <x:v>legacy_common_sample_8902245</x:v>
      </x:c>
      <x:c r="Q484" s="74" t="n">
        <x:v>46211.178455532405</x:v>
      </x:c>
      <x:c r="R484" s="19" t="n">
        <x:v>8902245</x:v>
      </x:c>
      <x:c r="S484" t="str">
        <x:v>8f7e606554926462248cbcc654181861438ca768a0063f6b317223ede37d16fb</x:v>
      </x:c>
      <x:c r="T484" t="str">
        <x:v>factor_report/gtja191_batch/gtja_008/ic_summary.csv</x:v>
      </x:c>
    </x:row>
    <x:row r="485">
      <x:c r="A485" s="50" t="n">
        <x:f>IF($P485="legacy_common_sample_8902245",1+COUNTIFS($C$5:$C$546,$C485,$P$5:$P$546,"legacy_common_sample_8902245",$I$5:$I$546,"&gt;"&amp;$I485),"")</x:f>
        <x:v>125</x:v>
      </x:c>
      <x:c r="B485" t="str">
        <x:v>gtja_093</x:v>
      </x:c>
      <x:c r="C485" s="50" t="n">
        <x:v>20</x:v>
      </x:c>
      <x:c r="D485" t="str">
        <x:f>IF(E485&gt;=0,"positive","negative")</x:f>
        <x:v>negative</x:v>
      </x:c>
      <x:c r="E485" s="30" t="n">
        <x:v>-0.048838455327472906</x:v>
      </x:c>
      <x:c r="F485" s="30" t="n">
        <x:f>ABS(E485)</x:f>
        <x:v>0.048838455327472906</x:v>
      </x:c>
      <x:c r="G485" s="30" t="n">
        <x:v>0.18924160433601203</x:v>
      </x:c>
      <x:c r="H485" s="30" t="n">
        <x:v>-0.25807462105825696</x:v>
      </x:c>
      <x:c r="I485" s="30" t="n">
        <x:f>ABS(H485)</x:f>
        <x:v>0.25807462105825696</x:v>
      </x:c>
      <x:c r="J485" s="30" t="n">
        <x:v>0.4149419485108531</x:v>
      </x:c>
      <x:c r="K485" s="30" t="n">
        <x:v>-0.010871630634093712</x:v>
      </x:c>
      <x:c r="L485" s="30" t="n">
        <x:v>-0.09734518137745847</x:v>
      </x:c>
      <x:c r="M485" s="30" t="n">
        <x:v>0.4603735487127713</x:v>
      </x:c>
      <x:c r="N485" s="19" t="n">
        <x:v>1981</x:v>
      </x:c>
      <x:c r="O485" t="b">
        <x:f>P485="legacy_common_sample_8902245"</x:f>
        <x:v>1</x:v>
      </x:c>
      <x:c r="P485" t="str">
        <x:v>legacy_common_sample_8902245</x:v>
      </x:c>
      <x:c r="Q485" s="74" t="n">
        <x:v>46210.543900254626</x:v>
      </x:c>
      <x:c r="R485" s="19" t="n">
        <x:v>8902245</x:v>
      </x:c>
      <x:c r="S485" t="str">
        <x:v>40355b29bce094aef0e99358bdfd4011b92e72a54440a67760de4afae4883c33</x:v>
      </x:c>
      <x:c r="T485" t="str">
        <x:v>factor_report/gtja191_batch/gtja_093/ic_summary.csv</x:v>
      </x:c>
    </x:row>
    <x:row r="486">
      <x:c r="A486" s="50" t="n">
        <x:f>IF($P486="legacy_common_sample_8902245",1+COUNTIFS($C$5:$C$546,$C486,$P$5:$P$546,"legacy_common_sample_8902245",$I$5:$I$546,"&gt;"&amp;$I486),"")</x:f>
        <x:v>126</x:v>
      </x:c>
      <x:c r="B486" t="str">
        <x:v>gtja_048</x:v>
      </x:c>
      <x:c r="C486" s="50" t="n">
        <x:v>20</x:v>
      </x:c>
      <x:c r="D486" t="str">
        <x:f>IF(E486&gt;=0,"positive","negative")</x:f>
        <x:v>positive</x:v>
      </x:c>
      <x:c r="E486" s="30" t="n">
        <x:v>0.024154346270597194</x:v>
      </x:c>
      <x:c r="F486" s="30" t="n">
        <x:f>ABS(E486)</x:f>
        <x:v>0.024154346270597194</x:v>
      </x:c>
      <x:c r="G486" s="30" t="n">
        <x:v>0.09718098100648785</x:v>
      </x:c>
      <x:c r="H486" s="30" t="n">
        <x:v>0.2485501383134282</x:v>
      </x:c>
      <x:c r="I486" s="30" t="n">
        <x:f>ABS(H486)</x:f>
        <x:v>0.2485501383134282</x:v>
      </x:c>
      <x:c r="J486" s="30" t="n">
        <x:v>0.6032306915699142</x:v>
      </x:c>
      <x:c r="K486" s="30" t="n">
        <x:v>0.022733401066824567</x:v>
      </x:c>
      <x:c r="L486" s="30" t="n">
        <x:v>0.2763735299335428</x:v>
      </x:c>
      <x:c r="M486" s="30" t="n">
        <x:v>0.6113074204946997</x:v>
      </x:c>
      <x:c r="N486" s="19" t="n">
        <x:v>1981</x:v>
      </x:c>
      <x:c r="O486" t="b">
        <x:f>P486="legacy_common_sample_8902245"</x:f>
        <x:v>1</x:v>
      </x:c>
      <x:c r="P486" t="str">
        <x:v>legacy_common_sample_8902245</x:v>
      </x:c>
      <x:c r="Q486" s="74" t="n">
        <x:v>46211.27421923611</x:v>
      </x:c>
      <x:c r="R486" s="19" t="n">
        <x:v>8902245</x:v>
      </x:c>
      <x:c r="S486" t="str">
        <x:v>8f7e606554926462248cbcc654181861438ca768a0063f6b317223ede37d16fb</x:v>
      </x:c>
      <x:c r="T486" t="str">
        <x:v>factor_report/gtja191_batch/gtja_048/ic_summary.csv</x:v>
      </x:c>
    </x:row>
    <x:row r="487">
      <x:c r="A487" s="50" t="n">
        <x:f>IF($P487="legacy_common_sample_8902245",1+COUNTIFS($C$5:$C$546,$C487,$P$5:$P$546,"legacy_common_sample_8902245",$I$5:$I$546,"&gt;"&amp;$I487),"")</x:f>
        <x:v>127</x:v>
      </x:c>
      <x:c r="B487" t="str">
        <x:v>gtja_009</x:v>
      </x:c>
      <x:c r="C487" s="50" t="n">
        <x:v>20</x:v>
      </x:c>
      <x:c r="D487" t="str">
        <x:f>IF(E487&gt;=0,"positive","negative")</x:f>
        <x:v>negative</x:v>
      </x:c>
      <x:c r="E487" s="30" t="n">
        <x:v>-0.028851328465264607</x:v>
      </x:c>
      <x:c r="F487" s="30" t="n">
        <x:f>ABS(E487)</x:f>
        <x:v>0.028851328465264607</x:v>
      </x:c>
      <x:c r="G487" s="30" t="n">
        <x:v>0.11627261584534039</x:v>
      </x:c>
      <x:c r="H487" s="30" t="n">
        <x:v>-0.2481351972302842</x:v>
      </x:c>
      <x:c r="I487" s="30" t="n">
        <x:f>ABS(H487)</x:f>
        <x:v>0.2481351972302842</x:v>
      </x:c>
      <x:c r="J487" s="30" t="n">
        <x:v>0.4114083796062595</x:v>
      </x:c>
      <x:c r="K487" s="30" t="n">
        <x:v>-0.0019885858030805103</x:v>
      </x:c>
      <x:c r="L487" s="30" t="n">
        <x:v>-0.07035184354302254</x:v>
      </x:c>
      <x:c r="M487" s="30" t="n">
        <x:v>0.4790509843513377</x:v>
      </x:c>
      <x:c r="N487" s="19" t="n">
        <x:v>1981</x:v>
      </x:c>
      <x:c r="O487" t="b">
        <x:f>P487="legacy_common_sample_8902245"</x:f>
        <x:v>1</x:v>
      </x:c>
      <x:c r="P487" t="str">
        <x:v>legacy_common_sample_8902245</x:v>
      </x:c>
      <x:c r="Q487" s="74" t="n">
        <x:v>46210.14960534722</x:v>
      </x:c>
      <x:c r="R487" s="19" t="n">
        <x:v>8902245</x:v>
      </x:c>
      <x:c r="S487" t="str">
        <x:v>40355b29bce094aef0e99358bdfd4011b92e72a54440a67760de4afae4883c33</x:v>
      </x:c>
      <x:c r="T487" t="str">
        <x:v>factor_report/gtja191_batch/gtja_009/ic_summary.csv</x:v>
      </x:c>
    </x:row>
    <x:row r="488">
      <x:c r="A488" s="50" t="n">
        <x:f>IF($P488="legacy_common_sample_8902245",1+COUNTIFS($C$5:$C$546,$C488,$P$5:$P$546,"legacy_common_sample_8902245",$I$5:$I$546,"&gt;"&amp;$I488),"")</x:f>
        <x:v>128</x:v>
      </x:c>
      <x:c r="B488" t="str">
        <x:v>gtja_143</x:v>
      </x:c>
      <x:c r="C488" s="50" t="n">
        <x:v>20</x:v>
      </x:c>
      <x:c r="D488" t="str">
        <x:f>IF(E488&gt;=0,"positive","negative")</x:f>
        <x:v>negative</x:v>
      </x:c>
      <x:c r="E488" s="30" t="n">
        <x:v>-0.026709392101047096</x:v>
      </x:c>
      <x:c r="F488" s="30" t="n">
        <x:f>ABS(E488)</x:f>
        <x:v>0.026709392101047096</x:v>
      </x:c>
      <x:c r="G488" s="30" t="n">
        <x:v>0.10788301135358297</x:v>
      </x:c>
      <x:c r="H488" s="30" t="n">
        <x:v>-0.24757736891036491</x:v>
      </x:c>
      <x:c r="I488" s="30" t="n">
        <x:f>ABS(H488)</x:f>
        <x:v>0.24757736891036491</x:v>
      </x:c>
      <x:c r="J488" s="30" t="n">
        <x:v>0.3957597173144876</x:v>
      </x:c>
      <x:c r="K488" s="30" t="n">
        <x:v>-0.010216155049928241</x:v>
      </x:c>
      <x:c r="L488" s="30" t="n">
        <x:v>-0.16231595129697063</x:v>
      </x:c>
      <x:c r="M488" s="30" t="n">
        <x:v>0.4204946996466431</x:v>
      </x:c>
      <x:c r="N488" s="19" t="n">
        <x:v>1981</x:v>
      </x:c>
      <x:c r="O488" t="b">
        <x:f>P488="legacy_common_sample_8902245"</x:f>
        <x:v>1</x:v>
      </x:c>
      <x:c r="P488" t="str">
        <x:v>legacy_common_sample_8902245</x:v>
      </x:c>
      <x:c r="Q488" s="74" t="n">
        <x:v>46210.787863425925</x:v>
      </x:c>
      <x:c r="R488" s="19" t="n">
        <x:v>8902245</x:v>
      </x:c>
      <x:c r="S488" t="str">
        <x:v>40355b29bce094aef0e99358bdfd4011b92e72a54440a67760de4afae4883c33</x:v>
      </x:c>
      <x:c r="T488" t="str">
        <x:v>factor_report/gtja191_batch/gtja_143/ic_summary.csv</x:v>
      </x:c>
    </x:row>
    <x:row r="489">
      <x:c r="A489" s="50" t="n">
        <x:f>IF($P489="legacy_common_sample_8902245",1+COUNTIFS($C$5:$C$546,$C489,$P$5:$P$546,"legacy_common_sample_8902245",$I$5:$I$546,"&gt;"&amp;$I489),"")</x:f>
        <x:v>129</x:v>
      </x:c>
      <x:c r="B489" t="str">
        <x:v>gtja_026</x:v>
      </x:c>
      <x:c r="C489" s="50" t="n">
        <x:v>20</x:v>
      </x:c>
      <x:c r="D489" t="str">
        <x:f>IF(E489&gt;=0,"positive","negative")</x:f>
        <x:v>positive</x:v>
      </x:c>
      <x:c r="E489" s="30" t="n">
        <x:v>0.030547769477213424</x:v>
      </x:c>
      <x:c r="F489" s="30" t="n">
        <x:f>ABS(E489)</x:f>
        <x:v>0.030547769477213424</x:v>
      </x:c>
      <x:c r="G489" s="30" t="n">
        <x:v>0.12363195768515851</x:v>
      </x:c>
      <x:c r="H489" s="30" t="n">
        <x:v>0.24708635250285738</x:v>
      </x:c>
      <x:c r="I489" s="30" t="n">
        <x:f>ABS(H489)</x:f>
        <x:v>0.24708635250285738</x:v>
      </x:c>
      <x:c r="J489" s="30" t="n">
        <x:v>0.5861495844875346</x:v>
      </x:c>
      <x:c r="K489" s="30" t="n">
        <x:v>0.017788558908343993</x:v>
      </x:c>
      <x:c r="L489" s="30" t="n">
        <x:v>0.2285507454554719</x:v>
      </x:c>
      <x:c r="M489" s="30" t="n">
        <x:v>0.5933518005540166</x:v>
      </x:c>
      <x:c r="N489" s="19" t="n">
        <x:v>1805</x:v>
      </x:c>
      <x:c r="O489" t="b">
        <x:f>P489="legacy_common_sample_8902245"</x:f>
        <x:v>1</x:v>
      </x:c>
      <x:c r="P489" t="str">
        <x:v>legacy_common_sample_8902245</x:v>
      </x:c>
      <x:c r="Q489" s="74" t="n">
        <x:v>46211.21334347222</x:v>
      </x:c>
      <x:c r="R489" s="19" t="n">
        <x:v>8902245</x:v>
      </x:c>
      <x:c r="S489" t="str">
        <x:v>8f7e606554926462248cbcc654181861438ca768a0063f6b317223ede37d16fb</x:v>
      </x:c>
      <x:c r="T489" t="str">
        <x:v>factor_report/gtja191_batch/gtja_026/ic_summary.csv</x:v>
      </x:c>
    </x:row>
    <x:row r="490">
      <x:c r="A490" s="50" t="n">
        <x:f>IF($P490="legacy_common_sample_8902245",1+COUNTIFS($C$5:$C$546,$C490,$P$5:$P$546,"legacy_common_sample_8902245",$I$5:$I$546,"&gt;"&amp;$I490),"")</x:f>
        <x:v>130</x:v>
      </x:c>
      <x:c r="B490" t="str">
        <x:v>gtja_025</x:v>
      </x:c>
      <x:c r="C490" s="50" t="n">
        <x:v>20</x:v>
      </x:c>
      <x:c r="D490" t="str">
        <x:f>IF(E490&gt;=0,"positive","negative")</x:f>
        <x:v>positive</x:v>
      </x:c>
      <x:c r="E490" s="30" t="n">
        <x:v>0.0303902036840893</x:v>
      </x:c>
      <x:c r="F490" s="30" t="n">
        <x:f>ABS(E490)</x:f>
        <x:v>0.0303902036840893</x:v>
      </x:c>
      <x:c r="G490" s="30" t="n">
        <x:v>0.12358260783534632</x:v>
      </x:c>
      <x:c r="H490" s="30" t="n">
        <x:v>0.2459100371516621</x:v>
      </x:c>
      <x:c r="I490" s="30" t="n">
        <x:f>ABS(H490)</x:f>
        <x:v>0.2459100371516621</x:v>
      </x:c>
      <x:c r="J490" s="30" t="n">
        <x:v>0.5992174399105645</x:v>
      </x:c>
      <x:c r="K490" s="30" t="n">
        <x:v>0.01711386380318972</x:v>
      </x:c>
      <x:c r="L490" s="30" t="n">
        <x:v>0.15383875212646866</x:v>
      </x:c>
      <x:c r="M490" s="30" t="n">
        <x:v>0.5589714924538849</x:v>
      </x:c>
      <x:c r="N490" s="19" t="n">
        <x:v>1789</x:v>
      </x:c>
      <x:c r="O490" t="b">
        <x:f>P490="legacy_common_sample_8902245"</x:f>
        <x:v>1</x:v>
      </x:c>
      <x:c r="P490" t="str">
        <x:v>legacy_common_sample_8902245</x:v>
      </x:c>
      <x:c r="Q490" s="74" t="n">
        <x:v>46211.209765810185</x:v>
      </x:c>
      <x:c r="R490" s="19" t="n">
        <x:v>8902245</x:v>
      </x:c>
      <x:c r="S490" t="str">
        <x:v>8f7e606554926462248cbcc654181861438ca768a0063f6b317223ede37d16fb</x:v>
      </x:c>
      <x:c r="T490" t="str">
        <x:v>factor_report/gtja191_batch/gtja_025/ic_summary.csv</x:v>
      </x:c>
    </x:row>
    <x:row r="491">
      <x:c r="A491" s="50" t="n">
        <x:f>IF($P491="legacy_common_sample_8902245",1+COUNTIFS($C$5:$C$546,$C491,$P$5:$P$546,"legacy_common_sample_8902245",$I$5:$I$546,"&gt;"&amp;$I491),"")</x:f>
        <x:v>131</x:v>
      </x:c>
      <x:c r="B491" t="str">
        <x:v>gtja_017</x:v>
      </x:c>
      <x:c r="C491" s="50" t="n">
        <x:v>20</x:v>
      </x:c>
      <x:c r="D491" t="str">
        <x:f>IF(E491&gt;=0,"positive","negative")</x:f>
        <x:v>positive</x:v>
      </x:c>
      <x:c r="E491" s="30" t="n">
        <x:v>0.02944576464845126</x:v>
      </x:c>
      <x:c r="F491" s="30" t="n">
        <x:f>ABS(E491)</x:f>
        <x:v>0.02944576464845126</x:v>
      </x:c>
      <x:c r="G491" s="30" t="n">
        <x:v>0.12074792952012793</x:v>
      </x:c>
      <x:c r="H491" s="30" t="n">
        <x:v>0.24386144562042228</x:v>
      </x:c>
      <x:c r="I491" s="30" t="n">
        <x:f>ABS(H491)</x:f>
        <x:v>0.24386144562042228</x:v>
      </x:c>
      <x:c r="J491" s="30" t="n">
        <x:v>0.5896012115093388</x:v>
      </x:c>
      <x:c r="K491" s="30" t="n">
        <x:v>-0.0011393254599393787</x:v>
      </x:c>
      <x:c r="L491" s="30" t="n">
        <x:v>-0.07374758103562887</x:v>
      </x:c>
      <x:c r="M491" s="30" t="n">
        <x:v>0.32306915699141847</x:v>
      </x:c>
      <x:c r="N491" s="19" t="n">
        <x:v>1981</x:v>
      </x:c>
      <x:c r="O491" t="b">
        <x:f>P491="legacy_common_sample_8902245"</x:f>
        <x:v>1</x:v>
      </x:c>
      <x:c r="P491" t="str">
        <x:v>legacy_common_sample_8902245</x:v>
      </x:c>
      <x:c r="Q491" s="74" t="n">
        <x:v>46211.200878738426</x:v>
      </x:c>
      <x:c r="R491" s="19" t="n">
        <x:v>8902245</x:v>
      </x:c>
      <x:c r="S491" t="str">
        <x:v>8f7e606554926462248cbcc654181861438ca768a0063f6b317223ede37d16fb</x:v>
      </x:c>
      <x:c r="T491" t="str">
        <x:v>factor_report/gtja191_batch/gtja_017/ic_summary.csv</x:v>
      </x:c>
    </x:row>
    <x:row r="492">
      <x:c r="A492" s="50" t="n">
        <x:f>IF($P492="legacy_common_sample_8902245",1+COUNTIFS($C$5:$C$546,$C492,$P$5:$P$546,"legacy_common_sample_8902245",$I$5:$I$546,"&gt;"&amp;$I492),"")</x:f>
        <x:v>132</x:v>
      </x:c>
      <x:c r="B492" t="str">
        <x:v>gtja_080</x:v>
      </x:c>
      <x:c r="C492" s="50" t="n">
        <x:v>20</x:v>
      </x:c>
      <x:c r="D492" t="str">
        <x:f>IF(E492&gt;=0,"positive","negative")</x:f>
        <x:v>negative</x:v>
      </x:c>
      <x:c r="E492" s="30" t="n">
        <x:v>-0.01710208475329374</x:v>
      </x:c>
      <x:c r="F492" s="30" t="n">
        <x:f>ABS(E492)</x:f>
        <x:v>0.01710208475329374</x:v>
      </x:c>
      <x:c r="G492" s="30" t="n">
        <x:v>0.07147216658414693</x:v>
      </x:c>
      <x:c r="H492" s="30" t="n">
        <x:v>-0.23928314434345288</x:v>
      </x:c>
      <x:c r="I492" s="30" t="n">
        <x:f>ABS(H492)</x:f>
        <x:v>0.23928314434345288</x:v>
      </x:c>
      <x:c r="J492" s="30" t="n">
        <x:v>0.40030287733467945</x:v>
      </x:c>
      <x:c r="K492" s="30" t="n">
        <x:v>-0.023240631757765688</x:v>
      </x:c>
      <x:c r="L492" s="30" t="n">
        <x:v>-0.5085519935319246</x:v>
      </x:c>
      <x:c r="M492" s="30" t="n">
        <x:v>0.2801615345784957</x:v>
      </x:c>
      <x:c r="N492" s="19" t="n">
        <x:v>1981</x:v>
      </x:c>
      <x:c r="O492" t="b">
        <x:f>P492="legacy_common_sample_8902245"</x:f>
        <x:v>1</x:v>
      </x:c>
      <x:c r="P492" t="str">
        <x:v>legacy_common_sample_8902245</x:v>
      </x:c>
      <x:c r="Q492" s="74" t="n">
        <x:v>46211.31192994213</x:v>
      </x:c>
      <x:c r="R492" s="19" t="n">
        <x:v>8902245</x:v>
      </x:c>
      <x:c r="S492" t="str">
        <x:v>8f7e606554926462248cbcc654181861438ca768a0063f6b317223ede37d16fb</x:v>
      </x:c>
      <x:c r="T492" t="str">
        <x:v>factor_report/gtja191_batch/gtja_080/ic_summary.csv</x:v>
      </x:c>
    </x:row>
    <x:row r="493">
      <x:c r="A493" s="50" t="n">
        <x:f>IF($P493="legacy_common_sample_8902245",1+COUNTIFS($C$5:$C$546,$C493,$P$5:$P$546,"legacy_common_sample_8902245",$I$5:$I$546,"&gt;"&amp;$I493),"")</x:f>
        <x:v>133</x:v>
      </x:c>
      <x:c r="B493" t="str">
        <x:v>gtja_183</x:v>
      </x:c>
      <x:c r="C493" s="50" t="n">
        <x:v>20</x:v>
      </x:c>
      <x:c r="D493" t="str">
        <x:f>IF(E493&gt;=0,"positive","negative")</x:f>
        <x:v>positive</x:v>
      </x:c>
      <x:c r="E493" s="30" t="n">
        <x:v>0.01964685471091268</x:v>
      </x:c>
      <x:c r="F493" s="30" t="n">
        <x:f>ABS(E493)</x:f>
        <x:v>0.01964685471091268</x:v>
      </x:c>
      <x:c r="G493" s="30" t="n">
        <x:v>0.08211819556773677</x:v>
      </x:c>
      <x:c r="H493" s="30" t="n">
        <x:v>0.23925093062604616</x:v>
      </x:c>
      <x:c r="I493" s="30" t="n">
        <x:f>ABS(H493)</x:f>
        <x:v>0.23925093062604616</x:v>
      </x:c>
      <x:c r="J493" s="30" t="n">
        <x:v>0.6035532994923858</x:v>
      </x:c>
      <x:c r="K493" s="30" t="n">
        <x:v>0.002510143862127624</x:v>
      </x:c>
      <x:c r="L493" s="30" t="n">
        <x:v>0.03790285931905488</x:v>
      </x:c>
      <x:c r="M493" s="30" t="n">
        <x:v>0.5142131979695431</x:v>
      </x:c>
      <x:c r="N493" s="19" t="n">
        <x:v>1970</x:v>
      </x:c>
      <x:c r="O493" t="b">
        <x:f>P493="legacy_common_sample_8902245"</x:f>
        <x:v>1</x:v>
      </x:c>
      <x:c r="P493" t="str">
        <x:v>legacy_common_sample_8902245</x:v>
      </x:c>
      <x:c r="Q493" s="74" t="n">
        <x:v>46211.5411328125</x:v>
      </x:c>
      <x:c r="R493" s="19" t="n">
        <x:v>8902245</x:v>
      </x:c>
      <x:c r="S493" t="str">
        <x:v>8f7e606554926462248cbcc654181861438ca768a0063f6b317223ede37d16fb</x:v>
      </x:c>
      <x:c r="T493" t="str">
        <x:v>factor_report/gtja191_batch/gtja_183/ic_summary.csv</x:v>
      </x:c>
    </x:row>
    <x:row r="494">
      <x:c r="A494" s="50" t="n">
        <x:f>IF($P494="legacy_common_sample_8902245",1+COUNTIFS($C$5:$C$546,$C494,$P$5:$P$546,"legacy_common_sample_8902245",$I$5:$I$546,"&gt;"&amp;$I494),"")</x:f>
        <x:v>134</x:v>
      </x:c>
      <x:c r="B494" t="str">
        <x:v>gtja_152</x:v>
      </x:c>
      <x:c r="C494" s="50" t="n">
        <x:v>20</x:v>
      </x:c>
      <x:c r="D494" t="str">
        <x:f>IF(E494&gt;=0,"positive","negative")</x:f>
        <x:v>negative</x:v>
      </x:c>
      <x:c r="E494" s="30" t="n">
        <x:v>-0.0303796035749371</x:v>
      </x:c>
      <x:c r="F494" s="30" t="n">
        <x:f>ABS(E494)</x:f>
        <x:v>0.0303796035749371</x:v>
      </x:c>
      <x:c r="G494" s="30" t="n">
        <x:v>0.12782482372328205</x:v>
      </x:c>
      <x:c r="H494" s="30" t="n">
        <x:v>-0.23766591410056254</x:v>
      </x:c>
      <x:c r="I494" s="30" t="n">
        <x:f>ABS(H494)</x:f>
        <x:v>0.23766591410056254</x:v>
      </x:c>
      <x:c r="J494" s="30" t="n">
        <x:v>0.414437152953054</x:v>
      </x:c>
      <x:c r="K494" s="30" t="n">
        <x:v>-0.013591082744117938</x:v>
      </x:c>
      <x:c r="L494" s="30" t="n">
        <x:v>-0.1333608491713541</x:v>
      </x:c>
      <x:c r="M494" s="30" t="n">
        <x:v>0.4618879353861686</x:v>
      </x:c>
      <x:c r="N494" s="19" t="n">
        <x:v>1981</x:v>
      </x:c>
      <x:c r="O494" t="b">
        <x:f>P494="legacy_common_sample_8902245"</x:f>
        <x:v>1</x:v>
      </x:c>
      <x:c r="P494" t="str">
        <x:v>legacy_common_sample_8902245</x:v>
      </x:c>
      <x:c r="Q494" s="74" t="n">
        <x:v>46210.823093680556</x:v>
      </x:c>
      <x:c r="R494" s="19" t="n">
        <x:v>8902245</x:v>
      </x:c>
      <x:c r="S494" t="str">
        <x:v>40355b29bce094aef0e99358bdfd4011b92e72a54440a67760de4afae4883c33</x:v>
      </x:c>
      <x:c r="T494" t="str">
        <x:v>factor_report/gtja191_batch/gtja_152/ic_summary.csv</x:v>
      </x:c>
    </x:row>
    <x:row r="495">
      <x:c r="A495" s="50" t="n">
        <x:f>IF($P495="legacy_common_sample_8902245",1+COUNTIFS($C$5:$C$546,$C495,$P$5:$P$546,"legacy_common_sample_8902245",$I$5:$I$546,"&gt;"&amp;$I495),"")</x:f>
        <x:v>135</x:v>
      </x:c>
      <x:c r="B495" t="str">
        <x:v>gtja_065</x:v>
      </x:c>
      <x:c r="C495" s="50" t="n">
        <x:v>20</x:v>
      </x:c>
      <x:c r="D495" t="str">
        <x:f>IF(E495&gt;=0,"positive","negative")</x:f>
        <x:v>positive</x:v>
      </x:c>
      <x:c r="E495" s="30" t="n">
        <x:v>0.028293083254012495</x:v>
      </x:c>
      <x:c r="F495" s="30" t="n">
        <x:f>ABS(E495)</x:f>
        <x:v>0.028293083254012495</x:v>
      </x:c>
      <x:c r="G495" s="30" t="n">
        <x:v>0.12588998121335337</x:v>
      </x:c>
      <x:c r="H495" s="30" t="n">
        <x:v>0.22474451883555766</x:v>
      </x:c>
      <x:c r="I495" s="30" t="n">
        <x:f>ABS(H495)</x:f>
        <x:v>0.22474451883555766</x:v>
      </x:c>
      <x:c r="J495" s="30" t="n">
        <x:v>0.5901060070671378</x:v>
      </x:c>
      <x:c r="K495" s="30" t="n">
        <x:v>0.02795981854984866</x:v>
      </x:c>
      <x:c r="L495" s="30" t="n">
        <x:v>0.2708701176037059</x:v>
      </x:c>
      <x:c r="M495" s="30" t="n">
        <x:v>0.6128218071680969</x:v>
      </x:c>
      <x:c r="N495" s="19" t="n">
        <x:v>1981</x:v>
      </x:c>
      <x:c r="O495" t="b">
        <x:f>P495="legacy_common_sample_8902245"</x:f>
        <x:v>1</x:v>
      </x:c>
      <x:c r="P495" t="str">
        <x:v>legacy_common_sample_8902245</x:v>
      </x:c>
      <x:c r="Q495" s="74" t="n">
        <x:v>46211.29584099537</x:v>
      </x:c>
      <x:c r="R495" s="19" t="n">
        <x:v>8902245</x:v>
      </x:c>
      <x:c r="S495" t="str">
        <x:v>8f7e606554926462248cbcc654181861438ca768a0063f6b317223ede37d16fb</x:v>
      </x:c>
      <x:c r="T495" t="str">
        <x:v>factor_report/gtja191_batch/gtja_065/ic_summary.csv</x:v>
      </x:c>
    </x:row>
    <x:row r="496">
      <x:c r="A496" s="50" t="n">
        <x:f>IF($P496="legacy_common_sample_8902245",1+COUNTIFS($C$5:$C$546,$C496,$P$5:$P$546,"legacy_common_sample_8902245",$I$5:$I$546,"&gt;"&amp;$I496),"")</x:f>
        <x:v>136</x:v>
      </x:c>
      <x:c r="B496" t="str">
        <x:v>gtja_066</x:v>
      </x:c>
      <x:c r="C496" s="50" t="n">
        <x:v>20</x:v>
      </x:c>
      <x:c r="D496" t="str">
        <x:f>IF(E496&gt;=0,"positive","negative")</x:f>
        <x:v>negative</x:v>
      </x:c>
      <x:c r="E496" s="30" t="n">
        <x:v>-0.028293036013445596</x:v>
      </x:c>
      <x:c r="F496" s="30" t="n">
        <x:f>ABS(E496)</x:f>
        <x:v>0.028293036013445596</x:v>
      </x:c>
      <x:c r="G496" s="30" t="n">
        <x:v>0.12588995471110107</x:v>
      </x:c>
      <x:c r="H496" s="30" t="n">
        <x:v>-0.2247441908957228</x:v>
      </x:c>
      <x:c r="I496" s="30" t="n">
        <x:f>ABS(H496)</x:f>
        <x:v>0.2247441908957228</x:v>
      </x:c>
      <x:c r="J496" s="30" t="n">
        <x:v>0.4098939929328622</x:v>
      </x:c>
      <x:c r="K496" s="30" t="n">
        <x:v>-0.03136988320470684</x:v>
      </x:c>
      <x:c r="L496" s="30" t="n">
        <x:v>-0.3053087880366344</x:v>
      </x:c>
      <x:c r="M496" s="30" t="n">
        <x:v>0.37051993942453304</x:v>
      </x:c>
      <x:c r="N496" s="19" t="n">
        <x:v>1981</x:v>
      </x:c>
      <x:c r="O496" t="b">
        <x:f>P496="legacy_common_sample_8902245"</x:f>
        <x:v>1</x:v>
      </x:c>
      <x:c r="P496" t="str">
        <x:v>legacy_common_sample_8902245</x:v>
      </x:c>
      <x:c r="Q496" s="74" t="n">
        <x:v>46210.39822400463</x:v>
      </x:c>
      <x:c r="R496" s="19" t="n">
        <x:v>8902245</x:v>
      </x:c>
      <x:c r="S496" t="str">
        <x:v>40355b29bce094aef0e99358bdfd4011b92e72a54440a67760de4afae4883c33</x:v>
      </x:c>
      <x:c r="T496" t="str">
        <x:v>factor_report/gtja191_batch/gtja_066/ic_summary.csv</x:v>
      </x:c>
    </x:row>
    <x:row r="497">
      <x:c r="A497" s="50" t="n">
        <x:f>IF($P497="legacy_common_sample_8902245",1+COUNTIFS($C$5:$C$546,$C497,$P$5:$P$546,"legacy_common_sample_8902245",$I$5:$I$546,"&gt;"&amp;$I497),"")</x:f>
        <x:v>137</x:v>
      </x:c>
      <x:c r="B497" t="str">
        <x:v>gtja_137</x:v>
      </x:c>
      <x:c r="C497" s="50" t="n">
        <x:v>20</x:v>
      </x:c>
      <x:c r="D497" t="str">
        <x:f>IF(E497&gt;=0,"positive","negative")</x:f>
        <x:v>negative</x:v>
      </x:c>
      <x:c r="E497" s="30" t="n">
        <x:v>-0.025883364402236844</x:v>
      </x:c>
      <x:c r="F497" s="30" t="n">
        <x:f>ABS(E497)</x:f>
        <x:v>0.025883364402236844</x:v>
      </x:c>
      <x:c r="G497" s="30" t="n">
        <x:v>0.12012101145116241</x:v>
      </x:c>
      <x:c r="H497" s="30" t="n">
        <x:v>-0.21547740973493418</x:v>
      </x:c>
      <x:c r="I497" s="30" t="n">
        <x:f>ABS(H497)</x:f>
        <x:v>0.21547740973493418</x:v>
      </x:c>
      <x:c r="J497" s="30" t="n">
        <x:v>0.4114083796062595</x:v>
      </x:c>
      <x:c r="K497" s="30" t="n">
        <x:v>-0.013691631436601528</x:v>
      </x:c>
      <x:c r="L497" s="30" t="n">
        <x:v>-0.18483944554561232</x:v>
      </x:c>
      <x:c r="M497" s="30" t="n">
        <x:v>0.4154467440686522</x:v>
      </x:c>
      <x:c r="N497" s="19" t="n">
        <x:v>1981</x:v>
      </x:c>
      <x:c r="O497" t="b">
        <x:f>P497="legacy_common_sample_8902245"</x:f>
        <x:v>1</x:v>
      </x:c>
      <x:c r="P497" t="str">
        <x:v>legacy_common_sample_8902245</x:v>
      </x:c>
      <x:c r="Q497" s="74" t="n">
        <x:v>46210.75457434028</x:v>
      </x:c>
      <x:c r="R497" s="19" t="n">
        <x:v>8902245</x:v>
      </x:c>
      <x:c r="S497" t="str">
        <x:v>40355b29bce094aef0e99358bdfd4011b92e72a54440a67760de4afae4883c33</x:v>
      </x:c>
      <x:c r="T497" t="str">
        <x:v>factor_report/gtja191_batch/gtja_137/ic_summary.csv</x:v>
      </x:c>
    </x:row>
    <x:row r="498">
      <x:c r="A498" s="50" t="n">
        <x:f>IF($P498="legacy_common_sample_8902245",1+COUNTIFS($C$5:$C$546,$C498,$P$5:$P$546,"legacy_common_sample_8902245",$I$5:$I$546,"&gt;"&amp;$I498),"")</x:f>
        <x:v>138</x:v>
      </x:c>
      <x:c r="B498" t="str">
        <x:v>gtja_006</x:v>
      </x:c>
      <x:c r="C498" s="50" t="n">
        <x:v>20</x:v>
      </x:c>
      <x:c r="D498" t="str">
        <x:f>IF(E498&gt;=0,"positive","negative")</x:f>
        <x:v>positive</x:v>
      </x:c>
      <x:c r="E498" s="30" t="n">
        <x:v>0.01986712337058728</x:v>
      </x:c>
      <x:c r="F498" s="30" t="n">
        <x:f>ABS(E498)</x:f>
        <x:v>0.01986712337058728</x:v>
      </x:c>
      <x:c r="G498" s="30" t="n">
        <x:v>0.09698157815770737</x:v>
      </x:c>
      <x:c r="H498" s="30" t="n">
        <x:v>0.2048546099990268</x:v>
      </x:c>
      <x:c r="I498" s="30" t="n">
        <x:f>ABS(H498)</x:f>
        <x:v>0.2048546099990268</x:v>
      </x:c>
      <x:c r="J498" s="30" t="n">
        <x:v>0.5729429581019687</x:v>
      </x:c>
      <x:c r="K498" s="30" t="n">
        <x:v>0.010339218866763629</x:v>
      </x:c>
      <x:c r="L498" s="30" t="n">
        <x:v>0.12748499134249558</x:v>
      </x:c>
      <x:c r="M498" s="30" t="n">
        <x:v>0.5371024734982333</x:v>
      </x:c>
      <x:c r="N498" s="19" t="n">
        <x:v>1981</x:v>
      </x:c>
      <x:c r="O498" t="b">
        <x:f>P498="legacy_common_sample_8902245"</x:f>
        <x:v>1</x:v>
      </x:c>
      <x:c r="P498" t="str">
        <x:v>legacy_common_sample_8902245</x:v>
      </x:c>
      <x:c r="Q498" s="74" t="n">
        <x:v>46211.17062405092</x:v>
      </x:c>
      <x:c r="R498" s="19" t="n">
        <x:v>8902245</x:v>
      </x:c>
      <x:c r="S498" t="str">
        <x:v>8f7e606554926462248cbcc654181861438ca768a0063f6b317223ede37d16fb</x:v>
      </x:c>
      <x:c r="T498" t="str">
        <x:v>factor_report/gtja191_batch/gtja_006/ic_summary.csv</x:v>
      </x:c>
    </x:row>
    <x:row r="499">
      <x:c r="A499" s="50" t="n">
        <x:f>IF($P499="legacy_common_sample_8902245",1+COUNTIFS($C$5:$C$546,$C499,$P$5:$P$546,"legacy_common_sample_8902245",$I$5:$I$546,"&gt;"&amp;$I499),"")</x:f>
        <x:v>139</x:v>
      </x:c>
      <x:c r="B499" t="str">
        <x:v>gtja_115</x:v>
      </x:c>
      <x:c r="C499" s="50" t="n">
        <x:v>20</x:v>
      </x:c>
      <x:c r="D499" t="str">
        <x:f>IF(E499&gt;=0,"positive","negative")</x:f>
        <x:v>positive</x:v>
      </x:c>
      <x:c r="E499" s="30" t="n">
        <x:v>0.012895301921902426</x:v>
      </x:c>
      <x:c r="F499" s="30" t="n">
        <x:f>ABS(E499)</x:f>
        <x:v>0.012895301921902426</x:v>
      </x:c>
      <x:c r="G499" s="30" t="n">
        <x:v>0.0644420066476776</x:v>
      </x:c>
      <x:c r="H499" s="30" t="n">
        <x:v>0.2001070822081105</x:v>
      </x:c>
      <x:c r="I499" s="30" t="n">
        <x:f>ABS(H499)</x:f>
        <x:v>0.2001070822081105</x:v>
      </x:c>
      <x:c r="J499" s="30" t="n">
        <x:v>0.5825340737001514</x:v>
      </x:c>
      <x:c r="K499" s="30" t="n">
        <x:v>0.005901347869941031</x:v>
      </x:c>
      <x:c r="L499" s="30" t="n">
        <x:v>0.11424912347910093</x:v>
      </x:c>
      <x:c r="M499" s="30" t="n">
        <x:v>0.5598182735991923</x:v>
      </x:c>
      <x:c r="N499" s="19" t="n">
        <x:v>1981</x:v>
      </x:c>
      <x:c r="O499" t="b">
        <x:f>P499="legacy_common_sample_8902245"</x:f>
        <x:v>1</x:v>
      </x:c>
      <x:c r="P499" t="str">
        <x:v>legacy_common_sample_8902245</x:v>
      </x:c>
      <x:c r="Q499" s="74" t="n">
        <x:v>46211.375733472225</x:v>
      </x:c>
      <x:c r="R499" s="19" t="n">
        <x:v>8902245</x:v>
      </x:c>
      <x:c r="S499" t="str">
        <x:v>8f7e606554926462248cbcc654181861438ca768a0063f6b317223ede37d16fb</x:v>
      </x:c>
      <x:c r="T499" t="str">
        <x:v>factor_report/gtja191_batch/gtja_115/ic_summary.csv</x:v>
      </x:c>
    </x:row>
    <x:row r="500">
      <x:c r="A500" s="50" t="n">
        <x:f>IF($P500="legacy_common_sample_8902245",1+COUNTIFS($C$5:$C$546,$C500,$P$5:$P$546,"legacy_common_sample_8902245",$I$5:$I$546,"&gt;"&amp;$I500),"")</x:f>
        <x:v>140</x:v>
      </x:c>
      <x:c r="B500" t="str">
        <x:v>gtja_188</x:v>
      </x:c>
      <x:c r="C500" s="50" t="n">
        <x:v>20</x:v>
      </x:c>
      <x:c r="D500" t="str">
        <x:f>IF(E500&gt;=0,"positive","negative")</x:f>
        <x:v>negative</x:v>
      </x:c>
      <x:c r="E500" s="30" t="n">
        <x:v>-0.01434776947407209</x:v>
      </x:c>
      <x:c r="F500" s="30" t="n">
        <x:f>ABS(E500)</x:f>
        <x:v>0.01434776947407209</x:v>
      </x:c>
      <x:c r="G500" s="30" t="n">
        <x:v>0.07312451200631714</x:v>
      </x:c>
      <x:c r="H500" s="30" t="n">
        <x:v>-0.19621012271278615</x:v>
      </x:c>
      <x:c r="I500" s="30" t="n">
        <x:f>ABS(H500)</x:f>
        <x:v>0.19621012271278615</x:v>
      </x:c>
      <x:c r="J500" s="30" t="n">
        <x:v>0.41847551741544675</x:v>
      </x:c>
      <x:c r="K500" s="30" t="n">
        <x:v>-0.015752269720334184</x:v>
      </x:c>
      <x:c r="L500" s="30" t="n">
        <x:v>-0.2704738989597908</x:v>
      </x:c>
      <x:c r="M500" s="30" t="n">
        <x:v>0.3801110550227158</x:v>
      </x:c>
      <x:c r="N500" s="19" t="n">
        <x:v>1981</x:v>
      </x:c>
      <x:c r="O500" t="b">
        <x:f>P500="legacy_common_sample_8902245"</x:f>
        <x:v>1</x:v>
      </x:c>
      <x:c r="P500" t="str">
        <x:v>legacy_common_sample_8902245</x:v>
      </x:c>
      <x:c r="Q500" s="74" t="n">
        <x:v>46211.55150134259</x:v>
      </x:c>
      <x:c r="R500" s="19" t="n">
        <x:v>8902245</x:v>
      </x:c>
      <x:c r="S500" t="str">
        <x:v>8f7e606554926462248cbcc654181861438ca768a0063f6b317223ede37d16fb</x:v>
      </x:c>
      <x:c r="T500" t="str">
        <x:v>factor_report/gtja191_batch/gtja_188/ic_summary.csv</x:v>
      </x:c>
    </x:row>
    <x:row r="501">
      <x:c r="A501" s="50" t="n">
        <x:f>IF($P501="legacy_common_sample_8902245",1+COUNTIFS($C$5:$C$546,$C501,$P$5:$P$546,"legacy_common_sample_8902245",$I$5:$I$546,"&gt;"&amp;$I501),"")</x:f>
        <x:v>141</x:v>
      </x:c>
      <x:c r="B501" t="str">
        <x:v>gtja_096</x:v>
      </x:c>
      <x:c r="C501" s="50" t="n">
        <x:v>20</x:v>
      </x:c>
      <x:c r="D501" t="str">
        <x:f>IF(E501&gt;=0,"positive","negative")</x:f>
        <x:v>negative</x:v>
      </x:c>
      <x:c r="E501" s="30" t="n">
        <x:v>-0.024734146091325928</x:v>
      </x:c>
      <x:c r="F501" s="30" t="n">
        <x:f>ABS(E501)</x:f>
        <x:v>0.024734146091325928</x:v>
      </x:c>
      <x:c r="G501" s="30" t="n">
        <x:v>0.1261525972250322</x:v>
      </x:c>
      <x:c r="H501" s="30" t="n">
        <x:v>-0.19606529421827856</x:v>
      </x:c>
      <x:c r="I501" s="30" t="n">
        <x:f>ABS(H501)</x:f>
        <x:v>0.19606529421827856</x:v>
      </x:c>
      <x:c r="J501" s="30" t="n">
        <x:v>0.44926804644119134</x:v>
      </x:c>
      <x:c r="K501" s="30" t="n">
        <x:v>-0.013362805894152022</x:v>
      </x:c>
      <x:c r="L501" s="30" t="n">
        <x:v>-0.12387441235259407</x:v>
      </x:c>
      <x:c r="M501" s="30" t="n">
        <x:v>0.46996466431095407</x:v>
      </x:c>
      <x:c r="N501" s="19" t="n">
        <x:v>1981</x:v>
      </x:c>
      <x:c r="O501" t="b">
        <x:f>P501="legacy_common_sample_8902245"</x:f>
        <x:v>1</x:v>
      </x:c>
      <x:c r="P501" t="str">
        <x:v>legacy_common_sample_8902245</x:v>
      </x:c>
      <x:c r="Q501" s="74" t="n">
        <x:v>46211.3433033912</x:v>
      </x:c>
      <x:c r="R501" s="19" t="n">
        <x:v>8902245</x:v>
      </x:c>
      <x:c r="S501" t="str">
        <x:v>8f7e606554926462248cbcc654181861438ca768a0063f6b317223ede37d16fb</x:v>
      </x:c>
      <x:c r="T501" t="str">
        <x:v>factor_report/gtja191_batch/gtja_096/ic_summary.csv</x:v>
      </x:c>
    </x:row>
    <x:row r="502">
      <x:c r="A502" s="50" t="n">
        <x:f>IF($P502="legacy_common_sample_8902245",1+COUNTIFS($C$5:$C$546,$C502,$P$5:$P$546,"legacy_common_sample_8902245",$I$5:$I$546,"&gt;"&amp;$I502),"")</x:f>
        <x:v>142</x:v>
      </x:c>
      <x:c r="B502" t="str">
        <x:v>gtja_072</x:v>
      </x:c>
      <x:c r="C502" s="50" t="n">
        <x:v>20</x:v>
      </x:c>
      <x:c r="D502" t="str">
        <x:f>IF(E502&gt;=0,"positive","negative")</x:f>
        <x:v>positive</x:v>
      </x:c>
      <x:c r="E502" s="30" t="n">
        <x:v>0.0259470444569019</x:v>
      </x:c>
      <x:c r="F502" s="30" t="n">
        <x:f>ABS(E502)</x:f>
        <x:v>0.0259470444569019</x:v>
      </x:c>
      <x:c r="G502" s="30" t="n">
        <x:v>0.13337445599066247</x:v>
      </x:c>
      <x:c r="H502" s="30" t="n">
        <x:v>0.1945428325399764</x:v>
      </x:c>
      <x:c r="I502" s="30" t="n">
        <x:f>ABS(H502)</x:f>
        <x:v>0.1945428325399764</x:v>
      </x:c>
      <x:c r="J502" s="30" t="n">
        <x:v>0.5381120646138314</x:v>
      </x:c>
      <x:c r="K502" s="30" t="n">
        <x:v>0.012111267451322866</x:v>
      </x:c>
      <x:c r="L502" s="30" t="n">
        <x:v>0.10466200506140423</x:v>
      </x:c>
      <x:c r="M502" s="30" t="n">
        <x:v>0.5007571933366987</x:v>
      </x:c>
      <x:c r="N502" s="19" t="n">
        <x:v>1981</x:v>
      </x:c>
      <x:c r="O502" t="b">
        <x:f>P502="legacy_common_sample_8902245"</x:f>
        <x:v>1</x:v>
      </x:c>
      <x:c r="P502" t="str">
        <x:v>legacy_common_sample_8902245</x:v>
      </x:c>
      <x:c r="Q502" s="74" t="n">
        <x:v>46211.29907770833</x:v>
      </x:c>
      <x:c r="R502" s="19" t="n">
        <x:v>8902245</x:v>
      </x:c>
      <x:c r="S502" t="str">
        <x:v>8f7e606554926462248cbcc654181861438ca768a0063f6b317223ede37d16fb</x:v>
      </x:c>
      <x:c r="T502" t="str">
        <x:v>factor_report/gtja191_batch/gtja_072/ic_summary.csv</x:v>
      </x:c>
    </x:row>
    <x:row r="503">
      <x:c r="A503" s="50" t="n">
        <x:f>IF($P503="legacy_common_sample_8902245",1+COUNTIFS($C$5:$C$546,$C503,$P$5:$P$546,"legacy_common_sample_8902245",$I$5:$I$546,"&gt;"&amp;$I503),"")</x:f>
        <x:v>143</x:v>
      </x:c>
      <x:c r="B503" t="str">
        <x:v>gtja_047</x:v>
      </x:c>
      <x:c r="C503" s="50" t="n">
        <x:v>20</x:v>
      </x:c>
      <x:c r="D503" t="str">
        <x:f>IF(E503&gt;=0,"positive","negative")</x:f>
        <x:v>positive</x:v>
      </x:c>
      <x:c r="E503" s="30" t="n">
        <x:v>0.024927053410138605</x:v>
      </x:c>
      <x:c r="F503" s="30" t="n">
        <x:f>ABS(E503)</x:f>
        <x:v>0.024927053410138605</x:v>
      </x:c>
      <x:c r="G503" s="30" t="n">
        <x:v>0.12964249137038794</x:v>
      </x:c>
      <x:c r="H503" s="30" t="n">
        <x:v>0.1922753346271489</x:v>
      </x:c>
      <x:c r="I503" s="30" t="n">
        <x:f>ABS(H503)</x:f>
        <x:v>0.1922753346271489</x:v>
      </x:c>
      <x:c r="J503" s="30" t="n">
        <x:v>0.547198384654215</x:v>
      </x:c>
      <x:c r="K503" s="30" t="n">
        <x:v>0.012795591607391684</x:v>
      </x:c>
      <x:c r="L503" s="30" t="n">
        <x:v>0.1145115040371046</x:v>
      </x:c>
      <x:c r="M503" s="30" t="n">
        <x:v>0.5073195355880868</x:v>
      </x:c>
      <x:c r="N503" s="19" t="n">
        <x:v>1981</x:v>
      </x:c>
      <x:c r="O503" t="b">
        <x:f>P503="legacy_common_sample_8902245"</x:f>
        <x:v>1</x:v>
      </x:c>
      <x:c r="P503" t="str">
        <x:v>legacy_common_sample_8902245</x:v>
      </x:c>
      <x:c r="Q503" s="74" t="n">
        <x:v>46211.27178611111</x:v>
      </x:c>
      <x:c r="R503" s="19" t="n">
        <x:v>8902245</x:v>
      </x:c>
      <x:c r="S503" t="str">
        <x:v>8f7e606554926462248cbcc654181861438ca768a0063f6b317223ede37d16fb</x:v>
      </x:c>
      <x:c r="T503" t="str">
        <x:v>factor_report/gtja191_batch/gtja_047/ic_summary.csv</x:v>
      </x:c>
    </x:row>
    <x:row r="504">
      <x:c r="A504" s="50" t="n">
        <x:f>IF($P504="legacy_common_sample_8902245",1+COUNTIFS($C$5:$C$546,$C504,$P$5:$P$546,"legacy_common_sample_8902245",$I$5:$I$546,"&gt;"&amp;$I504),"")</x:f>
        <x:v>144</x:v>
      </x:c>
      <x:c r="B504" t="str">
        <x:v>gtja_044</x:v>
      </x:c>
      <x:c r="C504" s="50" t="n">
        <x:v>20</x:v>
      </x:c>
      <x:c r="D504" t="str">
        <x:f>IF(E504&gt;=0,"positive","negative")</x:f>
        <x:v>negative</x:v>
      </x:c>
      <x:c r="E504" s="30" t="n">
        <x:v>-0.015000810899272576</x:v>
      </x:c>
      <x:c r="F504" s="30" t="n">
        <x:f>ABS(E504)</x:f>
        <x:v>0.015000810899272576</x:v>
      </x:c>
      <x:c r="G504" s="30" t="n">
        <x:v>0.07836058647670587</x:v>
      </x:c>
      <x:c r="H504" s="30" t="n">
        <x:v>-0.1914331116412949</x:v>
      </x:c>
      <x:c r="I504" s="30" t="n">
        <x:f>ABS(H504)</x:f>
        <x:v>0.1914331116412949</x:v>
      </x:c>
      <x:c r="J504" s="30" t="n">
        <x:v>0.41898031297324584</x:v>
      </x:c>
      <x:c r="K504" s="30" t="n">
        <x:v>-0.011231177464904978</x:v>
      </x:c>
      <x:c r="L504" s="30" t="n">
        <x:v>-0.1717604135964522</x:v>
      </x:c>
      <x:c r="M504" s="30" t="n">
        <x:v>0.42806663301362946</x:v>
      </x:c>
      <x:c r="N504" s="19" t="n">
        <x:v>1981</x:v>
      </x:c>
      <x:c r="O504" t="b">
        <x:f>P504="legacy_common_sample_8902245"</x:f>
        <x:v>1</x:v>
      </x:c>
      <x:c r="P504" t="str">
        <x:v>legacy_common_sample_8902245</x:v>
      </x:c>
      <x:c r="Q504" s="74" t="n">
        <x:v>46211.262911157406</x:v>
      </x:c>
      <x:c r="R504" s="19" t="n">
        <x:v>8902245</x:v>
      </x:c>
      <x:c r="S504" t="str">
        <x:v>8f7e606554926462248cbcc654181861438ca768a0063f6b317223ede37d16fb</x:v>
      </x:c>
      <x:c r="T504" t="str">
        <x:v>factor_report/gtja191_batch/gtja_044/ic_summary.csv</x:v>
      </x:c>
    </x:row>
    <x:row r="505">
      <x:c r="A505" s="50" t="n">
        <x:f>IF($P505="legacy_common_sample_8902245",1+COUNTIFS($C$5:$C$546,$C505,$P$5:$P$546,"legacy_common_sample_8902245",$I$5:$I$546,"&gt;"&amp;$I505),"")</x:f>
        <x:v>145</x:v>
      </x:c>
      <x:c r="B505" t="str">
        <x:v>gtja_155</x:v>
      </x:c>
      <x:c r="C505" s="50" t="n">
        <x:v>20</x:v>
      </x:c>
      <x:c r="D505" t="str">
        <x:f>IF(E505&gt;=0,"positive","negative")</x:f>
        <x:v>negative</x:v>
      </x:c>
      <x:c r="E505" s="30" t="n">
        <x:v>-0.014456809730245502</x:v>
      </x:c>
      <x:c r="F505" s="30" t="n">
        <x:f>ABS(E505)</x:f>
        <x:v>0.014456809730245502</x:v>
      </x:c>
      <x:c r="G505" s="30" t="n">
        <x:v>0.07603418993094509</x:v>
      </x:c>
      <x:c r="H505" s="30" t="n">
        <x:v>-0.19013564481156836</x:v>
      </x:c>
      <x:c r="I505" s="30" t="n">
        <x:f>ABS(H505)</x:f>
        <x:v>0.19013564481156836</x:v>
      </x:c>
      <x:c r="J505" s="30" t="n">
        <x:v>0.42453306410903585</x:v>
      </x:c>
      <x:c r="K505" s="30" t="n">
        <x:v>-0.012354864220983816</x:v>
      </x:c>
      <x:c r="L505" s="30" t="n">
        <x:v>-0.24891608238252375</x:v>
      </x:c>
      <x:c r="M505" s="30" t="n">
        <x:v>0.41191317516405856</x:v>
      </x:c>
      <x:c r="N505" s="19" t="n">
        <x:v>1981</x:v>
      </x:c>
      <x:c r="O505" t="b">
        <x:f>P505="legacy_common_sample_8902245"</x:f>
        <x:v>1</x:v>
      </x:c>
      <x:c r="P505" t="str">
        <x:v>legacy_common_sample_8902245</x:v>
      </x:c>
      <x:c r="Q505" s="74" t="n">
        <x:v>46211.49922533565</x:v>
      </x:c>
      <x:c r="R505" s="19" t="n">
        <x:v>8902245</x:v>
      </x:c>
      <x:c r="S505" t="str">
        <x:v>8f7e606554926462248cbcc654181861438ca768a0063f6b317223ede37d16fb</x:v>
      </x:c>
      <x:c r="T505" t="str">
        <x:v>factor_report/gtja191_batch/gtja_155/ic_summary.csv</x:v>
      </x:c>
    </x:row>
    <x:row r="506">
      <x:c r="A506" s="50" t="n">
        <x:f>IF($P506="legacy_common_sample_8902245",1+COUNTIFS($C$5:$C$546,$C506,$P$5:$P$546,"legacy_common_sample_8902245",$I$5:$I$546,"&gt;"&amp;$I506),"")</x:f>
        <x:v>146</x:v>
      </x:c>
      <x:c r="B506" t="str">
        <x:v>gtja_057</x:v>
      </x:c>
      <x:c r="C506" s="50" t="n">
        <x:v>20</x:v>
      </x:c>
      <x:c r="D506" t="str">
        <x:f>IF(E506&gt;=0,"positive","negative")</x:f>
        <x:v>negative</x:v>
      </x:c>
      <x:c r="E506" s="30" t="n">
        <x:v>-0.023146052466604495</x:v>
      </x:c>
      <x:c r="F506" s="30" t="n">
        <x:f>ABS(E506)</x:f>
        <x:v>0.023146052466604495</x:v>
      </x:c>
      <x:c r="G506" s="30" t="n">
        <x:v>0.12507826248836443</x:v>
      </x:c>
      <x:c r="H506" s="30" t="n">
        <x:v>-0.18505255834328277</x:v>
      </x:c>
      <x:c r="I506" s="30" t="n">
        <x:f>ABS(H506)</x:f>
        <x:v>0.18505255834328277</x:v>
      </x:c>
      <x:c r="J506" s="30" t="n">
        <x:v>0.4548207975769813</x:v>
      </x:c>
      <x:c r="K506" s="30" t="n">
        <x:v>-0.01356410918189636</x:v>
      </x:c>
      <x:c r="L506" s="30" t="n">
        <x:v>-0.12719219428592607</x:v>
      </x:c>
      <x:c r="M506" s="30" t="n">
        <x:v>0.4729934376577486</x:v>
      </x:c>
      <x:c r="N506" s="19" t="n">
        <x:v>1981</x:v>
      </x:c>
      <x:c r="O506" t="b">
        <x:f>P506="legacy_common_sample_8902245"</x:f>
        <x:v>1</x:v>
      </x:c>
      <x:c r="P506" t="str">
        <x:v>legacy_common_sample_8902245</x:v>
      </x:c>
      <x:c r="Q506" s="74" t="n">
        <x:v>46211.28466986111</x:v>
      </x:c>
      <x:c r="R506" s="19" t="n">
        <x:v>8902245</x:v>
      </x:c>
      <x:c r="S506" t="str">
        <x:v>8f7e606554926462248cbcc654181861438ca768a0063f6b317223ede37d16fb</x:v>
      </x:c>
      <x:c r="T506" t="str">
        <x:v>factor_report/gtja191_batch/gtja_057/ic_summary.csv</x:v>
      </x:c>
    </x:row>
    <x:row r="507">
      <x:c r="A507" s="50" t="n">
        <x:f>IF($P507="legacy_common_sample_8902245",1+COUNTIFS($C$5:$C$546,$C507,$P$5:$P$546,"legacy_common_sample_8902245",$I$5:$I$546,"&gt;"&amp;$I507),"")</x:f>
        <x:v>147</x:v>
      </x:c>
      <x:c r="B507" t="str">
        <x:v>gtja_045</x:v>
      </x:c>
      <x:c r="C507" s="50" t="n">
        <x:v>20</x:v>
      </x:c>
      <x:c r="D507" t="str">
        <x:f>IF(E507&gt;=0,"positive","negative")</x:f>
        <x:v>negative</x:v>
      </x:c>
      <x:c r="E507" s="30" t="n">
        <x:v>-0.017380649409067202</x:v>
      </x:c>
      <x:c r="F507" s="30" t="n">
        <x:f>ABS(E507)</x:f>
        <x:v>0.017380649409067202</x:v>
      </x:c>
      <x:c r="G507" s="30" t="n">
        <x:v>0.09407688648154605</x:v>
      </x:c>
      <x:c r="H507" s="30" t="n">
        <x:v>-0.1847494114558793</x:v>
      </x:c>
      <x:c r="I507" s="30" t="n">
        <x:f>ABS(H507)</x:f>
        <x:v>0.1847494114558793</x:v>
      </x:c>
      <x:c r="J507" s="30" t="n">
        <x:v>0.4349680170575693</x:v>
      </x:c>
      <x:c r="K507" s="30" t="n">
        <x:v>-0.021087466652125558</x:v>
      </x:c>
      <x:c r="L507" s="30" t="n">
        <x:v>-0.2651833893982244</x:v>
      </x:c>
      <x:c r="M507" s="30" t="n">
        <x:v>0.3843283582089552</x:v>
      </x:c>
      <x:c r="N507" s="19" t="n">
        <x:v>1876</x:v>
      </x:c>
      <x:c r="O507" t="b">
        <x:f>P507="legacy_common_sample_8902245"</x:f>
        <x:v>1</x:v>
      </x:c>
      <x:c r="P507" t="str">
        <x:v>legacy_common_sample_8902245</x:v>
      </x:c>
      <x:c r="Q507" s="74" t="n">
        <x:v>46211.26636591435</x:v>
      </x:c>
      <x:c r="R507" s="19" t="n">
        <x:v>8902245</x:v>
      </x:c>
      <x:c r="S507" t="str">
        <x:v>8f7e606554926462248cbcc654181861438ca768a0063f6b317223ede37d16fb</x:v>
      </x:c>
      <x:c r="T507" t="str">
        <x:v>factor_report/gtja191_batch/gtja_045/ic_summary.csv</x:v>
      </x:c>
    </x:row>
    <x:row r="508">
      <x:c r="A508" s="50" t="n">
        <x:f>IF($P508="legacy_common_sample_8902245",1+COUNTIFS($C$5:$C$546,$C508,$P$5:$P$546,"legacy_common_sample_8902245",$I$5:$I$546,"&gt;"&amp;$I508),"")</x:f>
        <x:v>148</x:v>
      </x:c>
      <x:c r="B508" t="str">
        <x:v>gtja_082</x:v>
      </x:c>
      <x:c r="C508" s="50" t="n">
        <x:v>20</x:v>
      </x:c>
      <x:c r="D508" t="str">
        <x:f>IF(E508&gt;=0,"positive","negative")</x:f>
        <x:v>positive</x:v>
      </x:c>
      <x:c r="E508" s="30" t="n">
        <x:v>0.024805974874621117</x:v>
      </x:c>
      <x:c r="F508" s="30" t="n">
        <x:f>ABS(E508)</x:f>
        <x:v>0.024805974874621117</x:v>
      </x:c>
      <x:c r="G508" s="30" t="n">
        <x:v>0.13499841269894594</x:v>
      </x:c>
      <x:c r="H508" s="30" t="n">
        <x:v>0.1837501225287725</x:v>
      </x:c>
      <x:c r="I508" s="30" t="n">
        <x:f>ABS(H508)</x:f>
        <x:v>0.1837501225287725</x:v>
      </x:c>
      <x:c r="J508" s="30" t="n">
        <x:v>0.5310449268046441</x:v>
      </x:c>
      <x:c r="K508" s="30" t="n">
        <x:v>0.010907924013598478</x:v>
      </x:c>
      <x:c r="L508" s="30" t="n">
        <x:v>0.09314091217533248</x:v>
      </x:c>
      <x:c r="M508" s="30" t="n">
        <x:v>0.49217566885411407</x:v>
      </x:c>
      <x:c r="N508" s="19" t="n">
        <x:v>1981</x:v>
      </x:c>
      <x:c r="O508" t="b">
        <x:f>P508="legacy_common_sample_8902245"</x:f>
        <x:v>1</x:v>
      </x:c>
      <x:c r="P508" t="str">
        <x:v>legacy_common_sample_8902245</x:v>
      </x:c>
      <x:c r="Q508" s="74" t="n">
        <x:v>46211.314943969905</x:v>
      </x:c>
      <x:c r="R508" s="19" t="n">
        <x:v>8902245</x:v>
      </x:c>
      <x:c r="S508" t="str">
        <x:v>8f7e606554926462248cbcc654181861438ca768a0063f6b317223ede37d16fb</x:v>
      </x:c>
      <x:c r="T508" t="str">
        <x:v>factor_report/gtja191_batch/gtja_082/ic_summary.csv</x:v>
      </x:c>
    </x:row>
    <x:row r="509">
      <x:c r="A509" s="50" t="n">
        <x:f>IF($P509="legacy_common_sample_8902245",1+COUNTIFS($C$5:$C$546,$C509,$P$5:$P$546,"legacy_common_sample_8902245",$I$5:$I$546,"&gt;"&amp;$I509),"")</x:f>
        <x:v>149</x:v>
      </x:c>
      <x:c r="B509" t="str">
        <x:v>gtja_076</x:v>
      </x:c>
      <x:c r="C509" s="50" t="n">
        <x:v>20</x:v>
      </x:c>
      <x:c r="D509" t="str">
        <x:f>IF(E509&gt;=0,"positive","negative")</x:f>
        <x:v>negative</x:v>
      </x:c>
      <x:c r="E509" s="30" t="n">
        <x:v>-0.01015491091355887</x:v>
      </x:c>
      <x:c r="F509" s="30" t="n">
        <x:f>ABS(E509)</x:f>
        <x:v>0.01015491091355887</x:v>
      </x:c>
      <x:c r="G509" s="30" t="n">
        <x:v>0.06031731953262023</x:v>
      </x:c>
      <x:c r="H509" s="30" t="n">
        <x:v>-0.16835812652561574</x:v>
      </x:c>
      <x:c r="I509" s="30" t="n">
        <x:f>ABS(H509)</x:f>
        <x:v>0.16835812652561574</x:v>
      </x:c>
      <x:c r="J509" s="30" t="n">
        <x:v>0.4093891973750631</x:v>
      </x:c>
      <x:c r="K509" s="30" t="n">
        <x:v>-0.011159217411926086</x:v>
      </x:c>
      <x:c r="L509" s="30" t="n">
        <x:v>-0.2184462365684002</x:v>
      </x:c>
      <x:c r="M509" s="30" t="n">
        <x:v>0.39727410398788493</x:v>
      </x:c>
      <x:c r="N509" s="19" t="n">
        <x:v>1981</x:v>
      </x:c>
      <x:c r="O509" t="b">
        <x:f>P509="legacy_common_sample_8902245"</x:f>
        <x:v>1</x:v>
      </x:c>
      <x:c r="P509" t="str">
        <x:v>legacy_common_sample_8902245</x:v>
      </x:c>
      <x:c r="Q509" s="74" t="n">
        <x:v>46211.30655486111</x:v>
      </x:c>
      <x:c r="R509" s="19" t="n">
        <x:v>8902245</x:v>
      </x:c>
      <x:c r="S509" t="str">
        <x:v>8f7e606554926462248cbcc654181861438ca768a0063f6b317223ede37d16fb</x:v>
      </x:c>
      <x:c r="T509" t="str">
        <x:v>factor_report/gtja191_batch/gtja_076/ic_summary.csv</x:v>
      </x:c>
    </x:row>
    <x:row r="510">
      <x:c r="A510" s="50" t="n">
        <x:f>IF($P510="legacy_common_sample_8902245",1+COUNTIFS($C$5:$C$546,$C510,$P$5:$P$546,"legacy_common_sample_8902245",$I$5:$I$546,"&gt;"&amp;$I510),"")</x:f>
        <x:v>150</x:v>
      </x:c>
      <x:c r="B510" t="str">
        <x:v>gtja_131</x:v>
      </x:c>
      <x:c r="C510" s="50" t="n">
        <x:v>20</x:v>
      </x:c>
      <x:c r="D510" t="str">
        <x:f>IF(E510&gt;=0,"positive","negative")</x:f>
        <x:v>negative</x:v>
      </x:c>
      <x:c r="E510" s="30" t="n">
        <x:v>-0.01601436357634598</x:v>
      </x:c>
      <x:c r="F510" s="30" t="n">
        <x:f>ABS(E510)</x:f>
        <x:v>0.01601436357634598</x:v>
      </x:c>
      <x:c r="G510" s="30" t="n">
        <x:v>0.09665899196007952</x:v>
      </x:c>
      <x:c r="H510" s="30" t="n">
        <x:v>-0.16567898393726233</x:v>
      </x:c>
      <x:c r="I510" s="30" t="n">
        <x:f>ABS(H510)</x:f>
        <x:v>0.16567898393726233</x:v>
      </x:c>
      <x:c r="J510" s="30" t="n">
        <x:v>0.43098159509202455</x:v>
      </x:c>
      <x:c r="K510" s="30" t="n">
        <x:v>-0.0015775666776282457</x:v>
      </x:c>
      <x:c r="L510" s="30" t="n">
        <x:v>-0.019566177619391688</x:v>
      </x:c>
      <x:c r="M510" s="30" t="n">
        <x:v>0.49284253578732107</x:v>
      </x:c>
      <x:c r="N510" s="19" t="n">
        <x:v>1956</x:v>
      </x:c>
      <x:c r="O510" t="b">
        <x:f>P510="legacy_common_sample_8902245"</x:f>
        <x:v>1</x:v>
      </x:c>
      <x:c r="P510" t="str">
        <x:v>legacy_common_sample_8902245</x:v>
      </x:c>
      <x:c r="Q510" s="74" t="n">
        <x:v>46211.42457349537</x:v>
      </x:c>
      <x:c r="R510" s="19" t="n">
        <x:v>8902245</x:v>
      </x:c>
      <x:c r="S510" t="str">
        <x:v>8f7e606554926462248cbcc654181861438ca768a0063f6b317223ede37d16fb</x:v>
      </x:c>
      <x:c r="T510" t="str">
        <x:v>factor_report/gtja191_batch/gtja_131/ic_summary.csv</x:v>
      </x:c>
    </x:row>
    <x:row r="511">
      <x:c r="A511" s="50" t="n">
        <x:f>IF($P511="legacy_common_sample_8902245",1+COUNTIFS($C$5:$C$546,$C511,$P$5:$P$546,"legacy_common_sample_8902245",$I$5:$I$546,"&gt;"&amp;$I511),"")</x:f>
        <x:v>151</x:v>
      </x:c>
      <x:c r="B511" t="str">
        <x:v>gtja_180</x:v>
      </x:c>
      <x:c r="C511" s="50" t="n">
        <x:v>20</x:v>
      </x:c>
      <x:c r="D511" t="str">
        <x:f>IF(E511&gt;=0,"positive","negative")</x:f>
        <x:v>positive</x:v>
      </x:c>
      <x:c r="E511" s="30" t="n">
        <x:v>0.011468082114046265</x:v>
      </x:c>
      <x:c r="F511" s="30" t="n">
        <x:f>ABS(E511)</x:f>
        <x:v>0.011468082114046265</x:v>
      </x:c>
      <x:c r="G511" s="30" t="n">
        <x:v>0.07368641640340497</x:v>
      </x:c>
      <x:c r="H511" s="30" t="n">
        <x:v>0.1556335980740724</x:v>
      </x:c>
      <x:c r="I511" s="30" t="n">
        <x:f>ABS(H511)</x:f>
        <x:v>0.1556335980740724</x:v>
      </x:c>
      <x:c r="J511" s="30" t="n">
        <x:v>0.5729429581019687</x:v>
      </x:c>
      <x:c r="K511" s="30" t="n">
        <x:v>0.015343773388232779</x:v>
      </x:c>
      <x:c r="L511" s="30" t="n">
        <x:v>0.2670312305736583</x:v>
      </x:c>
      <x:c r="M511" s="30" t="n">
        <x:v>0.6400807672892479</x:v>
      </x:c>
      <x:c r="N511" s="19" t="n">
        <x:v>1981</x:v>
      </x:c>
      <x:c r="O511" t="b">
        <x:f>P511="legacy_common_sample_8902245"</x:f>
        <x:v>1</x:v>
      </x:c>
      <x:c r="P511" t="str">
        <x:v>legacy_common_sample_8902245</x:v>
      </x:c>
      <x:c r="Q511" s="74" t="n">
        <x:v>46211.53854369213</x:v>
      </x:c>
      <x:c r="R511" s="19" t="n">
        <x:v>8902245</x:v>
      </x:c>
      <x:c r="S511" t="str">
        <x:v>8f7e606554926462248cbcc654181861438ca768a0063f6b317223ede37d16fb</x:v>
      </x:c>
      <x:c r="T511" t="str">
        <x:v>factor_report/gtja191_batch/gtja_180/ic_summary.csv</x:v>
      </x:c>
    </x:row>
    <x:row r="512">
      <x:c r="A512" s="50" t="n">
        <x:f>IF($P512="legacy_common_sample_8902245",1+COUNTIFS($C$5:$C$546,$C512,$P$5:$P$546,"legacy_common_sample_8902245",$I$5:$I$546,"&gt;"&amp;$I512),"")</x:f>
        <x:v>152</x:v>
      </x:c>
      <x:c r="B512" t="str">
        <x:v>gtja_011</x:v>
      </x:c>
      <x:c r="C512" s="50" t="n">
        <x:v>20</x:v>
      </x:c>
      <x:c r="D512" t="str">
        <x:f>IF(E512&gt;=0,"positive","negative")</x:f>
        <x:v>negative</x:v>
      </x:c>
      <x:c r="E512" s="30" t="n">
        <x:v>-0.01376007623230903</x:v>
      </x:c>
      <x:c r="F512" s="30" t="n">
        <x:f>ABS(E512)</x:f>
        <x:v>0.01376007623230903</x:v>
      </x:c>
      <x:c r="G512" s="30" t="n">
        <x:v>0.09070935946200924</x:v>
      </x:c>
      <x:c r="H512" s="30" t="n">
        <x:v>-0.15169411749701533</x:v>
      </x:c>
      <x:c r="I512" s="30" t="n">
        <x:f>ABS(H512)</x:f>
        <x:v>0.15169411749701533</x:v>
      </x:c>
      <x:c r="J512" s="30" t="n">
        <x:v>0.4634023220595659</x:v>
      </x:c>
      <x:c r="K512" s="30" t="n">
        <x:v>-0.010507955202081587</x:v>
      </x:c>
      <x:c r="L512" s="30" t="n">
        <x:v>-0.19603025381290837</x:v>
      </x:c>
      <x:c r="M512" s="30" t="n">
        <x:v>0.43059061080262495</x:v>
      </x:c>
      <x:c r="N512" s="19" t="n">
        <x:v>1981</x:v>
      </x:c>
      <x:c r="O512" t="b">
        <x:f>P512="legacy_common_sample_8902245"</x:f>
        <x:v>1</x:v>
      </x:c>
      <x:c r="P512" t="str">
        <x:v>legacy_common_sample_8902245</x:v>
      </x:c>
      <x:c r="Q512" s="74" t="n">
        <x:v>46211.181871574074</x:v>
      </x:c>
      <x:c r="R512" s="19" t="n">
        <x:v>8902245</x:v>
      </x:c>
      <x:c r="S512" t="str">
        <x:v>8f7e606554926462248cbcc654181861438ca768a0063f6b317223ede37d16fb</x:v>
      </x:c>
      <x:c r="T512" t="str">
        <x:v>factor_report/gtja191_batch/gtja_011/ic_summary.csv</x:v>
      </x:c>
    </x:row>
    <x:row r="513">
      <x:c r="A513" s="50" t="n">
        <x:f>IF($P513="legacy_common_sample_8902245",1+COUNTIFS($C$5:$C$546,$C513,$P$5:$P$546,"legacy_common_sample_8902245",$I$5:$I$546,"&gt;"&amp;$I513),"")</x:f>
        <x:v>153</x:v>
      </x:c>
      <x:c r="B513" t="str">
        <x:v>gtja_037</x:v>
      </x:c>
      <x:c r="C513" s="50" t="n">
        <x:v>20</x:v>
      </x:c>
      <x:c r="D513" t="str">
        <x:f>IF(E513&gt;=0,"positive","negative")</x:f>
        <x:v>positive</x:v>
      </x:c>
      <x:c r="E513" s="30" t="n">
        <x:v>0.0168715826501612</x:v>
      </x:c>
      <x:c r="F513" s="30" t="n">
        <x:f>ABS(E513)</x:f>
        <x:v>0.0168715826501612</x:v>
      </x:c>
      <x:c r="G513" s="30" t="n">
        <x:v>0.11276766820437169</x:v>
      </x:c>
      <x:c r="H513" s="30" t="n">
        <x:v>0.1496136518455308</x:v>
      </x:c>
      <x:c r="I513" s="30" t="n">
        <x:f>ABS(H513)</x:f>
        <x:v>0.1496136518455308</x:v>
      </x:c>
      <x:c r="J513" s="30" t="n">
        <x:v>0.5593134780413932</x:v>
      </x:c>
      <x:c r="K513" s="30" t="n">
        <x:v>0.012148422109670043</x:v>
      </x:c>
      <x:c r="L513" s="30" t="n">
        <x:v>0.12744610519562308</x:v>
      </x:c>
      <x:c r="M513" s="30" t="n">
        <x:v>0.5396264512872286</x:v>
      </x:c>
      <x:c r="N513" s="19" t="n">
        <x:v>1981</x:v>
      </x:c>
      <x:c r="O513" t="b">
        <x:f>P513="legacy_common_sample_8902245"</x:f>
        <x:v>1</x:v>
      </x:c>
      <x:c r="P513" t="str">
        <x:v>legacy_common_sample_8902245</x:v>
      </x:c>
      <x:c r="Q513" s="74" t="n">
        <x:v>46211.237209722225</x:v>
      </x:c>
      <x:c r="R513" s="19" t="n">
        <x:v>8902245</x:v>
      </x:c>
      <x:c r="S513" t="str">
        <x:v>8f7e606554926462248cbcc654181861438ca768a0063f6b317223ede37d16fb</x:v>
      </x:c>
      <x:c r="T513" t="str">
        <x:v>factor_report/gtja191_batch/gtja_037/ic_summary.csv</x:v>
      </x:c>
    </x:row>
    <x:row r="514">
      <x:c r="A514" s="50" t="n">
        <x:f>IF($P514="legacy_common_sample_8902245",1+COUNTIFS($C$5:$C$546,$C514,$P$5:$P$546,"legacy_common_sample_8902245",$I$5:$I$546,"&gt;"&amp;$I514),"")</x:f>
        <x:v>154</x:v>
      </x:c>
      <x:c r="B514" t="str">
        <x:v>gtja_104</x:v>
      </x:c>
      <x:c r="C514" s="50" t="n">
        <x:v>20</x:v>
      </x:c>
      <x:c r="D514" t="str">
        <x:f>IF(E514&gt;=0,"positive","negative")</x:f>
        <x:v>positive</x:v>
      </x:c>
      <x:c r="E514" s="30" t="n">
        <x:v>0.007791365466936186</x:v>
      </x:c>
      <x:c r="F514" s="30" t="n">
        <x:f>ABS(E514)</x:f>
        <x:v>0.007791365466936186</x:v>
      </x:c>
      <x:c r="G514" s="30" t="n">
        <x:v>0.05490881430977608</x:v>
      </x:c>
      <x:c r="H514" s="30" t="n">
        <x:v>0.14189644349229727</x:v>
      </x:c>
      <x:c r="I514" s="30" t="n">
        <x:f>ABS(H514)</x:f>
        <x:v>0.14189644349229727</x:v>
      </x:c>
      <x:c r="J514" s="30" t="n">
        <x:v>0.5739525492175669</x:v>
      </x:c>
      <x:c r="K514" s="30" t="n">
        <x:v>0.0043717867857987315</x:v>
      </x:c>
      <x:c r="L514" s="30" t="n">
        <x:v>0.10010130745756136</x:v>
      </x:c>
      <x:c r="M514" s="30" t="n">
        <x:v>0.5259969712266532</x:v>
      </x:c>
      <x:c r="N514" s="19" t="n">
        <x:v>1981</x:v>
      </x:c>
      <x:c r="O514" t="b">
        <x:f>P514="legacy_common_sample_8902245"</x:f>
        <x:v>1</x:v>
      </x:c>
      <x:c r="P514" t="str">
        <x:v>legacy_common_sample_8902245</x:v>
      </x:c>
      <x:c r="Q514" s="74" t="n">
        <x:v>46211.35578873842</x:v>
      </x:c>
      <x:c r="R514" s="19" t="n">
        <x:v>8902245</x:v>
      </x:c>
      <x:c r="S514" t="str">
        <x:v>8f7e606554926462248cbcc654181861438ca768a0063f6b317223ede37d16fb</x:v>
      </x:c>
      <x:c r="T514" t="str">
        <x:v>factor_report/gtja191_batch/gtja_104/ic_summary.csv</x:v>
      </x:c>
    </x:row>
    <x:row r="515">
      <x:c r="A515" s="50" t="n">
        <x:f>IF($P515="legacy_common_sample_8902245",1+COUNTIFS($C$5:$C$546,$C515,$P$5:$P$546,"legacy_common_sample_8902245",$I$5:$I$546,"&gt;"&amp;$I515),"")</x:f>
        <x:v>155</x:v>
      </x:c>
      <x:c r="B515" t="str">
        <x:v>gtja_125</x:v>
      </x:c>
      <x:c r="C515" s="50" t="n">
        <x:v>20</x:v>
      </x:c>
      <x:c r="D515" t="str">
        <x:f>IF(E515&gt;=0,"positive","negative")</x:f>
        <x:v>positive</x:v>
      </x:c>
      <x:c r="E515" s="30" t="n">
        <x:v>0.013164239622034054</x:v>
      </x:c>
      <x:c r="F515" s="30" t="n">
        <x:f>ABS(E515)</x:f>
        <x:v>0.013164239622034054</x:v>
      </x:c>
      <x:c r="G515" s="30" t="n">
        <x:v>0.09340038588090052</x:v>
      </x:c>
      <x:c r="H515" s="30" t="n">
        <x:v>0.1409441673915612</x:v>
      </x:c>
      <x:c r="I515" s="30" t="n">
        <x:f>ABS(H515)</x:f>
        <x:v>0.1409441673915612</x:v>
      </x:c>
      <x:c r="J515" s="30" t="n">
        <x:v>0.5402597402597402</x:v>
      </x:c>
      <x:c r="K515" s="30" t="n">
        <x:v>-0.003959758859476357</x:v>
      </x:c>
      <x:c r="L515" s="30" t="n">
        <x:v>-0.1219113561324557</x:v>
      </x:c>
      <x:c r="M515" s="30" t="n">
        <x:v>0.42233766233766235</x:v>
      </x:c>
      <x:c r="N515" s="19" t="n">
        <x:v>1925</x:v>
      </x:c>
      <x:c r="O515" t="b">
        <x:f>P515="legacy_common_sample_8902245"</x:f>
        <x:v>1</x:v>
      </x:c>
      <x:c r="P515" t="str">
        <x:v>legacy_common_sample_8902245</x:v>
      </x:c>
      <x:c r="Q515" s="74" t="n">
        <x:v>46211.41519543981</x:v>
      </x:c>
      <x:c r="R515" s="19" t="n">
        <x:v>8902245</x:v>
      </x:c>
      <x:c r="S515" t="str">
        <x:v>8f7e606554926462248cbcc654181861438ca768a0063f6b317223ede37d16fb</x:v>
      </x:c>
      <x:c r="T515" t="str">
        <x:v>factor_report/gtja191_batch/gtja_125/ic_summary.csv</x:v>
      </x:c>
    </x:row>
    <x:row r="516">
      <x:c r="A516" s="50" t="n">
        <x:f>IF($P516="legacy_common_sample_8902245",1+COUNTIFS($C$5:$C$546,$C516,$P$5:$P$546,"legacy_common_sample_8902245",$I$5:$I$546,"&gt;"&amp;$I516),"")</x:f>
        <x:v>156</x:v>
      </x:c>
      <x:c r="B516" t="str">
        <x:v>gtja_028</x:v>
      </x:c>
      <x:c r="C516" s="50" t="n">
        <x:v>20</x:v>
      </x:c>
      <x:c r="D516" t="str">
        <x:f>IF(E516&gt;=0,"positive","negative")</x:f>
        <x:v>negative</x:v>
      </x:c>
      <x:c r="E516" s="30" t="n">
        <x:v>-0.016461821597344287</x:v>
      </x:c>
      <x:c r="F516" s="30" t="n">
        <x:f>ABS(E516)</x:f>
        <x:v>0.016461821597344287</x:v>
      </x:c>
      <x:c r="G516" s="30" t="n">
        <x:v>0.11824980556945991</x:v>
      </x:c>
      <x:c r="H516" s="30" t="n">
        <x:v>-0.1392122508622191</x:v>
      </x:c>
      <x:c r="I516" s="30" t="n">
        <x:f>ABS(H516)</x:f>
        <x:v>0.1392122508622191</x:v>
      </x:c>
      <x:c r="J516" s="30" t="n">
        <x:v>0.4538112064613831</x:v>
      </x:c>
      <x:c r="K516" s="30" t="n">
        <x:v>-0.011278761986211578</x:v>
      </x:c>
      <x:c r="L516" s="30" t="n">
        <x:v>-0.11245657546711386</x:v>
      </x:c>
      <x:c r="M516" s="30" t="n">
        <x:v>0.47602221100454317</x:v>
      </x:c>
      <x:c r="N516" s="19" t="n">
        <x:v>1981</x:v>
      </x:c>
      <x:c r="O516" t="b">
        <x:f>P516="legacy_common_sample_8902245"</x:f>
        <x:v>1</x:v>
      </x:c>
      <x:c r="P516" t="str">
        <x:v>legacy_common_sample_8902245</x:v>
      </x:c>
      <x:c r="Q516" s="74" t="n">
        <x:v>46211.21958586806</x:v>
      </x:c>
      <x:c r="R516" s="19" t="n">
        <x:v>8902245</x:v>
      </x:c>
      <x:c r="S516" t="str">
        <x:v>8f7e606554926462248cbcc654181861438ca768a0063f6b317223ede37d16fb</x:v>
      </x:c>
      <x:c r="T516" t="str">
        <x:v>factor_report/gtja191_batch/gtja_028/ic_summary.csv</x:v>
      </x:c>
    </x:row>
    <x:row r="517">
      <x:c r="A517" s="50" t="n">
        <x:f>IF($P517="legacy_common_sample_8902245",1+COUNTIFS($C$5:$C$546,$C517,$P$5:$P$546,"legacy_common_sample_8902245",$I$5:$I$546,"&gt;"&amp;$I517),"")</x:f>
        <x:v>157</x:v>
      </x:c>
      <x:c r="B517" t="str">
        <x:v>gtja_039</x:v>
      </x:c>
      <x:c r="C517" s="50" t="n">
        <x:v>20</x:v>
      </x:c>
      <x:c r="D517" t="str">
        <x:f>IF(E517&gt;=0,"positive","negative")</x:f>
        <x:v>positive</x:v>
      </x:c>
      <x:c r="E517" s="30" t="n">
        <x:v>0.013172002972081018</x:v>
      </x:c>
      <x:c r="F517" s="30" t="n">
        <x:f>ABS(E517)</x:f>
        <x:v>0.013172002972081018</x:v>
      </x:c>
      <x:c r="G517" s="30" t="n">
        <x:v>0.09479783289928263</x:v>
      </x:c>
      <x:c r="H517" s="30" t="n">
        <x:v>0.13894835534980562</x:v>
      </x:c>
      <x:c r="I517" s="30" t="n">
        <x:f>ABS(H517)</x:f>
        <x:v>0.13894835534980562</x:v>
      </x:c>
      <x:c r="J517" s="30" t="n">
        <x:v>0.545</x:v>
      </x:c>
      <x:c r="K517" s="30" t="n">
        <x:v>0.005345582597590549</x:v>
      </x:c>
      <x:c r="L517" s="30" t="n">
        <x:v>0.0669769799482206</x:v>
      </x:c>
      <x:c r="M517" s="30" t="n">
        <x:v>0.515</x:v>
      </x:c>
      <x:c r="N517" s="19" t="n">
        <x:v>1800</x:v>
      </x:c>
      <x:c r="O517" t="b">
        <x:f>P517="legacy_common_sample_8902245"</x:f>
        <x:v>1</x:v>
      </x:c>
      <x:c r="P517" t="str">
        <x:v>legacy_common_sample_8902245</x:v>
      </x:c>
      <x:c r="Q517" s="74" t="n">
        <x:v>46211.24500390046</x:v>
      </x:c>
      <x:c r="R517" s="19" t="n">
        <x:v>8902245</x:v>
      </x:c>
      <x:c r="S517" t="str">
        <x:v>8f7e606554926462248cbcc654181861438ca768a0063f6b317223ede37d16fb</x:v>
      </x:c>
      <x:c r="T517" t="str">
        <x:v>factor_report/gtja191_batch/gtja_039/ic_summary.csv</x:v>
      </x:c>
    </x:row>
    <x:row r="518">
      <x:c r="A518" s="50" t="n">
        <x:f>IF($P518="legacy_common_sample_8902245",1+COUNTIFS($C$5:$C$546,$C518,$P$5:$P$546,"legacy_common_sample_8902245",$I$5:$I$546,"&gt;"&amp;$I518),"")</x:f>
        <x:v>158</x:v>
      </x:c>
      <x:c r="B518" t="str">
        <x:v>gtja_127</x:v>
      </x:c>
      <x:c r="C518" s="50" t="n">
        <x:v>20</x:v>
      </x:c>
      <x:c r="D518" t="str">
        <x:f>IF(E518&gt;=0,"positive","negative")</x:f>
        <x:v>negative</x:v>
      </x:c>
      <x:c r="E518" s="30" t="n">
        <x:v>-0.018912370048501756</x:v>
      </x:c>
      <x:c r="F518" s="30" t="n">
        <x:f>ABS(E518)</x:f>
        <x:v>0.018912370048501756</x:v>
      </x:c>
      <x:c r="G518" s="30" t="n">
        <x:v>0.14791666141123277</x:v>
      </x:c>
      <x:c r="H518" s="30" t="n">
        <x:v>-0.1278582809270028</x:v>
      </x:c>
      <x:c r="I518" s="30" t="n">
        <x:f>ABS(H518)</x:f>
        <x:v>0.1278582809270028</x:v>
      </x:c>
      <x:c r="J518" s="30" t="n">
        <x:v>0.40080767289247854</x:v>
      </x:c>
      <x:c r="K518" s="30" t="n">
        <x:v>-0.002295997627025129</x:v>
      </x:c>
      <x:c r="L518" s="30" t="n">
        <x:v>-0.02045274792572511</x:v>
      </x:c>
      <x:c r="M518" s="30" t="n">
        <x:v>0.4563351842503786</x:v>
      </x:c>
      <x:c r="N518" s="19" t="n">
        <x:v>1981</x:v>
      </x:c>
      <x:c r="O518" t="b">
        <x:f>P518="legacy_common_sample_8902245"</x:f>
        <x:v>1</x:v>
      </x:c>
      <x:c r="P518" t="str">
        <x:v>legacy_common_sample_8902245</x:v>
      </x:c>
      <x:c r="Q518" s="74" t="n">
        <x:v>46211.417619583335</x:v>
      </x:c>
      <x:c r="R518" s="19" t="n">
        <x:v>8902245</x:v>
      </x:c>
      <x:c r="S518" t="str">
        <x:v>8f7e606554926462248cbcc654181861438ca768a0063f6b317223ede37d16fb</x:v>
      </x:c>
      <x:c r="T518" t="str">
        <x:v>factor_report/gtja191_batch/gtja_127/ic_summary.csv</x:v>
      </x:c>
    </x:row>
    <x:row r="519">
      <x:c r="A519" s="50" t="n">
        <x:f>IF($P519="legacy_common_sample_8902245",1+COUNTIFS($C$5:$C$546,$C519,$P$5:$P$546,"legacy_common_sample_8902245",$I$5:$I$546,"&gt;"&amp;$I519),"")</x:f>
        <x:v>159</x:v>
      </x:c>
      <x:c r="B519" t="str">
        <x:v>gtja_073</x:v>
      </x:c>
      <x:c r="C519" s="50" t="n">
        <x:v>20</x:v>
      </x:c>
      <x:c r="D519" t="str">
        <x:f>IF(E519&gt;=0,"positive","negative")</x:f>
        <x:v>positive</x:v>
      </x:c>
      <x:c r="E519" s="30" t="n">
        <x:v>0.007004128077654323</x:v>
      </x:c>
      <x:c r="F519" s="30" t="n">
        <x:f>ABS(E519)</x:f>
        <x:v>0.007004128077654323</x:v>
      </x:c>
      <x:c r="G519" s="30" t="n">
        <x:v>0.05508156543705935</x:v>
      </x:c>
      <x:c r="H519" s="30" t="n">
        <x:v>0.12715920511841308</x:v>
      </x:c>
      <x:c r="I519" s="30" t="n">
        <x:f>ABS(H519)</x:f>
        <x:v>0.12715920511841308</x:v>
      </x:c>
      <x:c r="J519" s="30" t="n">
        <x:v>0.5628470469459869</x:v>
      </x:c>
      <x:c r="K519" s="30" t="n">
        <x:v>0.004397039830561217</x:v>
      </x:c>
      <x:c r="L519" s="30" t="n">
        <x:v>0.09749690319664484</x:v>
      </x:c>
      <x:c r="M519" s="30" t="n">
        <x:v>0.5557799091367996</x:v>
      </x:c>
      <x:c r="N519" s="19" t="n">
        <x:v>1981</x:v>
      </x:c>
      <x:c r="O519" t="b">
        <x:f>P519="legacy_common_sample_8902245"</x:f>
        <x:v>1</x:v>
      </x:c>
      <x:c r="P519" t="str">
        <x:v>legacy_common_sample_8902245</x:v>
      </x:c>
      <x:c r="Q519" s="74" t="n">
        <x:v>46211.30391246528</x:v>
      </x:c>
      <x:c r="R519" s="19" t="n">
        <x:v>8902245</x:v>
      </x:c>
      <x:c r="S519" t="str">
        <x:v>8f7e606554926462248cbcc654181861438ca768a0063f6b317223ede37d16fb</x:v>
      </x:c>
      <x:c r="T519" t="str">
        <x:v>factor_report/gtja191_batch/gtja_073/ic_summary.csv</x:v>
      </x:c>
    </x:row>
    <x:row r="520">
      <x:c r="A520" s="50" t="n">
        <x:f>IF($P520="legacy_common_sample_8902245",1+COUNTIFS($C$5:$C$546,$C520,$P$5:$P$546,"legacy_common_sample_8902245",$I$5:$I$546,"&gt;"&amp;$I520),"")</x:f>
        <x:v>160</x:v>
      </x:c>
      <x:c r="B520" t="str">
        <x:v>gtja_117</x:v>
      </x:c>
      <x:c r="C520" s="50" t="n">
        <x:v>20</x:v>
      </x:c>
      <x:c r="D520" t="str">
        <x:f>IF(E520&gt;=0,"positive","negative")</x:f>
        <x:v>positive</x:v>
      </x:c>
      <x:c r="E520" s="30" t="n">
        <x:v>0.011127967456839522</x:v>
      </x:c>
      <x:c r="F520" s="30" t="n">
        <x:f>ABS(E520)</x:f>
        <x:v>0.011127967456839522</x:v>
      </x:c>
      <x:c r="G520" s="30" t="n">
        <x:v>0.09143562000060194</x:v>
      </x:c>
      <x:c r="H520" s="30" t="n">
        <x:v>0.12170276153610883</x:v>
      </x:c>
      <x:c r="I520" s="30" t="n">
        <x:f>ABS(H520)</x:f>
        <x:v>0.12170276153610883</x:v>
      </x:c>
      <x:c r="J520" s="30" t="n">
        <x:v>0.546693589096416</x:v>
      </x:c>
      <x:c r="K520" s="30" t="n">
        <x:v>0.0024560288262330575</x:v>
      </x:c>
      <x:c r="L520" s="30" t="n">
        <x:v>0.03649705911701092</x:v>
      </x:c>
      <x:c r="M520" s="30" t="n">
        <x:v>0.48662291771832406</x:v>
      </x:c>
      <x:c r="N520" s="19" t="n">
        <x:v>1981</x:v>
      </x:c>
      <x:c r="O520" t="b">
        <x:f>P520="legacy_common_sample_8902245"</x:f>
        <x:v>1</x:v>
      </x:c>
      <x:c r="P520" t="str">
        <x:v>legacy_common_sample_8902245</x:v>
      </x:c>
      <x:c r="Q520" s="74" t="n">
        <x:v>46211.384815150464</x:v>
      </x:c>
      <x:c r="R520" s="19" t="n">
        <x:v>8902245</x:v>
      </x:c>
      <x:c r="S520" t="str">
        <x:v>8f7e606554926462248cbcc654181861438ca768a0063f6b317223ede37d16fb</x:v>
      </x:c>
      <x:c r="T520" t="str">
        <x:v>factor_report/gtja191_batch/gtja_117/ic_summary.csv</x:v>
      </x:c>
    </x:row>
    <x:row r="521">
      <x:c r="A521" s="50" t="n">
        <x:f>IF($P521="legacy_common_sample_8902245",1+COUNTIFS($C$5:$C$546,$C521,$P$5:$P$546,"legacy_common_sample_8902245",$I$5:$I$546,"&gt;"&amp;$I521),"")</x:f>
        <x:v>161</x:v>
      </x:c>
      <x:c r="B521" t="str">
        <x:v>gtja_022</x:v>
      </x:c>
      <x:c r="C521" s="50" t="n">
        <x:v>20</x:v>
      </x:c>
      <x:c r="D521" t="str">
        <x:f>IF(E521&gt;=0,"positive","negative")</x:f>
        <x:v>negative</x:v>
      </x:c>
      <x:c r="E521" s="30" t="n">
        <x:v>-0.014465918462138835</x:v>
      </x:c>
      <x:c r="F521" s="30" t="n">
        <x:f>ABS(E521)</x:f>
        <x:v>0.014465918462138835</x:v>
      </x:c>
      <x:c r="G521" s="30" t="n">
        <x:v>0.12142651149968318</x:v>
      </x:c>
      <x:c r="H521" s="30" t="n">
        <x:v>-0.11913311420608982</x:v>
      </x:c>
      <x:c r="I521" s="30" t="n">
        <x:f>ABS(H521)</x:f>
        <x:v>0.11913311420608982</x:v>
      </x:c>
      <x:c r="J521" s="30" t="n">
        <x:v>0.4538112064613831</x:v>
      </x:c>
      <x:c r="K521" s="30" t="n">
        <x:v>-0.015985611076833307</x:v>
      </x:c>
      <x:c r="L521" s="30" t="n">
        <x:v>-0.18122470179507352</x:v>
      </x:c>
      <x:c r="M521" s="30" t="n">
        <x:v>0.4356385663806159</x:v>
      </x:c>
      <x:c r="N521" s="19" t="n">
        <x:v>1981</x:v>
      </x:c>
      <x:c r="O521" t="b">
        <x:f>P521="legacy_common_sample_8902245"</x:f>
        <x:v>1</x:v>
      </x:c>
      <x:c r="P521" t="str">
        <x:v>legacy_common_sample_8902245</x:v>
      </x:c>
      <x:c r="Q521" s="74" t="n">
        <x:v>46211.206014745374</x:v>
      </x:c>
      <x:c r="R521" s="19" t="n">
        <x:v>8902245</x:v>
      </x:c>
      <x:c r="S521" t="str">
        <x:v>8f7e606554926462248cbcc654181861438ca768a0063f6b317223ede37d16fb</x:v>
      </x:c>
      <x:c r="T521" t="str">
        <x:v>factor_report/gtja191_batch/gtja_022/ic_summary.csv</x:v>
      </x:c>
    </x:row>
    <x:row r="522">
      <x:c r="A522" s="50" t="n">
        <x:f>IF($P522="legacy_common_sample_8902245",1+COUNTIFS($C$5:$C$546,$C522,$P$5:$P$546,"legacy_common_sample_8902245",$I$5:$I$546,"&gt;"&amp;$I522),"")</x:f>
        <x:v>162</x:v>
      </x:c>
      <x:c r="B522" t="str">
        <x:v>gtja_013</x:v>
      </x:c>
      <x:c r="C522" s="50" t="n">
        <x:v>20</x:v>
      </x:c>
      <x:c r="D522" t="str">
        <x:f>IF(E522&gt;=0,"positive","negative")</x:f>
        <x:v>positive</x:v>
      </x:c>
      <x:c r="E522" s="30" t="n">
        <x:v>0.014255707603008797</x:v>
      </x:c>
      <x:c r="F522" s="30" t="n">
        <x:f>ABS(E522)</x:f>
        <x:v>0.014255707603008797</x:v>
      </x:c>
      <x:c r="G522" s="30" t="n">
        <x:v>0.12062850055087566</x:v>
      </x:c>
      <x:c r="H522" s="30" t="n">
        <x:v>0.11817860238589621</x:v>
      </x:c>
      <x:c r="I522" s="30" t="n">
        <x:f>ABS(H522)</x:f>
        <x:v>0.11817860238589621</x:v>
      </x:c>
      <x:c r="J522" s="30" t="n">
        <x:v>0.5456839979808178</x:v>
      </x:c>
      <x:c r="K522" s="30" t="n">
        <x:v>0.013562357271635565</x:v>
      </x:c>
      <x:c r="L522" s="30" t="n">
        <x:v>0.17962608473496924</x:v>
      </x:c>
      <x:c r="M522" s="30" t="n">
        <x:v>0.5815244825845532</x:v>
      </x:c>
      <x:c r="N522" s="19" t="n">
        <x:v>1981</x:v>
      </x:c>
      <x:c r="O522" t="b">
        <x:f>P522="legacy_common_sample_8902245"</x:f>
        <x:v>1</x:v>
      </x:c>
      <x:c r="P522" t="str">
        <x:v>legacy_common_sample_8902245</x:v>
      </x:c>
      <x:c r="Q522" s="74" t="n">
        <x:v>46211.18888071759</x:v>
      </x:c>
      <x:c r="R522" s="19" t="n">
        <x:v>8902245</x:v>
      </x:c>
      <x:c r="S522" t="str">
        <x:v>8f7e606554926462248cbcc654181861438ca768a0063f6b317223ede37d16fb</x:v>
      </x:c>
      <x:c r="T522" t="str">
        <x:v>factor_report/gtja191_batch/gtja_013/ic_summary.csv</x:v>
      </x:c>
    </x:row>
    <x:row r="523">
      <x:c r="A523" s="50" t="n">
        <x:f>IF($P523="legacy_common_sample_8902245",1+COUNTIFS($C$5:$C$546,$C523,$P$5:$P$546,"legacy_common_sample_8902245",$I$5:$I$546,"&gt;"&amp;$I523),"")</x:f>
        <x:v>163</x:v>
      </x:c>
      <x:c r="B523" t="str">
        <x:v>gtja_191</x:v>
      </x:c>
      <x:c r="C523" s="50" t="n">
        <x:v>20</x:v>
      </x:c>
      <x:c r="D523" t="str">
        <x:f>IF(E523&gt;=0,"positive","negative")</x:f>
        <x:v>negative</x:v>
      </x:c>
      <x:c r="E523" s="30" t="n">
        <x:v>-0.008723780893884016</x:v>
      </x:c>
      <x:c r="F523" s="30" t="n">
        <x:f>ABS(E523)</x:f>
        <x:v>0.008723780893884016</x:v>
      </x:c>
      <x:c r="G523" s="30" t="n">
        <x:v>0.07661246806822583</x:v>
      </x:c>
      <x:c r="H523" s="30" t="n">
        <x:v>-0.11386894475342071</x:v>
      </x:c>
      <x:c r="I523" s="30" t="n">
        <x:f>ABS(H523)</x:f>
        <x:v>0.11386894475342071</x:v>
      </x:c>
      <x:c r="J523" s="30" t="n">
        <x:v>0.4447248864209995</x:v>
      </x:c>
      <x:c r="K523" s="30" t="n">
        <x:v>-0.002494097662709823</x:v>
      </x:c>
      <x:c r="L523" s="30" t="n">
        <x:v>-0.0390726539717714</x:v>
      </x:c>
      <x:c r="M523" s="30" t="n">
        <x:v>0.4815749621403332</x:v>
      </x:c>
      <x:c r="N523" s="19" t="n">
        <x:v>1981</x:v>
      </x:c>
      <x:c r="O523" t="b">
        <x:f>P523="legacy_common_sample_8902245"</x:f>
        <x:v>1</x:v>
      </x:c>
      <x:c r="P523" t="str">
        <x:v>legacy_common_sample_8902245</x:v>
      </x:c>
      <x:c r="Q523" s="74" t="n">
        <x:v>46211.55645755787</x:v>
      </x:c>
      <x:c r="R523" s="19" t="n">
        <x:v>8902245</x:v>
      </x:c>
      <x:c r="S523" t="str">
        <x:v>8f7e606554926462248cbcc654181861438ca768a0063f6b317223ede37d16fb</x:v>
      </x:c>
      <x:c r="T523" t="str">
        <x:v>factor_report/gtja191_batch/gtja_191/ic_summary.csv</x:v>
      </x:c>
    </x:row>
    <x:row r="524">
      <x:c r="A524" s="50" t="n">
        <x:f>IF($P524="legacy_common_sample_8902245",1+COUNTIFS($C$5:$C$546,$C524,$P$5:$P$546,"legacy_common_sample_8902245",$I$5:$I$546,"&gt;"&amp;$I524),"")</x:f>
        <x:v>164</x:v>
      </x:c>
      <x:c r="B524" t="str">
        <x:v>gtja_178</x:v>
      </x:c>
      <x:c r="C524" s="50" t="n">
        <x:v>20</x:v>
      </x:c>
      <x:c r="D524" t="str">
        <x:f>IF(E524&gt;=0,"positive","negative")</x:f>
        <x:v>negative</x:v>
      </x:c>
      <x:c r="E524" s="30" t="n">
        <x:v>-0.011558780832637798</x:v>
      </x:c>
      <x:c r="F524" s="30" t="n">
        <x:f>ABS(E524)</x:f>
        <x:v>0.011558780832637798</x:v>
      </x:c>
      <x:c r="G524" s="30" t="n">
        <x:v>0.10272819585594392</x:v>
      </x:c>
      <x:c r="H524" s="30" t="n">
        <x:v>-0.11251809433942278</x:v>
      </x:c>
      <x:c r="I524" s="30" t="n">
        <x:f>ABS(H524)</x:f>
        <x:v>0.11251809433942278</x:v>
      </x:c>
      <x:c r="J524" s="30" t="n">
        <x:v>0.45229681978798586</x:v>
      </x:c>
      <x:c r="K524" s="30" t="n">
        <x:v>-0.014190544156942268</x:v>
      </x:c>
      <x:c r="L524" s="30" t="n">
        <x:v>-0.26531491871266716</x:v>
      </x:c>
      <x:c r="M524" s="30" t="n">
        <x:v>0.392226148409894</x:v>
      </x:c>
      <x:c r="N524" s="19" t="n">
        <x:v>1981</x:v>
      </x:c>
      <x:c r="O524" t="b">
        <x:f>P524="legacy_common_sample_8902245"</x:f>
        <x:v>1</x:v>
      </x:c>
      <x:c r="P524" t="str">
        <x:v>legacy_common_sample_8902245</x:v>
      </x:c>
      <x:c r="Q524" s="74" t="n">
        <x:v>46211.5335721875</x:v>
      </x:c>
      <x:c r="R524" s="19" t="n">
        <x:v>8902245</x:v>
      </x:c>
      <x:c r="S524" t="str">
        <x:v>8f7e606554926462248cbcc654181861438ca768a0063f6b317223ede37d16fb</x:v>
      </x:c>
      <x:c r="T524" t="str">
        <x:v>factor_report/gtja191_batch/gtja_178/ic_summary.csv</x:v>
      </x:c>
    </x:row>
    <x:row r="525">
      <x:c r="A525" s="50" t="n">
        <x:f>IF($P525="legacy_common_sample_8902245",1+COUNTIFS($C$5:$C$546,$C525,$P$5:$P$546,"legacy_common_sample_8902245",$I$5:$I$546,"&gt;"&amp;$I525),"")</x:f>
        <x:v>165</x:v>
      </x:c>
      <x:c r="B525" t="str">
        <x:v>gtja_085</x:v>
      </x:c>
      <x:c r="C525" s="50" t="n">
        <x:v>20</x:v>
      </x:c>
      <x:c r="D525" t="str">
        <x:f>IF(E525&gt;=0,"positive","negative")</x:f>
        <x:v>positive</x:v>
      </x:c>
      <x:c r="E525" s="30" t="n">
        <x:v>0.008351333931381075</x:v>
      </x:c>
      <x:c r="F525" s="30" t="n">
        <x:f>ABS(E525)</x:f>
        <x:v>0.008351333931381075</x:v>
      </x:c>
      <x:c r="G525" s="30" t="n">
        <x:v>0.08216370751033718</x:v>
      </x:c>
      <x:c r="H525" s="30" t="n">
        <x:v>0.10164261307622198</x:v>
      </x:c>
      <x:c r="I525" s="30" t="n">
        <x:f>ABS(H525)</x:f>
        <x:v>0.10164261307622198</x:v>
      </x:c>
      <x:c r="J525" s="30" t="n">
        <x:v>0.5350832912670368</x:v>
      </x:c>
      <x:c r="K525" s="30" t="n">
        <x:v>0.0038886499252636037</x:v>
      </x:c>
      <x:c r="L525" s="30" t="n">
        <x:v>0.06017341565578031</x:v>
      </x:c>
      <x:c r="M525" s="30" t="n">
        <x:v>0.5063099444724887</x:v>
      </x:c>
      <x:c r="N525" s="19" t="n">
        <x:v>1981</x:v>
      </x:c>
      <x:c r="O525" t="b">
        <x:f>P525="legacy_common_sample_8902245"</x:f>
        <x:v>1</x:v>
      </x:c>
      <x:c r="P525" t="str">
        <x:v>legacy_common_sample_8902245</x:v>
      </x:c>
      <x:c r="Q525" s="74" t="n">
        <x:v>46211.32386585648</x:v>
      </x:c>
      <x:c r="R525" s="19" t="n">
        <x:v>8902245</x:v>
      </x:c>
      <x:c r="S525" t="str">
        <x:v>8f7e606554926462248cbcc654181861438ca768a0063f6b317223ede37d16fb</x:v>
      </x:c>
      <x:c r="T525" t="str">
        <x:v>factor_report/gtja191_batch/gtja_085/ic_summary.csv</x:v>
      </x:c>
    </x:row>
    <x:row r="526">
      <x:c r="A526" s="50" t="n">
        <x:f>IF($P526="legacy_common_sample_8902245",1+COUNTIFS($C$5:$C$546,$C526,$P$5:$P$546,"legacy_common_sample_8902245",$I$5:$I$546,"&gt;"&amp;$I526),"")</x:f>
        <x:v>166</x:v>
      </x:c>
      <x:c r="B526" t="str">
        <x:v>gtja_170</x:v>
      </x:c>
      <x:c r="C526" s="50" t="n">
        <x:v>20</x:v>
      </x:c>
      <x:c r="D526" t="str">
        <x:f>IF(E526&gt;=0,"positive","negative")</x:f>
        <x:v>positive</x:v>
      </x:c>
      <x:c r="E526" s="30" t="n">
        <x:v>0.010736159541389215</x:v>
      </x:c>
      <x:c r="F526" s="30" t="n">
        <x:f>ABS(E526)</x:f>
        <x:v>0.010736159541389215</x:v>
      </x:c>
      <x:c r="G526" s="30" t="n">
        <x:v>0.1159345468536043</x:v>
      </x:c>
      <x:c r="H526" s="30" t="n">
        <x:v>0.09260535218157398</x:v>
      </x:c>
      <x:c r="I526" s="30" t="n">
        <x:f>ABS(H526)</x:f>
        <x:v>0.09260535218157398</x:v>
      </x:c>
      <x:c r="J526" s="30" t="n">
        <x:v>0.5249873801110551</x:v>
      </x:c>
      <x:c r="K526" s="30" t="n">
        <x:v>0.009564159353710217</x:v>
      </x:c>
      <x:c r="L526" s="30" t="n">
        <x:v>0.10533699480081367</x:v>
      </x:c>
      <x:c r="M526" s="30" t="n">
        <x:v>0.5254921756688541</x:v>
      </x:c>
      <x:c r="N526" s="19" t="n">
        <x:v>1981</x:v>
      </x:c>
      <x:c r="O526" t="b">
        <x:f>P526="legacy_common_sample_8902245"</x:f>
        <x:v>1</x:v>
      </x:c>
      <x:c r="P526" t="str">
        <x:v>legacy_common_sample_8902245</x:v>
      </x:c>
      <x:c r="Q526" s="74" t="n">
        <x:v>46211.52554471065</x:v>
      </x:c>
      <x:c r="R526" s="19" t="n">
        <x:v>8902245</x:v>
      </x:c>
      <x:c r="S526" t="str">
        <x:v>8f7e606554926462248cbcc654181861438ca768a0063f6b317223ede37d16fb</x:v>
      </x:c>
      <x:c r="T526" t="str">
        <x:v>factor_report/gtja191_batch/gtja_170/ic_summary.csv</x:v>
      </x:c>
    </x:row>
    <x:row r="527">
      <x:c r="A527" s="50" t="n">
        <x:f>IF($P527="legacy_common_sample_8902245",1+COUNTIFS($C$5:$C$546,$C527,$P$5:$P$546,"legacy_common_sample_8902245",$I$5:$I$546,"&gt;"&amp;$I527),"")</x:f>
        <x:v>167</x:v>
      </x:c>
      <x:c r="B527" t="str">
        <x:v>gtja_091</x:v>
      </x:c>
      <x:c r="C527" s="50" t="n">
        <x:v>20</x:v>
      </x:c>
      <x:c r="D527" t="str">
        <x:f>IF(E527&gt;=0,"positive","negative")</x:f>
        <x:v>negative</x:v>
      </x:c>
      <x:c r="E527" s="30" t="n">
        <x:v>-0.00910210324691601</x:v>
      </x:c>
      <x:c r="F527" s="30" t="n">
        <x:f>ABS(E527)</x:f>
        <x:v>0.00910210324691601</x:v>
      </x:c>
      <x:c r="G527" s="30" t="n">
        <x:v>0.10011027175948094</x:v>
      </x:c>
      <x:c r="H527" s="30" t="n">
        <x:v>-0.0909207725335537</x:v>
      </x:c>
      <x:c r="I527" s="30" t="n">
        <x:f>ABS(H527)</x:f>
        <x:v>0.0909207725335537</x:v>
      </x:c>
      <x:c r="J527" s="30" t="n">
        <x:v>0.4634023220595659</x:v>
      </x:c>
      <x:c r="K527" s="30" t="n">
        <x:v>0.002817061741268246</x:v>
      </x:c>
      <x:c r="L527" s="30" t="n">
        <x:v>0.03524298606476424</x:v>
      </x:c>
      <x:c r="M527" s="30" t="n">
        <x:v>0.5148914689550732</x:v>
      </x:c>
      <x:c r="N527" s="19" t="n">
        <x:v>1981</x:v>
      </x:c>
      <x:c r="O527" t="b">
        <x:f>P527="legacy_common_sample_8902245"</x:f>
        <x:v>1</x:v>
      </x:c>
      <x:c r="P527" t="str">
        <x:v>legacy_common_sample_8902245</x:v>
      </x:c>
      <x:c r="Q527" s="74" t="n">
        <x:v>46211.33546769676</x:v>
      </x:c>
      <x:c r="R527" s="19" t="n">
        <x:v>8902245</x:v>
      </x:c>
      <x:c r="S527" t="str">
        <x:v>8f7e606554926462248cbcc654181861438ca768a0063f6b317223ede37d16fb</x:v>
      </x:c>
      <x:c r="T527" t="str">
        <x:v>factor_report/gtja191_batch/gtja_091/ic_summary.csv</x:v>
      </x:c>
    </x:row>
    <x:row r="528">
      <x:c r="A528" s="50" t="n">
        <x:f>IF($P528="legacy_common_sample_8902245",1+COUNTIFS($C$5:$C$546,$C528,$P$5:$P$546,"legacy_common_sample_8902245",$I$5:$I$546,"&gt;"&amp;$I528),"")</x:f>
        <x:v>168</x:v>
      </x:c>
      <x:c r="B528" t="str">
        <x:v>gtja_114</x:v>
      </x:c>
      <x:c r="C528" s="50" t="n">
        <x:v>20</x:v>
      </x:c>
      <x:c r="D528" t="str">
        <x:f>IF(E528&gt;=0,"positive","negative")</x:f>
        <x:v>positive</x:v>
      </x:c>
      <x:c r="E528" s="30" t="n">
        <x:v>0.010344839356969794</x:v>
      </x:c>
      <x:c r="F528" s="30" t="n">
        <x:f>ABS(E528)</x:f>
        <x:v>0.010344839356969794</x:v>
      </x:c>
      <x:c r="G528" s="30" t="n">
        <x:v>0.11697512778055173</x:v>
      </x:c>
      <x:c r="H528" s="30" t="n">
        <x:v>0.0884362304470141</x:v>
      </x:c>
      <x:c r="I528" s="30" t="n">
        <x:f>ABS(H528)</x:f>
        <x:v>0.0884362304470141</x:v>
      </x:c>
      <x:c r="J528" s="30" t="n">
        <x:v>0.5406360424028268</x:v>
      </x:c>
      <x:c r="K528" s="30" t="n">
        <x:v>0.008468263186138265</x:v>
      </x:c>
      <x:c r="L528" s="30" t="n">
        <x:v>0.10295757346360793</x:v>
      </x:c>
      <x:c r="M528" s="30" t="n">
        <x:v>0.5350832912670368</x:v>
      </x:c>
      <x:c r="N528" s="19" t="n">
        <x:v>1981</x:v>
      </x:c>
      <x:c r="O528" t="b">
        <x:f>P528="legacy_common_sample_8902245"</x:f>
        <x:v>1</x:v>
      </x:c>
      <x:c r="P528" t="str">
        <x:v>legacy_common_sample_8902245</x:v>
      </x:c>
      <x:c r="Q528" s="74" t="n">
        <x:v>46211.36905150463</x:v>
      </x:c>
      <x:c r="R528" s="19" t="n">
        <x:v>8902245</x:v>
      </x:c>
      <x:c r="S528" t="str">
        <x:v>8f7e606554926462248cbcc654181861438ca768a0063f6b317223ede37d16fb</x:v>
      </x:c>
      <x:c r="T528" t="str">
        <x:v>factor_report/gtja191_batch/gtja_114/ic_summary.csv</x:v>
      </x:c>
    </x:row>
    <x:row r="529">
      <x:c r="A529" s="50" t="n">
        <x:f>IF($P529="legacy_common_sample_8902245",1+COUNTIFS($C$5:$C$546,$C529,$P$5:$P$546,"legacy_common_sample_8902245",$I$5:$I$546,"&gt;"&amp;$I529),"")</x:f>
        <x:v>169</x:v>
      </x:c>
      <x:c r="B529" t="str">
        <x:v>gtja_119</x:v>
      </x:c>
      <x:c r="C529" s="50" t="n">
        <x:v>20</x:v>
      </x:c>
      <x:c r="D529" t="str">
        <x:f>IF(E529&gt;=0,"positive","negative")</x:f>
        <x:v>positive</x:v>
      </x:c>
      <x:c r="E529" s="30" t="n">
        <x:v>0.004066268877884704</x:v>
      </x:c>
      <x:c r="F529" s="30" t="n">
        <x:f>ABS(E529)</x:f>
        <x:v>0.004066268877884704</x:v>
      </x:c>
      <x:c r="G529" s="30" t="n">
        <x:v>0.05056207116361191</x:v>
      </x:c>
      <x:c r="H529" s="30" t="n">
        <x:v>0.08042132737653916</x:v>
      </x:c>
      <x:c r="I529" s="30" t="n">
        <x:f>ABS(H529)</x:f>
        <x:v>0.08042132737653916</x:v>
      </x:c>
      <x:c r="J529" s="30" t="n">
        <x:v>0.5209490156486623</x:v>
      </x:c>
      <x:c r="K529" s="30" t="n">
        <x:v>0.002627076568463947</x:v>
      </x:c>
      <x:c r="L529" s="30" t="n">
        <x:v>0.06156243036944384</x:v>
      </x:c>
      <x:c r="M529" s="30" t="n">
        <x:v>0.519434628975265</x:v>
      </x:c>
      <x:c r="N529" s="19" t="n">
        <x:v>1981</x:v>
      </x:c>
      <x:c r="O529" t="b">
        <x:f>P529="legacy_common_sample_8902245"</x:f>
        <x:v>1</x:v>
      </x:c>
      <x:c r="P529" t="str">
        <x:v>legacy_common_sample_8902245</x:v>
      </x:c>
      <x:c r="Q529" s="74" t="n">
        <x:v>46211.39142025463</x:v>
      </x:c>
      <x:c r="R529" s="19" t="n">
        <x:v>8902245</x:v>
      </x:c>
      <x:c r="S529" t="str">
        <x:v>8f7e606554926462248cbcc654181861438ca768a0063f6b317223ede37d16fb</x:v>
      </x:c>
      <x:c r="T529" t="str">
        <x:v>factor_report/gtja191_batch/gtja_119/ic_summary.csv</x:v>
      </x:c>
    </x:row>
    <x:row r="530">
      <x:c r="A530" s="50" t="n">
        <x:f>IF($P530="legacy_common_sample_8902245",1+COUNTIFS($C$5:$C$546,$C530,$P$5:$P$546,"legacy_common_sample_8902245",$I$5:$I$546,"&gt;"&amp;$I530),"")</x:f>
        <x:v>170</x:v>
      </x:c>
      <x:c r="B530" t="str">
        <x:v>gtja_162</x:v>
      </x:c>
      <x:c r="C530" s="50" t="n">
        <x:v>20</x:v>
      </x:c>
      <x:c r="D530" t="str">
        <x:f>IF(E530&gt;=0,"positive","negative")</x:f>
        <x:v>negative</x:v>
      </x:c>
      <x:c r="E530" s="30" t="n">
        <x:v>-0.008626401057658625</x:v>
      </x:c>
      <x:c r="F530" s="30" t="n">
        <x:f>ABS(E530)</x:f>
        <x:v>0.008626401057658625</x:v>
      </x:c>
      <x:c r="G530" s="30" t="n">
        <x:v>0.11428365490215456</x:v>
      </x:c>
      <x:c r="H530" s="30" t="n">
        <x:v>-0.07548236941708095</x:v>
      </x:c>
      <x:c r="I530" s="30" t="n">
        <x:f>ABS(H530)</x:f>
        <x:v>0.07548236941708095</x:v>
      </x:c>
      <x:c r="J530" s="30" t="n">
        <x:v>0.47147905098435133</x:v>
      </x:c>
      <x:c r="K530" s="30" t="n">
        <x:v>-0.006015114277992968</x:v>
      </x:c>
      <x:c r="L530" s="30" t="n">
        <x:v>-0.06379285737929395</x:v>
      </x:c>
      <x:c r="M530" s="30" t="n">
        <x:v>0.475012619888945</x:v>
      </x:c>
      <x:c r="N530" s="19" t="n">
        <x:v>1981</x:v>
      </x:c>
      <x:c r="O530" t="b">
        <x:f>P530="legacy_common_sample_8902245"</x:f>
        <x:v>1</x:v>
      </x:c>
      <x:c r="P530" t="str">
        <x:v>legacy_common_sample_8902245</x:v>
      </x:c>
      <x:c r="Q530" s="74" t="n">
        <x:v>46211.50984748843</x:v>
      </x:c>
      <x:c r="R530" s="19" t="n">
        <x:v>8902245</x:v>
      </x:c>
      <x:c r="S530" t="str">
        <x:v>8f7e606554926462248cbcc654181861438ca768a0063f6b317223ede37d16fb</x:v>
      </x:c>
      <x:c r="T530" t="str">
        <x:v>factor_report/gtja191_batch/gtja_162/ic_summary.csv</x:v>
      </x:c>
    </x:row>
    <x:row r="531">
      <x:c r="A531" s="50" t="n">
        <x:f>IF($P531="legacy_common_sample_8902245",1+COUNTIFS($C$5:$C$546,$C531,$P$5:$P$546,"legacy_common_sample_8902245",$I$5:$I$546,"&gt;"&amp;$I531),"")</x:f>
        <x:v>171</x:v>
      </x:c>
      <x:c r="B531" t="str">
        <x:v>gtja_124</x:v>
      </x:c>
      <x:c r="C531" s="50" t="n">
        <x:v>20</x:v>
      </x:c>
      <x:c r="D531" t="str">
        <x:f>IF(E531&gt;=0,"positive","negative")</x:f>
        <x:v>negative</x:v>
      </x:c>
      <x:c r="E531" s="30" t="n">
        <x:v>-0.0074801309184992035</x:v>
      </x:c>
      <x:c r="F531" s="30" t="n">
        <x:f>ABS(E531)</x:f>
        <x:v>0.0074801309184992035</x:v>
      </x:c>
      <x:c r="G531" s="30" t="n">
        <x:v>0.10189085162260185</x:v>
      </x:c>
      <x:c r="H531" s="30" t="n">
        <x:v>-0.07341317497477791</x:v>
      </x:c>
      <x:c r="I531" s="30" t="n">
        <x:f>ABS(H531)</x:f>
        <x:v>0.07341317497477791</x:v>
      </x:c>
      <x:c r="J531" s="30" t="n">
        <x:v>0.47147905098435133</x:v>
      </x:c>
      <x:c r="K531" s="30" t="n">
        <x:v>-0.003992852020912438</x:v>
      </x:c>
      <x:c r="L531" s="30" t="n">
        <x:v>-0.08311593540104437</x:v>
      </x:c>
      <x:c r="M531" s="30" t="n">
        <x:v>0.463907117617365</x:v>
      </x:c>
      <x:c r="N531" s="19" t="n">
        <x:v>1981</x:v>
      </x:c>
      <x:c r="O531" t="b">
        <x:f>P531="legacy_common_sample_8902245"</x:f>
        <x:v>1</x:v>
      </x:c>
      <x:c r="P531" t="str">
        <x:v>legacy_common_sample_8902245</x:v>
      </x:c>
      <x:c r="Q531" s="74" t="n">
        <x:v>46211.41230089121</x:v>
      </x:c>
      <x:c r="R531" s="19" t="n">
        <x:v>8902245</x:v>
      </x:c>
      <x:c r="S531" t="str">
        <x:v>8f7e606554926462248cbcc654181861438ca768a0063f6b317223ede37d16fb</x:v>
      </x:c>
      <x:c r="T531" t="str">
        <x:v>factor_report/gtja191_batch/gtja_124/ic_summary.csv</x:v>
      </x:c>
    </x:row>
    <x:row r="532">
      <x:c r="A532" s="50" t="n">
        <x:f>IF($P532="legacy_common_sample_8902245",1+COUNTIFS($C$5:$C$546,$C532,$P$5:$P$546,"legacy_common_sample_8902245",$I$5:$I$546,"&gt;"&amp;$I532),"")</x:f>
        <x:v>172</x:v>
      </x:c>
      <x:c r="B532" t="str">
        <x:v>gtja_165</x:v>
      </x:c>
      <x:c r="C532" s="50" t="n">
        <x:v>20</x:v>
      </x:c>
      <x:c r="D532" t="str">
        <x:f>IF(E532&gt;=0,"positive","negative")</x:f>
        <x:v>positive</x:v>
      </x:c>
      <x:c r="E532" s="30" t="n">
        <x:v>0.005974237224172743</x:v>
      </x:c>
      <x:c r="F532" s="30" t="n">
        <x:f>ABS(E532)</x:f>
        <x:v>0.005974237224172743</x:v>
      </x:c>
      <x:c r="G532" s="30" t="n">
        <x:v>0.08434995342638171</x:v>
      </x:c>
      <x:c r="H532" s="30" t="n">
        <x:v>0.07082679932226507</x:v>
      </x:c>
      <x:c r="I532" s="30" t="n">
        <x:f>ABS(H532)</x:f>
        <x:v>0.07082679932226507</x:v>
      </x:c>
      <x:c r="J532" s="30" t="n">
        <x:v>0.5321390937829295</x:v>
      </x:c>
      <x:c r="K532" s="30" t="n">
        <x:v>-0.0034879275889864187</x:v>
      </x:c>
      <x:c r="L532" s="30" t="n">
        <x:v>-0.05392751823506181</x:v>
      </x:c>
      <x:c r="M532" s="30" t="n">
        <x:v>0.4673340358271865</x:v>
      </x:c>
      <x:c r="N532" s="19" t="n">
        <x:v>1898</x:v>
      </x:c>
      <x:c r="O532" t="b">
        <x:f>P532="legacy_common_sample_8902245"</x:f>
        <x:v>1</x:v>
      </x:c>
      <x:c r="P532" t="str">
        <x:v>legacy_common_sample_8902245</x:v>
      </x:c>
      <x:c r="Q532" s="74" t="n">
        <x:v>46211.5176621412</x:v>
      </x:c>
      <x:c r="R532" s="19" t="n">
        <x:v>8902245</x:v>
      </x:c>
      <x:c r="S532" t="str">
        <x:v>8f7e606554926462248cbcc654181861438ca768a0063f6b317223ede37d16fb</x:v>
      </x:c>
      <x:c r="T532" t="str">
        <x:v>factor_report/gtja191_batch/gtja_165/ic_summary.csv</x:v>
      </x:c>
    </x:row>
    <x:row r="533">
      <x:c r="A533" s="50" t="n">
        <x:f>IF($P533="legacy_common_sample_8902245",1+COUNTIFS($C$5:$C$546,$C533,$P$5:$P$546,"legacy_common_sample_8902245",$I$5:$I$546,"&gt;"&amp;$I533),"")</x:f>
        <x:v>173</x:v>
      </x:c>
      <x:c r="B533" t="str">
        <x:v>gtja_146</x:v>
      </x:c>
      <x:c r="C533" s="50" t="n">
        <x:v>20</x:v>
      </x:c>
      <x:c r="D533" t="str">
        <x:f>IF(E533&gt;=0,"positive","negative")</x:f>
        <x:v>negative</x:v>
      </x:c>
      <x:c r="E533" s="30" t="n">
        <x:v>-0.0057458720911978105</x:v>
      </x:c>
      <x:c r="F533" s="30" t="n">
        <x:f>ABS(E533)</x:f>
        <x:v>0.0057458720911978105</x:v>
      </x:c>
      <x:c r="G533" s="30" t="n">
        <x:v>0.08308906194559756</x:v>
      </x:c>
      <x:c r="H533" s="30" t="n">
        <x:v>-0.06915317078630533</x:v>
      </x:c>
      <x:c r="I533" s="30" t="n">
        <x:f>ABS(H533)</x:f>
        <x:v>0.06915317078630533</x:v>
      </x:c>
      <x:c r="J533" s="30" t="n">
        <x:v>0.4628975265017668</x:v>
      </x:c>
      <x:c r="K533" s="30" t="n">
        <x:v>-0.010963031741320945</x:v>
      </x:c>
      <x:c r="L533" s="30" t="n">
        <x:v>-0.18092071428563997</x:v>
      </x:c>
      <x:c r="M533" s="30" t="n">
        <x:v>0.40686521958606764</x:v>
      </x:c>
      <x:c r="N533" s="19" t="n">
        <x:v>1981</x:v>
      </x:c>
      <x:c r="O533" t="b">
        <x:f>P533="legacy_common_sample_8902245"</x:f>
        <x:v>1</x:v>
      </x:c>
      <x:c r="P533" t="str">
        <x:v>legacy_common_sample_8902245</x:v>
      </x:c>
      <x:c r="Q533" s="74" t="n">
        <x:v>46211.45605219907</x:v>
      </x:c>
      <x:c r="R533" s="19" t="n">
        <x:v>8902245</x:v>
      </x:c>
      <x:c r="S533" t="str">
        <x:v>8f7e606554926462248cbcc654181861438ca768a0063f6b317223ede37d16fb</x:v>
      </x:c>
      <x:c r="T533" t="str">
        <x:v>factor_report/gtja191_batch/gtja_146/ic_summary.csv</x:v>
      </x:c>
    </x:row>
    <x:row r="534">
      <x:c r="A534" s="50" t="n">
        <x:f>IF($P534="legacy_common_sample_8902245",1+COUNTIFS($C$5:$C$546,$C534,$P$5:$P$546,"legacy_common_sample_8902245",$I$5:$I$546,"&gt;"&amp;$I534),"")</x:f>
        <x:v>174</x:v>
      </x:c>
      <x:c r="B534" t="str">
        <x:v>gtja_163</x:v>
      </x:c>
      <x:c r="C534" s="50" t="n">
        <x:v>20</x:v>
      </x:c>
      <x:c r="D534" t="str">
        <x:f>IF(E534&gt;=0,"positive","negative")</x:f>
        <x:v>positive</x:v>
      </x:c>
      <x:c r="E534" s="30" t="n">
        <x:v>0.004966602728574565</x:v>
      </x:c>
      <x:c r="F534" s="30" t="n">
        <x:f>ABS(E534)</x:f>
        <x:v>0.004966602728574565</x:v>
      </x:c>
      <x:c r="G534" s="30" t="n">
        <x:v>0.11356715674606098</x:v>
      </x:c>
      <x:c r="H534" s="30" t="n">
        <x:v>0.043732738151400705</x:v>
      </x:c>
      <x:c r="I534" s="30" t="n">
        <x:f>ABS(H534)</x:f>
        <x:v>0.043732738151400705</x:v>
      </x:c>
      <x:c r="J534" s="30" t="n">
        <x:v>0.5204442200908632</x:v>
      </x:c>
      <x:c r="K534" s="30" t="n">
        <x:v>0.0034597726525617384</x:v>
      </x:c>
      <x:c r="L534" s="30" t="n">
        <x:v>0.035929633361211175</x:v>
      </x:c>
      <x:c r="M534" s="30" t="n">
        <x:v>0.5164058556284705</x:v>
      </x:c>
      <x:c r="N534" s="19" t="n">
        <x:v>1981</x:v>
      </x:c>
      <x:c r="O534" t="b">
        <x:f>P534="legacy_common_sample_8902245"</x:f>
        <x:v>1</x:v>
      </x:c>
      <x:c r="P534" t="str">
        <x:v>legacy_common_sample_8902245</x:v>
      </x:c>
      <x:c r="Q534" s="74" t="n">
        <x:v>46211.5122449537</x:v>
      </x:c>
      <x:c r="R534" s="19" t="n">
        <x:v>8902245</x:v>
      </x:c>
      <x:c r="S534" t="str">
        <x:v>8f7e606554926462248cbcc654181861438ca768a0063f6b317223ede37d16fb</x:v>
      </x:c>
      <x:c r="T534" t="str">
        <x:v>factor_report/gtja191_batch/gtja_163/ic_summary.csv</x:v>
      </x:c>
    </x:row>
    <x:row r="535">
      <x:c r="A535" s="50" t="n">
        <x:f>IF($P535="legacy_common_sample_8902245",1+COUNTIFS($C$5:$C$546,$C535,$P$5:$P$546,"legacy_common_sample_8902245",$I$5:$I$546,"&gt;"&amp;$I535),"")</x:f>
        <x:v>175</x:v>
      </x:c>
      <x:c r="B535" t="str">
        <x:v>gtja_138</x:v>
      </x:c>
      <x:c r="C535" s="50" t="n">
        <x:v>20</x:v>
      </x:c>
      <x:c r="D535" t="str">
        <x:f>IF(E535&gt;=0,"positive","negative")</x:f>
        <x:v>positive</x:v>
      </x:c>
      <x:c r="E535" s="30" t="n">
        <x:v>0.007090759251939209</x:v>
      </x:c>
      <x:c r="F535" s="30" t="n">
        <x:f>ABS(E535)</x:f>
        <x:v>0.007090759251939209</x:v>
      </x:c>
      <x:c r="G535" s="30" t="n">
        <x:v>0.22814400892419004</x:v>
      </x:c>
      <x:c r="H535" s="30" t="n">
        <x:v>0.031080190469938648</x:v>
      </x:c>
      <x:c r="I535" s="30" t="n">
        <x:f>ABS(H535)</x:f>
        <x:v>0.031080190469938648</x:v>
      </x:c>
      <x:c r="J535" s="30" t="n">
        <x:v>0.5166051660516605</x:v>
      </x:c>
      <x:c r="K535" s="30" t="n">
        <x:v>0.002217765475844256</x:v>
      </x:c>
      <x:c r="L535" s="30" t="n">
        <x:v>0.009581113401784067</x:v>
      </x:c>
      <x:c r="M535" s="30" t="n">
        <x:v>0.49604638903531895</x:v>
      </x:c>
      <x:c r="N535" s="19" t="n">
        <x:v>1897</x:v>
      </x:c>
      <x:c r="O535" t="b">
        <x:f>P535="legacy_common_sample_8902245"</x:f>
        <x:v>1</x:v>
      </x:c>
      <x:c r="P535" t="str">
        <x:v>legacy_common_sample_8902245</x:v>
      </x:c>
      <x:c r="Q535" s="74" t="n">
        <x:v>46211.431942800926</x:v>
      </x:c>
      <x:c r="R535" s="19" t="n">
        <x:v>8902245</x:v>
      </x:c>
      <x:c r="S535" t="str">
        <x:v>8f7e606554926462248cbcc654181861438ca768a0063f6b317223ede37d16fb</x:v>
      </x:c>
      <x:c r="T535" t="str">
        <x:v>factor_report/gtja191_batch/gtja_138/ic_summary.csv</x:v>
      </x:c>
    </x:row>
    <x:row r="536">
      <x:c r="A536" s="50" t="n">
        <x:f>IF($P536="legacy_common_sample_8902245",1+COUNTIFS($C$5:$C$546,$C536,$P$5:$P$546,"legacy_common_sample_8902245",$I$5:$I$546,"&gt;"&amp;$I536),"")</x:f>
        <x:v>176</x:v>
      </x:c>
      <x:c r="B536" t="str">
        <x:v>gtja_002</x:v>
      </x:c>
      <x:c r="C536" s="50" t="n">
        <x:v>20</x:v>
      </x:c>
      <x:c r="D536" t="str">
        <x:f>IF(E536&gt;=0,"positive","negative")</x:f>
        <x:v>positive</x:v>
      </x:c>
      <x:c r="E536" s="30" t="n">
        <x:v>0.00259474904267911</x:v>
      </x:c>
      <x:c r="F536" s="30" t="n">
        <x:f>ABS(E536)</x:f>
        <x:v>0.00259474904267911</x:v>
      </x:c>
      <x:c r="G536" s="30" t="n">
        <x:v>0.09354214656137015</x:v>
      </x:c>
      <x:c r="H536" s="30" t="n">
        <x:v>0.02773882295909015</x:v>
      </x:c>
      <x:c r="I536" s="30" t="n">
        <x:f>ABS(H536)</x:f>
        <x:v>0.02773882295909015</x:v>
      </x:c>
      <x:c r="J536" s="30" t="n">
        <x:v>0.5153962645128722</x:v>
      </x:c>
      <x:c r="K536" s="30" t="n">
        <x:v>0.0011280360048697626</x:v>
      </x:c>
      <x:c r="L536" s="30" t="n">
        <x:v>0.014310895136015205</x:v>
      </x:c>
      <x:c r="M536" s="30" t="n">
        <x:v>0.5073195355880868</x:v>
      </x:c>
      <x:c r="N536" s="19" t="n">
        <x:v>1981</x:v>
      </x:c>
      <x:c r="O536" t="b">
        <x:f>P536="legacy_common_sample_8902245"</x:f>
        <x:v>1</x:v>
      </x:c>
      <x:c r="P536" t="str">
        <x:v>legacy_common_sample_8902245</x:v>
      </x:c>
      <x:c r="Q536" s="74" t="n">
        <x:v>46211.155761828704</x:v>
      </x:c>
      <x:c r="R536" s="19" t="n">
        <x:v>8902245</x:v>
      </x:c>
      <x:c r="S536" t="str">
        <x:v>8f7e606554926462248cbcc654181861438ca768a0063f6b317223ede37d16fb</x:v>
      </x:c>
      <x:c r="T536" t="str">
        <x:v>factor_report/gtja191_batch/gtja_002/ic_summary.csv</x:v>
      </x:c>
    </x:row>
    <x:row r="537">
      <x:c r="A537" s="50" t="n">
        <x:f>IF($P537="legacy_common_sample_8902245",1+COUNTIFS($C$5:$C$546,$C537,$P$5:$P$546,"legacy_common_sample_8902245",$I$5:$I$546,"&gt;"&amp;$I537),"")</x:f>
        <x:v>177</x:v>
      </x:c>
      <x:c r="B537" t="str">
        <x:v>gtja_142</x:v>
      </x:c>
      <x:c r="C537" s="50" t="n">
        <x:v>20</x:v>
      </x:c>
      <x:c r="D537" t="str">
        <x:f>IF(E537&gt;=0,"positive","negative")</x:f>
        <x:v>negative</x:v>
      </x:c>
      <x:c r="E537" s="30" t="n">
        <x:v>-0.002240955096747608</x:v>
      </x:c>
      <x:c r="F537" s="30" t="n">
        <x:f>ABS(E537)</x:f>
        <x:v>0.002240955096747608</x:v>
      </x:c>
      <x:c r="G537" s="30" t="n">
        <x:v>0.0978680990033249</x:v>
      </x:c>
      <x:c r="H537" s="30" t="n">
        <x:v>-0.022897707420182704</x:v>
      </x:c>
      <x:c r="I537" s="30" t="n">
        <x:f>ABS(H537)</x:f>
        <x:v>0.022897707420182704</x:v>
      </x:c>
      <x:c r="J537" s="30" t="n">
        <x:v>0.48965169106511863</x:v>
      </x:c>
      <x:c r="K537" s="30" t="n">
        <x:v>0.013661656239736336</x:v>
      </x:c>
      <x:c r="L537" s="30" t="n">
        <x:v>0.18112119481000233</x:v>
      </x:c>
      <x:c r="M537" s="30" t="n">
        <x:v>0.5860676426047451</x:v>
      </x:c>
      <x:c r="N537" s="19" t="n">
        <x:v>1981</x:v>
      </x:c>
      <x:c r="O537" t="b">
        <x:f>P537="legacy_common_sample_8902245"</x:f>
        <x:v>1</x:v>
      </x:c>
      <x:c r="P537" t="str">
        <x:v>legacy_common_sample_8902245</x:v>
      </x:c>
      <x:c r="Q537" s="74" t="n">
        <x:v>46211.45015293981</x:v>
      </x:c>
      <x:c r="R537" s="19" t="n">
        <x:v>8902245</x:v>
      </x:c>
      <x:c r="S537" t="str">
        <x:v>8f7e606554926462248cbcc654181861438ca768a0063f6b317223ede37d16fb</x:v>
      </x:c>
      <x:c r="T537" t="str">
        <x:v>factor_report/gtja191_batch/gtja_142/ic_summary.csv</x:v>
      </x:c>
    </x:row>
    <x:row r="538">
      <x:c r="A538" s="50" t="n">
        <x:f>IF($P538="legacy_common_sample_8902245",1+COUNTIFS($C$5:$C$546,$C538,$P$5:$P$546,"legacy_common_sample_8902245",$I$5:$I$546,"&gt;"&amp;$I538),"")</x:f>
        <x:v>178</x:v>
      </x:c>
      <x:c r="B538" t="str">
        <x:v>gtja_111</x:v>
      </x:c>
      <x:c r="C538" s="50" t="n">
        <x:v>20</x:v>
      </x:c>
      <x:c r="D538" t="str">
        <x:f>IF(E538&gt;=0,"positive","negative")</x:f>
        <x:v>positive</x:v>
      </x:c>
      <x:c r="E538" s="30" t="n">
        <x:v>0.0019995421900137846</x:v>
      </x:c>
      <x:c r="F538" s="30" t="n">
        <x:f>ABS(E538)</x:f>
        <x:v>0.0019995421900137846</x:v>
      </x:c>
      <x:c r="G538" s="30" t="n">
        <x:v>0.09244376042151504</x:v>
      </x:c>
      <x:c r="H538" s="30" t="n">
        <x:v>0.021629823158388288</x:v>
      </x:c>
      <x:c r="I538" s="30" t="n">
        <x:f>ABS(H538)</x:f>
        <x:v>0.021629823158388288</x:v>
      </x:c>
      <x:c r="J538" s="30" t="n">
        <x:v>0.5133770822816759</x:v>
      </x:c>
      <x:c r="K538" s="30" t="n">
        <x:v>0.000835907293425099</x:v>
      </x:c>
      <x:c r="L538" s="30" t="n">
        <x:v>0.016122805143020134</x:v>
      </x:c>
      <x:c r="M538" s="30" t="n">
        <x:v>0.5058051489146895</x:v>
      </x:c>
      <x:c r="N538" s="19" t="n">
        <x:v>1981</x:v>
      </x:c>
      <x:c r="O538" t="b">
        <x:f>P538="legacy_common_sample_8902245"</x:f>
        <x:v>1</x:v>
      </x:c>
      <x:c r="P538" t="str">
        <x:v>legacy_common_sample_8902245</x:v>
      </x:c>
      <x:c r="Q538" s="74" t="n">
        <x:v>46211.36424368055</x:v>
      </x:c>
      <x:c r="R538" s="19" t="n">
        <x:v>8902245</x:v>
      </x:c>
      <x:c r="S538" t="str">
        <x:v>8f7e606554926462248cbcc654181861438ca768a0063f6b317223ede37d16fb</x:v>
      </x:c>
      <x:c r="T538" t="str">
        <x:v>factor_report/gtja191_batch/gtja_111/ic_summary.csv</x:v>
      </x:c>
    </x:row>
    <x:row r="539">
      <x:c r="A539" s="50" t="n">
        <x:f>IF($P539="legacy_common_sample_8902245",1+COUNTIFS($C$5:$C$546,$C539,$P$5:$P$546,"legacy_common_sample_8902245",$I$5:$I$546,"&gt;"&amp;$I539),"")</x:f>
        <x:v>179</x:v>
      </x:c>
      <x:c r="B539" t="str">
        <x:v>gtja_171</x:v>
      </x:c>
      <x:c r="C539" s="50" t="n">
        <x:v>20</x:v>
      </x:c>
      <x:c r="D539" t="str">
        <x:f>IF(E539&gt;=0,"positive","negative")</x:f>
        <x:v>negative</x:v>
      </x:c>
      <x:c r="E539" s="30" t="n">
        <x:v>-0.0014913989789205086</x:v>
      </x:c>
      <x:c r="F539" s="30" t="n">
        <x:f>ABS(E539)</x:f>
        <x:v>0.0014913989789205086</x:v>
      </x:c>
      <x:c r="G539" s="30" t="n">
        <x:v>0.09372969700325982</x:v>
      </x:c>
      <x:c r="H539" s="30" t="n">
        <x:v>-0.015911701697580855</x:v>
      </x:c>
      <x:c r="I539" s="30" t="n">
        <x:f>ABS(H539)</x:f>
        <x:v>0.015911701697580855</x:v>
      </x:c>
      <x:c r="J539" s="30" t="n">
        <x:v>0.48662291771832406</x:v>
      </x:c>
      <x:c r="K539" s="30" t="n">
        <x:v>0.00861631624807976</x:v>
      </x:c>
      <x:c r="L539" s="30" t="n">
        <x:v>0.19954552754835292</x:v>
      </x:c>
      <x:c r="M539" s="30" t="n">
        <x:v>0.6012115093387178</x:v>
      </x:c>
      <x:c r="N539" s="19" t="n">
        <x:v>1981</x:v>
      </x:c>
      <x:c r="O539" t="b">
        <x:f>P539="legacy_common_sample_8902245"</x:f>
        <x:v>1</x:v>
      </x:c>
      <x:c r="P539" t="str">
        <x:v>legacy_common_sample_8902245</x:v>
      </x:c>
      <x:c r="Q539" s="74" t="n">
        <x:v>46211.52808474537</x:v>
      </x:c>
      <x:c r="R539" s="19" t="n">
        <x:v>8902245</x:v>
      </x:c>
      <x:c r="S539" t="str">
        <x:v>8f7e606554926462248cbcc654181861438ca768a0063f6b317223ede37d16fb</x:v>
      </x:c>
      <x:c r="T539" t="str">
        <x:v>factor_report/gtja191_batch/gtja_171/ic_summary.csv</x:v>
      </x:c>
    </x:row>
    <x:row r="540">
      <x:c r="A540" s="50" t="n">
        <x:f>IF($P540="legacy_common_sample_8902245",1+COUNTIFS($C$5:$C$546,$C540,$P$5:$P$546,"legacy_common_sample_8902245",$I$5:$I$546,"&gt;"&amp;$I540),"")</x:f>
        <x:v>180</x:v>
      </x:c>
      <x:c r="B540" t="str">
        <x:v>gtja_004</x:v>
      </x:c>
      <x:c r="C540" s="50" t="n">
        <x:v>20</x:v>
      </x:c>
      <x:c r="D540" t="str">
        <x:f>IF(E540&gt;=0,"positive","negative")</x:f>
        <x:v>positive</x:v>
      </x:c>
      <x:c r="E540" s="30" t="n">
        <x:v>0.0006447894973695364</x:v>
      </x:c>
      <x:c r="F540" s="30" t="n">
        <x:f>ABS(E540)</x:f>
        <x:v>0.0006447894973695364</x:v>
      </x:c>
      <x:c r="G540" s="30" t="n">
        <x:v>0.06635328181691785</x:v>
      </x:c>
      <x:c r="H540" s="30" t="n">
        <x:v>0.009717522324647652</x:v>
      </x:c>
      <x:c r="I540" s="30" t="n">
        <x:f>ABS(H540)</x:f>
        <x:v>0.009717522324647652</x:v>
      </x:c>
      <x:c r="J540" s="30" t="n">
        <x:v>0.4684502776375568</x:v>
      </x:c>
      <x:c r="K540" s="30" t="n">
        <x:v>-0.00005304980121781729</x:v>
      </x:c>
      <x:c r="L540" s="30" t="n">
        <x:v>-0.0009582607603264688</x:v>
      </x:c>
      <x:c r="M540" s="30" t="n">
        <x:v>0.4734982332155477</x:v>
      </x:c>
      <x:c r="N540" s="19" t="n">
        <x:v>1981</x:v>
      </x:c>
      <x:c r="O540" t="b">
        <x:f>P540="legacy_common_sample_8902245"</x:f>
        <x:v>1</x:v>
      </x:c>
      <x:c r="P540" t="str">
        <x:v>legacy_common_sample_8902245</x:v>
      </x:c>
      <x:c r="Q540" s="74" t="n">
        <x:v>46211.15884189815</x:v>
      </x:c>
      <x:c r="R540" s="19" t="n">
        <x:v>8902245</x:v>
      </x:c>
      <x:c r="S540" t="str">
        <x:v>8f7e606554926462248cbcc654181861438ca768a0063f6b317223ede37d16fb</x:v>
      </x:c>
      <x:c r="T540" t="str">
        <x:v>factor_report/gtja191_batch/gtja_004/ic_summary.csv</x:v>
      </x:c>
    </x:row>
    <x:row r="541">
      <x:c r="A541" s="50" t="n">
        <x:f>IF($P541="legacy_common_sample_8902245",1+COUNTIFS($C$5:$C$546,$C541,$P$5:$P$546,"legacy_common_sample_8902245",$I$5:$I$546,"&gt;"&amp;$I541),"")</x:f>
        <x:v>181</x:v>
      </x:c>
      <x:c r="B541" t="str">
        <x:v>gtja_172</x:v>
      </x:c>
      <x:c r="C541" s="50" t="n">
        <x:v>20</x:v>
      </x:c>
      <x:c r="D541" t="str">
        <x:f>IF(E541&gt;=0,"positive","negative")</x:f>
        <x:v>negative</x:v>
      </x:c>
      <x:c r="E541" s="30" t="n">
        <x:v>-0.00048523091950950875</x:v>
      </x:c>
      <x:c r="F541" s="30" t="n">
        <x:f>ABS(E541)</x:f>
        <x:v>0.00048523091950950875</x:v>
      </x:c>
      <x:c r="G541" s="30" t="n">
        <x:v>0.08369551266032782</x:v>
      </x:c>
      <x:c r="H541" s="30" t="n">
        <x:v>-0.005797573897166785</x:v>
      </x:c>
      <x:c r="I541" s="30" t="n">
        <x:f>ABS(H541)</x:f>
        <x:v>0.005797573897166785</x:v>
      </x:c>
      <x:c r="J541" s="30" t="n">
        <x:v>0.4719838465421504</x:v>
      </x:c>
      <x:c r="K541" s="30" t="n">
        <x:v>0.0032261457900436895</x:v>
      </x:c>
      <x:c r="L541" s="30" t="n">
        <x:v>0.04565078425490042</x:v>
      </x:c>
      <x:c r="M541" s="30" t="n">
        <x:v>0.4734982332155477</x:v>
      </x:c>
      <x:c r="N541" s="19" t="n">
        <x:v>1981</x:v>
      </x:c>
      <x:c r="O541" t="b">
        <x:f>P541="legacy_common_sample_8902245"</x:f>
        <x:v>1</x:v>
      </x:c>
      <x:c r="P541" t="str">
        <x:v>legacy_common_sample_8902245</x:v>
      </x:c>
      <x:c r="Q541" s="74" t="n">
        <x:v>46211.5309509838</x:v>
      </x:c>
      <x:c r="R541" s="19" t="n">
        <x:v>8902245</x:v>
      </x:c>
      <x:c r="S541" t="str">
        <x:v>8f7e606554926462248cbcc654181861438ca768a0063f6b317223ede37d16fb</x:v>
      </x:c>
      <x:c r="T541" t="str">
        <x:v>factor_report/gtja191_batch/gtja_172/ic_summary.csv</x:v>
      </x:c>
    </x:row>
    <x:row r="542">
      <x:c r="A542" s="50" t="n">
        <x:f>IF($P542="legacy_common_sample_8902245",1+COUNTIFS($C$5:$C$546,$C542,$P$5:$P$546,"legacy_common_sample_8902245",$I$5:$I$546,"&gt;"&amp;$I542),"")</x:f>
        <x:v>182</x:v>
      </x:c>
      <x:c r="B542" t="str">
        <x:v>gtja_186</x:v>
      </x:c>
      <x:c r="C542" s="50" t="n">
        <x:v>20</x:v>
      </x:c>
      <x:c r="D542" t="str">
        <x:f>IF(E542&gt;=0,"positive","negative")</x:f>
        <x:v>negative</x:v>
      </x:c>
      <x:c r="E542" s="30" t="n">
        <x:v>-0.0002276851864431226</x:v>
      </x:c>
      <x:c r="F542" s="30" t="n">
        <x:f>ABS(E542)</x:f>
        <x:v>0.0002276851864431226</x:v>
      </x:c>
      <x:c r="G542" s="30" t="n">
        <x:v>0.08267717695048045</x:v>
      </x:c>
      <x:c r="H542" s="30" t="n">
        <x:v>-0.0027539061545303464</x:v>
      </x:c>
      <x:c r="I542" s="30" t="n">
        <x:f>ABS(H542)</x:f>
        <x:v>0.0027539061545303464</x:v>
      </x:c>
      <x:c r="J542" s="30" t="n">
        <x:v>0.46138313982836954</x:v>
      </x:c>
      <x:c r="K542" s="30" t="n">
        <x:v>0.004681967008378103</x:v>
      </x:c>
      <x:c r="L542" s="30" t="n">
        <x:v>0.06641347946937208</x:v>
      </x:c>
      <x:c r="M542" s="30" t="n">
        <x:v>0.4840989399293286</x:v>
      </x:c>
      <x:c r="N542" s="19" t="n">
        <x:v>1981</x:v>
      </x:c>
      <x:c r="O542" t="b">
        <x:f>P542="legacy_common_sample_8902245"</x:f>
        <x:v>1</x:v>
      </x:c>
      <x:c r="P542" t="str">
        <x:v>legacy_common_sample_8902245</x:v>
      </x:c>
      <x:c r="Q542" s="74" t="n">
        <x:v>46211.5485016088</x:v>
      </x:c>
      <x:c r="R542" s="19" t="n">
        <x:v>8902245</x:v>
      </x:c>
      <x:c r="S542" t="str">
        <x:v>8f7e606554926462248cbcc654181861438ca768a0063f6b317223ede37d16fb</x:v>
      </x:c>
      <x:c r="T542" t="str">
        <x:v>factor_report/gtja191_batch/gtja_186/ic_summary.csv</x:v>
      </x:c>
    </x:row>
    <x:row r="543">
      <x:c r="A543" s="50" t="str">
        <x:f>IF($P543="legacy_common_sample_8902245",1+COUNTIFS($C$5:$C$546,$C543,$P$5:$P$546,"legacy_common_sample_8902245",$I$5:$I$546,"&gt;"&amp;$I543),"")</x:f>
      </x:c>
      <x:c r="B543" t="str">
        <x:v>gtja_005</x:v>
      </x:c>
      <x:c r="C543" s="50" t="n">
        <x:v>20</x:v>
      </x:c>
      <x:c r="D543" t="str">
        <x:f>IF(E543&gt;=0,"positive","negative")</x:f>
        <x:v>positive</x:v>
      </x:c>
      <x:c r="E543" s="30" t="n">
        <x:v>0.044977246040452376</x:v>
      </x:c>
      <x:c r="F543" s="30" t="n">
        <x:f>ABS(E543)</x:f>
        <x:v>0.044977246040452376</x:v>
      </x:c>
      <x:c r="G543" s="30" t="n">
        <x:v>0.06938478519589097</x:v>
      </x:c>
      <x:c r="H543" s="30" t="n">
        <x:v>0.648229232294517</x:v>
      </x:c>
      <x:c r="I543" s="30" t="n">
        <x:f>ABS(H543)</x:f>
        <x:v>0.648229232294517</x:v>
      </x:c>
      <x:c r="J543" s="30" t="n">
        <x:v>0.7493022075615327</x:v>
      </x:c>
      <x:c r="K543" s="30" t="n">
        <x:v>0.02524863564492056</x:v>
      </x:c>
      <x:c r="L543" s="30" t="n">
        <x:v>0.41552734105211925</x:v>
      </x:c>
      <x:c r="M543" s="30" t="n">
        <x:v>0.6592235473230145</x:v>
      </x:c>
      <x:c r="N543" s="19" t="n">
        <x:v>3941</x:v>
      </x:c>
      <x:c r="O543" t="b">
        <x:f>P543="legacy_common_sample_8902245"</x:f>
        <x:v>0</x:v>
      </x:c>
      <x:c r="P543" t="str">
        <x:v>latest_context_sample_13231952</x:v>
      </x:c>
      <x:c r="Q543" s="74" t="n">
        <x:v>46230.276212083336</x:v>
      </x:c>
      <x:c r="R543" s="19" t="n">
        <x:v>13231952</x:v>
      </x:c>
      <x:c r="S543" t="str">
        <x:v>c89ec58a501c3ee9d35b4d16a82c2c097120d5210dcc66310d77aa437a3c789b</x:v>
      </x:c>
      <x:c r="T543" t="str">
        <x:v>factor_report/gtja191_batch/gtja_005/ic_summary.csv</x:v>
      </x:c>
    </x:row>
    <x:row r="544">
      <x:c r="A544" s="50" t="str">
        <x:f>IF($P544="legacy_common_sample_8902245",1+COUNTIFS($C$5:$C$546,$C544,$P$5:$P$546,"legacy_common_sample_8902245",$I$5:$I$546,"&gt;"&amp;$I544),"")</x:f>
      </x:c>
      <x:c r="B544" t="str">
        <x:v>gtja_012</x:v>
      </x:c>
      <x:c r="C544" s="50" t="n">
        <x:v>20</x:v>
      </x:c>
      <x:c r="D544" t="str">
        <x:f>IF(E544&gt;=0,"positive","negative")</x:f>
        <x:v>positive</x:v>
      </x:c>
      <x:c r="E544" s="30" t="n">
        <x:v>0.03989492696853495</x:v>
      </x:c>
      <x:c r="F544" s="30" t="n">
        <x:f>ABS(E544)</x:f>
        <x:v>0.03989492696853495</x:v>
      </x:c>
      <x:c r="G544" s="30" t="n">
        <x:v>0.10692194657752863</x:v>
      </x:c>
      <x:c r="H544" s="30" t="n">
        <x:v>0.37312196649550633</x:v>
      </x:c>
      <x:c r="I544" s="30" t="n">
        <x:f>ABS(H544)</x:f>
        <x:v>0.37312196649550633</x:v>
      </x:c>
      <x:c r="J544" s="30" t="n">
        <x:v>0.6612534889621924</x:v>
      </x:c>
      <x:c r="K544" s="30" t="n">
        <x:v>0.04032097588427797</x:v>
      </x:c>
      <x:c r="L544" s="30" t="n">
        <x:v>0.38028503374392936</x:v>
      </x:c>
      <x:c r="M544" s="30" t="n">
        <x:v>0.6726719106825679</x:v>
      </x:c>
      <x:c r="N544" s="19" t="n">
        <x:v>3941</x:v>
      </x:c>
      <x:c r="O544" t="b">
        <x:f>P544="legacy_common_sample_8902245"</x:f>
        <x:v>0</x:v>
      </x:c>
      <x:c r="P544" t="str">
        <x:v>latest_context_sample_13231952</x:v>
      </x:c>
      <x:c r="Q544" s="74" t="n">
        <x:v>46230.30990840278</x:v>
      </x:c>
      <x:c r="R544" s="19" t="n">
        <x:v>13231952</x:v>
      </x:c>
      <x:c r="S544" t="str">
        <x:v>c89ec58a501c3ee9d35b4d16a82c2c097120d5210dcc66310d77aa437a3c789b</x:v>
      </x:c>
      <x:c r="T544" t="str">
        <x:v>factor_report/gtja191_batch/gtja_012/ic_summary.csv</x:v>
      </x:c>
    </x:row>
    <x:row r="545">
      <x:c r="A545" s="50" t="str">
        <x:f>IF($P545="legacy_common_sample_8902245",1+COUNTIFS($C$5:$C$546,$C545,$P$5:$P$546,"legacy_common_sample_8902245",$I$5:$I$546,"&gt;"&amp;$I545),"")</x:f>
      </x:c>
      <x:c r="B545" t="str">
        <x:v>gtja_007</x:v>
      </x:c>
      <x:c r="C545" s="50" t="n">
        <x:v>20</x:v>
      </x:c>
      <x:c r="D545" t="str">
        <x:f>IF(E545&gt;=0,"positive","negative")</x:f>
        <x:v>positive</x:v>
      </x:c>
      <x:c r="E545" s="30" t="n">
        <x:v>0.02673646735981392</x:v>
      </x:c>
      <x:c r="F545" s="30" t="n">
        <x:f>ABS(E545)</x:f>
        <x:v>0.02673646735981392</x:v>
      </x:c>
      <x:c r="G545" s="30" t="n">
        <x:v>0.0822379384928654</x:v>
      </x:c>
      <x:c r="H545" s="30" t="n">
        <x:v>0.325111108690224</x:v>
      </x:c>
      <x:c r="I545" s="30" t="n">
        <x:f>ABS(H545)</x:f>
        <x:v>0.325111108690224</x:v>
      </x:c>
      <x:c r="J545" s="30" t="n">
        <x:v>0.6358792184724689</x:v>
      </x:c>
      <x:c r="K545" s="30" t="n">
        <x:v>0.015541424533850986</x:v>
      </x:c>
      <x:c r="L545" s="30" t="n">
        <x:v>0.21939179344048648</x:v>
      </x:c>
      <x:c r="M545" s="30" t="n">
        <x:v>0.5831007358538443</x:v>
      </x:c>
      <x:c r="N545" s="19" t="n">
        <x:v>3941</x:v>
      </x:c>
      <x:c r="O545" t="b">
        <x:f>P545="legacy_common_sample_8902245"</x:f>
        <x:v>0</x:v>
      </x:c>
      <x:c r="P545" t="str">
        <x:v>latest_context_sample_13231952</x:v>
      </x:c>
      <x:c r="Q545" s="74" t="n">
        <x:v>46230.29278930555</x:v>
      </x:c>
      <x:c r="R545" s="19" t="n">
        <x:v>13231952</x:v>
      </x:c>
      <x:c r="S545" t="str">
        <x:v>c89ec58a501c3ee9d35b4d16a82c2c097120d5210dcc66310d77aa437a3c789b</x:v>
      </x:c>
      <x:c r="T545" t="str">
        <x:v>factor_report/gtja191_batch/gtja_007/ic_summary.csv</x:v>
      </x:c>
    </x:row>
    <x:row r="546">
      <x:c r="A546" s="50" t="str">
        <x:f>IF($P546="legacy_common_sample_8902245",1+COUNTIFS($C$5:$C$546,$C546,$P$5:$P$546,"legacy_common_sample_8902245",$I$5:$I$546,"&gt;"&amp;$I546),"")</x:f>
      </x:c>
      <x:c r="B546" t="str">
        <x:v>gtja_015</x:v>
      </x:c>
      <x:c r="C546" s="50" t="n">
        <x:v>20</x:v>
      </x:c>
      <x:c r="D546" t="str">
        <x:f>IF(E546&gt;=0,"positive","negative")</x:f>
        <x:v>positive</x:v>
      </x:c>
      <x:c r="E546" s="30" t="n">
        <x:v>0.019216577227991607</x:v>
      </x:c>
      <x:c r="F546" s="30" t="n">
        <x:f>ABS(E546)</x:f>
        <x:v>0.019216577227991607</x:v>
      </x:c>
      <x:c r="G546" s="30" t="n">
        <x:v>0.06566011794071615</x:v>
      </x:c>
      <x:c r="H546" s="30" t="n">
        <x:v>0.29266741868088114</x:v>
      </x:c>
      <x:c r="I546" s="30" t="n">
        <x:f>ABS(H546)</x:f>
        <x:v>0.29266741868088114</x:v>
      </x:c>
      <x:c r="J546" s="30" t="n">
        <x:v>0.6571936056838366</x:v>
      </x:c>
      <x:c r="K546" s="30" t="n">
        <x:v>0.010950483440529795</x:v>
      </x:c>
      <x:c r="L546" s="30" t="n">
        <x:v>0.18904073079995232</x:v>
      </x:c>
      <x:c r="M546" s="30" t="n">
        <x:v>0.5876681045419944</x:v>
      </x:c>
      <x:c r="N546" s="19" t="n">
        <x:v>3941</x:v>
      </x:c>
      <x:c r="O546" t="b">
        <x:f>P546="legacy_common_sample_8902245"</x:f>
        <x:v>0</x:v>
      </x:c>
      <x:c r="P546" t="str">
        <x:v>latest_context_sample_13231952</x:v>
      </x:c>
      <x:c r="Q546" s="74" t="n">
        <x:v>46230.32700612269</x:v>
      </x:c>
      <x:c r="R546" s="19" t="n">
        <x:v>13231952</x:v>
      </x:c>
      <x:c r="S546" t="str">
        <x:v>c89ec58a501c3ee9d35b4d16a82c2c097120d5210dcc66310d77aa437a3c789b</x:v>
      </x:c>
      <x:c r="T546" t="str">
        <x:v>factor_report/gtja191_batch/gtja_015/ic_summary.csv</x:v>
      </x:c>
    </x:row>
  </x:sheetData>
  <x:mergeCells>
    <x:mergeCell ref="A1:T1"/>
    <x:mergeCell ref="A2:T2"/>
  </x:mergeCells>
  <x:pageMargins left="0.7" right="0.7" top="0.75" bottom="0.75" header="0.3" footer="0.3"/>
  <x:tableParts count="1">
    <x:tablePart xmlns:r="http://schemas.openxmlformats.org/officeDocument/2006/relationships" r:id="R4ad3d3d827ae4a7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4" hidden="0" customWidth="1"/>
    <x:col min="7" max="7" width="13" hidden="0" customWidth="1"/>
    <x:col min="8" max="8" width="13" hidden="0" customWidth="1"/>
    <x:col min="9" max="9" width="17" hidden="0" customWidth="1"/>
    <x:col min="10" max="10" width="12" hidden="0" customWidth="1"/>
    <x:col min="11" max="11" width="17" hidden="0" customWidth="1"/>
    <x:col min="12" max="12" width="20" hidden="0" customWidth="1"/>
    <x:col min="13" max="13" width="18" hidden="0" customWidth="1"/>
    <x:col min="14" max="14" width="24" hidden="0" customWidth="1"/>
    <x:col min="15" max="15" width="31" hidden="0" customWidth="1"/>
    <x:col min="16" max="16" width="46" hidden="0" customWidth="1"/>
  </x:cols>
  <x:sheetData>
    <x:row r="1" ht="30" customHeight="1">
      <x:c r="A1" s="3" t="str">
        <x:v>Raw IC Inputs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</x:row>
    <x:row r="2" ht="34" customHeight="1">
      <x:c r="A2" s="7" t="str">
        <x:v>Exact union of the single-factor ic_summary.csv files, with run metadata appended. No ranking or lifecycle labels are applied here.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</x:row>
    <x:row r="4" ht="32" customHeight="1">
      <x:c r="A4" s="16" t="str">
        <x:v>Factor</x:v>
      </x:c>
      <x:c r="B4" s="29" t="str">
        <x:v>Window Days</x:v>
      </x:c>
      <x:c r="C4" s="29" t="str">
        <x:v>IC Mean</x:v>
      </x:c>
      <x:c r="D4" s="29" t="str">
        <x:v>IC Std</x:v>
      </x:c>
      <x:c r="E4" s="29" t="str">
        <x:v>ICIR</x:v>
      </x:c>
      <x:c r="F4" s="29" t="str">
        <x:v>Rank IC Mean</x:v>
      </x:c>
      <x:c r="G4" s="29" t="str">
        <x:v>Rank IC Std</x:v>
      </x:c>
      <x:c r="H4" s="29" t="str">
        <x:v>Rank ICIR</x:v>
      </x:c>
      <x:c r="I4" s="29" t="str">
        <x:v>Rank IC Win Rate</x:v>
      </x:c>
      <x:c r="J4" s="29" t="str">
        <x:v>IC Win Rate</x:v>
      </x:c>
      <x:c r="K4" s="29" t="str">
        <x:v>Observation Count</x:v>
      </x:c>
      <x:c r="L4" s="29" t="str">
        <x:v>Completed At</x:v>
      </x:c>
      <x:c r="M4" s="29" t="str">
        <x:v>Source Row Count</x:v>
      </x:c>
      <x:c r="N4" s="29" t="str">
        <x:v>Fingerprint</x:v>
      </x:c>
      <x:c r="O4" s="29" t="str">
        <x:v>Comparison Cohort</x:v>
      </x:c>
      <x:c r="P4" s="17" t="str">
        <x:v>Source File</x:v>
      </x:c>
    </x:row>
    <x:row r="5">
      <x:c r="A5" t="str">
        <x:v>gtja_001</x:v>
      </x:c>
      <x:c r="B5" s="50" t="n">
        <x:v>10</x:v>
      </x:c>
      <x:c r="C5" s="30" t="n">
        <x:v>0.008848207511136854</x:v>
      </x:c>
      <x:c r="D5" s="30" t="n">
        <x:v>0.04894592286467415</x:v>
      </x:c>
      <x:c r="E5" s="30" t="n">
        <x:v>0.18077516968268037</x:v>
      </x:c>
      <x:c r="F5" s="30" t="n">
        <x:v>0.02543854179141846</x:v>
      </x:c>
      <x:c r="G5" s="30" t="n">
        <x:v>0.05750669907208947</x:v>
      </x:c>
      <x:c r="H5" s="30" t="n">
        <x:v>0.44235788528792297</x:v>
      </x:c>
      <x:c r="I5" s="30" t="n">
        <x:v>0.6695128076343546</x:v>
      </x:c>
      <x:c r="J5" s="30" t="n">
        <x:v>0.5650426921145153</x:v>
      </x:c>
      <x:c r="K5" s="19" t="n">
        <x:v>1991</x:v>
      </x:c>
      <x:c r="L5" s="74" t="n">
        <x:v>46211.15197799769</x:v>
      </x:c>
      <x:c r="M5" s="19" t="n">
        <x:v>8902245</x:v>
      </x:c>
      <x:c r="N5" t="str">
        <x:v>8f7e606554926462248cbcc654181861438ca768a0063f6b317223ede37d16fb</x:v>
      </x:c>
      <x:c r="O5" t="str">
        <x:v>legacy_common_sample_8902245</x:v>
      </x:c>
      <x:c r="P5" t="str">
        <x:v>factor_report/gtja191_batch/gtja_001/ic_summary.csv</x:v>
      </x:c>
    </x:row>
    <x:row r="6">
      <x:c r="A6" t="str">
        <x:v>gtja_001</x:v>
      </x:c>
      <x:c r="B6" s="50" t="n">
        <x:v>20</x:v>
      </x:c>
      <x:c r="C6" s="30" t="n">
        <x:v>0.01157919232976945</x:v>
      </x:c>
      <x:c r="D6" s="30" t="n">
        <x:v>0.04967366444262856</x:v>
      </x:c>
      <x:c r="E6" s="30" t="n">
        <x:v>0.23310525727658032</x:v>
      </x:c>
      <x:c r="F6" s="30" t="n">
        <x:v>0.027015385108046932</x:v>
      </x:c>
      <x:c r="G6" s="30" t="n">
        <x:v>0.05807042058723976</x:v>
      </x:c>
      <x:c r="H6" s="30" t="n">
        <x:v>0.46521765874695975</x:v>
      </x:c>
      <x:c r="I6" s="30" t="n">
        <x:v>0.6769308430085815</x:v>
      </x:c>
      <x:c r="J6" s="30" t="n">
        <x:v>0.5790005047955578</x:v>
      </x:c>
      <x:c r="K6" s="19" t="n">
        <x:v>1981</x:v>
      </x:c>
      <x:c r="L6" s="74" t="n">
        <x:v>46211.15197799769</x:v>
      </x:c>
      <x:c r="M6" s="19" t="n">
        <x:v>8902245</x:v>
      </x:c>
      <x:c r="N6" t="str">
        <x:v>8f7e606554926462248cbcc654181861438ca768a0063f6b317223ede37d16fb</x:v>
      </x:c>
      <x:c r="O6" t="str">
        <x:v>legacy_common_sample_8902245</x:v>
      </x:c>
      <x:c r="P6" t="str">
        <x:v>factor_report/gtja191_batch/gtja_001/ic_summary.csv</x:v>
      </x:c>
    </x:row>
    <x:row r="7">
      <x:c r="A7" t="str">
        <x:v>gtja_002</x:v>
      </x:c>
      <x:c r="B7" s="50" t="n">
        <x:v>10</x:v>
      </x:c>
      <x:c r="C7" s="30" t="n">
        <x:v>0.0020134280963686945</x:v>
      </x:c>
      <x:c r="D7" s="30" t="n">
        <x:v>0.08137122997537595</x:v>
      </x:c>
      <x:c r="E7" s="30" t="n">
        <x:v>0.024743734326960344</x:v>
      </x:c>
      <x:c r="F7" s="30" t="n">
        <x:v>0.003331327897083199</x:v>
      </x:c>
      <x:c r="G7" s="30" t="n">
        <x:v>0.09708540008217934</x:v>
      </x:c>
      <x:c r="H7" s="30" t="n">
        <x:v>0.03431337661752796</x:v>
      </x:c>
      <x:c r="I7" s="30" t="n">
        <x:v>0.5163234555499749</x:v>
      </x:c>
      <x:c r="J7" s="30" t="n">
        <x:v>0.5138121546961326</x:v>
      </x:c>
      <x:c r="K7" s="19" t="n">
        <x:v>1991</x:v>
      </x:c>
      <x:c r="L7" s="74" t="n">
        <x:v>46211.155761828704</x:v>
      </x:c>
      <x:c r="M7" s="19" t="n">
        <x:v>8902245</x:v>
      </x:c>
      <x:c r="N7" t="str">
        <x:v>8f7e606554926462248cbcc654181861438ca768a0063f6b317223ede37d16fb</x:v>
      </x:c>
      <x:c r="O7" t="str">
        <x:v>legacy_common_sample_8902245</x:v>
      </x:c>
      <x:c r="P7" t="str">
        <x:v>factor_report/gtja191_batch/gtja_002/ic_summary.csv</x:v>
      </x:c>
    </x:row>
    <x:row r="8">
      <x:c r="A8" t="str">
        <x:v>gtja_002</x:v>
      </x:c>
      <x:c r="B8" s="50" t="n">
        <x:v>20</x:v>
      </x:c>
      <x:c r="C8" s="30" t="n">
        <x:v>0.0011280360048697626</x:v>
      </x:c>
      <x:c r="D8" s="30" t="n">
        <x:v>0.07882358120498802</x:v>
      </x:c>
      <x:c r="E8" s="30" t="n">
        <x:v>0.014310895136015205</x:v>
      </x:c>
      <x:c r="F8" s="30" t="n">
        <x:v>0.00259474904267911</x:v>
      </x:c>
      <x:c r="G8" s="30" t="n">
        <x:v>0.09354214656137015</x:v>
      </x:c>
      <x:c r="H8" s="30" t="n">
        <x:v>0.02773882295909015</x:v>
      </x:c>
      <x:c r="I8" s="30" t="n">
        <x:v>0.5153962645128722</x:v>
      </x:c>
      <x:c r="J8" s="30" t="n">
        <x:v>0.5073195355880868</x:v>
      </x:c>
      <x:c r="K8" s="19" t="n">
        <x:v>1981</x:v>
      </x:c>
      <x:c r="L8" s="74" t="n">
        <x:v>46211.155761828704</x:v>
      </x:c>
      <x:c r="M8" s="19" t="n">
        <x:v>8902245</x:v>
      </x:c>
      <x:c r="N8" t="str">
        <x:v>8f7e606554926462248cbcc654181861438ca768a0063f6b317223ede37d16fb</x:v>
      </x:c>
      <x:c r="O8" t="str">
        <x:v>legacy_common_sample_8902245</x:v>
      </x:c>
      <x:c r="P8" t="str">
        <x:v>factor_report/gtja191_batch/gtja_002/ic_summary.csv</x:v>
      </x:c>
    </x:row>
    <x:row r="9">
      <x:c r="A9" t="str">
        <x:v>gtja_003</x:v>
      </x:c>
      <x:c r="B9" s="50" t="n">
        <x:v>1</x:v>
      </x:c>
      <x:c r="C9" s="30" t="n">
        <x:v>-0.011690222472474058</x:v>
      </x:c>
      <x:c r="D9" s="30" t="n">
        <x:v>0.08588199540669586</x:v>
      </x:c>
      <x:c r="E9" s="30" t="n">
        <x:v>-0.13611959546485597</x:v>
      </x:c>
      <x:c r="F9" s="30" t="n">
        <x:v>-0.02780988007414572</x:v>
      </x:c>
      <x:c r="G9" s="30" t="n">
        <x:v>0.13233945057801774</x:v>
      </x:c>
      <x:c r="H9" s="30" t="n">
        <x:v>-0.2101405132987992</x:v>
      </x:c>
      <x:c r="I9" s="30" t="n">
        <x:v>0.4145</x:v>
      </x:c>
      <x:c r="J9" s="30" t="n">
        <x:v>0.441</x:v>
      </x:c>
      <x:c r="K9" s="19" t="n">
        <x:v>2000</x:v>
      </x:c>
      <x:c r="L9" s="74" t="n">
        <x:v>46210.119879363425</x:v>
      </x:c>
      <x:c r="M9" s="19" t="n">
        <x:v>8902245</x:v>
      </x:c>
      <x:c r="N9" t="str">
        <x:v>40355b29bce094aef0e99358bdfd4011b92e72a54440a67760de4afae4883c33</x:v>
      </x:c>
      <x:c r="O9" t="str">
        <x:v>legacy_common_sample_8902245</x:v>
      </x:c>
      <x:c r="P9" t="str">
        <x:v>factor_report/gtja191_batch/gtja_003/ic_summary.csv</x:v>
      </x:c>
    </x:row>
    <x:row r="10">
      <x:c r="A10" t="str">
        <x:v>gtja_003</x:v>
      </x:c>
      <x:c r="B10" s="50" t="n">
        <x:v>5</x:v>
      </x:c>
      <x:c r="C10" s="30" t="n">
        <x:v>-0.01716055979461611</x:v>
      </x:c>
      <x:c r="D10" s="30" t="n">
        <x:v>0.07968555164945504</x:v>
      </x:c>
      <x:c r="E10" s="30" t="n">
        <x:v>-0.21535346671260033</x:v>
      </x:c>
      <x:c r="F10" s="30" t="n">
        <x:v>-0.03133043162517747</x:v>
      </x:c>
      <x:c r="G10" s="30" t="n">
        <x:v>0.1251919600465916</x:v>
      </x:c>
      <x:c r="H10" s="30" t="n">
        <x:v>-0.25025913495976493</x:v>
      </x:c>
      <x:c r="I10" s="30" t="n">
        <x:v>0.39228456913827653</x:v>
      </x:c>
      <x:c r="J10" s="30" t="n">
        <x:v>0.41432865731462926</x:v>
      </x:c>
      <x:c r="K10" s="19" t="n">
        <x:v>1996</x:v>
      </x:c>
      <x:c r="L10" s="74" t="n">
        <x:v>46210.119879363425</x:v>
      </x:c>
      <x:c r="M10" s="19" t="n">
        <x:v>8902245</x:v>
      </x:c>
      <x:c r="N10" t="str">
        <x:v>40355b29bce094aef0e99358bdfd4011b92e72a54440a67760de4afae4883c33</x:v>
      </x:c>
      <x:c r="O10" t="str">
        <x:v>legacy_common_sample_8902245</x:v>
      </x:c>
      <x:c r="P10" t="str">
        <x:v>factor_report/gtja191_batch/gtja_003/ic_summary.csv</x:v>
      </x:c>
    </x:row>
    <x:row r="11">
      <x:c r="A11" t="str">
        <x:v>gtja_003</x:v>
      </x:c>
      <x:c r="B11" s="50" t="n">
        <x:v>10</x:v>
      </x:c>
      <x:c r="C11" s="30" t="n">
        <x:v>-0.019479019302020853</x:v>
      </x:c>
      <x:c r="D11" s="30" t="n">
        <x:v>0.07608397477153883</x:v>
      </x:c>
      <x:c r="E11" s="30" t="n">
        <x:v>-0.2560200010647641</x:v>
      </x:c>
      <x:c r="F11" s="30" t="n">
        <x:v>-0.03472088085404721</x:v>
      </x:c>
      <x:c r="G11" s="30" t="n">
        <x:v>0.12049476181299378</x:v>
      </x:c>
      <x:c r="H11" s="30" t="n">
        <x:v>-0.28815261619366944</x:v>
      </x:c>
      <x:c r="I11" s="30" t="n">
        <x:v>0.3902561526870919</x:v>
      </x:c>
      <x:c r="J11" s="30" t="n">
        <x:v>0.40632847815168255</x:v>
      </x:c>
      <x:c r="K11" s="19" t="n">
        <x:v>1991</x:v>
      </x:c>
      <x:c r="L11" s="74" t="n">
        <x:v>46210.119879363425</x:v>
      </x:c>
      <x:c r="M11" s="19" t="n">
        <x:v>8902245</x:v>
      </x:c>
      <x:c r="N11" t="str">
        <x:v>40355b29bce094aef0e99358bdfd4011b92e72a54440a67760de4afae4883c33</x:v>
      </x:c>
      <x:c r="O11" t="str">
        <x:v>legacy_common_sample_8902245</x:v>
      </x:c>
      <x:c r="P11" t="str">
        <x:v>factor_report/gtja191_batch/gtja_003/ic_summary.csv</x:v>
      </x:c>
    </x:row>
    <x:row r="12">
      <x:c r="A12" t="str">
        <x:v>gtja_003</x:v>
      </x:c>
      <x:c r="B12" s="50" t="n">
        <x:v>20</x:v>
      </x:c>
      <x:c r="C12" s="30" t="n">
        <x:v>-0.021750706704818917</x:v>
      </x:c>
      <x:c r="D12" s="30" t="n">
        <x:v>0.07532238981869883</x:v>
      </x:c>
      <x:c r="E12" s="30" t="n">
        <x:v>-0.28876814393665573</x:v>
      </x:c>
      <x:c r="F12" s="30" t="n">
        <x:v>-0.040821568603022704</x:v>
      </x:c>
      <x:c r="G12" s="30" t="n">
        <x:v>0.1159749249208376</x:v>
      </x:c>
      <x:c r="H12" s="30" t="n">
        <x:v>-0.3519861610678927</x:v>
      </x:c>
      <x:c r="I12" s="30" t="n">
        <x:v>0.358909641595154</x:v>
      </x:c>
      <x:c r="J12" s="30" t="n">
        <x:v>0.3770822816759212</x:v>
      </x:c>
      <x:c r="K12" s="19" t="n">
        <x:v>1981</x:v>
      </x:c>
      <x:c r="L12" s="74" t="n">
        <x:v>46210.119879363425</x:v>
      </x:c>
      <x:c r="M12" s="19" t="n">
        <x:v>8902245</x:v>
      </x:c>
      <x:c r="N12" t="str">
        <x:v>40355b29bce094aef0e99358bdfd4011b92e72a54440a67760de4afae4883c33</x:v>
      </x:c>
      <x:c r="O12" t="str">
        <x:v>legacy_common_sample_8902245</x:v>
      </x:c>
      <x:c r="P12" t="str">
        <x:v>factor_report/gtja191_batch/gtja_003/ic_summary.csv</x:v>
      </x:c>
    </x:row>
    <x:row r="13">
      <x:c r="A13" t="str">
        <x:v>gtja_004</x:v>
      </x:c>
      <x:c r="B13" s="50" t="n">
        <x:v>10</x:v>
      </x:c>
      <x:c r="C13" s="30" t="n">
        <x:v>0.00030514031299232007</x:v>
      </x:c>
      <x:c r="D13" s="30" t="n">
        <x:v>0.056405041427204025</x:v>
      </x:c>
      <x:c r="E13" s="30" t="n">
        <x:v>0.005409805671114206</x:v>
      </x:c>
      <x:c r="F13" s="30" t="n">
        <x:v>0.00039597296901405636</x:v>
      </x:c>
      <x:c r="G13" s="30" t="n">
        <x:v>0.06728270365550235</x:v>
      </x:c>
      <x:c r="H13" s="30" t="n">
        <x:v>0.005885211911838413</x:v>
      </x:c>
      <x:c r="I13" s="30" t="n">
        <x:v>0.46609743847312907</x:v>
      </x:c>
      <x:c r="J13" s="30" t="n">
        <x:v>0.47011551983927674</x:v>
      </x:c>
      <x:c r="K13" s="19" t="n">
        <x:v>1991</x:v>
      </x:c>
      <x:c r="L13" s="74" t="n">
        <x:v>46211.15884189815</x:v>
      </x:c>
      <x:c r="M13" s="19" t="n">
        <x:v>8902245</x:v>
      </x:c>
      <x:c r="N13" t="str">
        <x:v>8f7e606554926462248cbcc654181861438ca768a0063f6b317223ede37d16fb</x:v>
      </x:c>
      <x:c r="O13" t="str">
        <x:v>legacy_common_sample_8902245</x:v>
      </x:c>
      <x:c r="P13" t="str">
        <x:v>factor_report/gtja191_batch/gtja_004/ic_summary.csv</x:v>
      </x:c>
    </x:row>
    <x:row r="14">
      <x:c r="A14" t="str">
        <x:v>gtja_004</x:v>
      </x:c>
      <x:c r="B14" s="50" t="n">
        <x:v>20</x:v>
      </x:c>
      <x:c r="C14" s="30" t="n">
        <x:v>-0.00005304980121781729</x:v>
      </x:c>
      <x:c r="D14" s="30" t="n">
        <x:v>0.05536050667434594</x:v>
      </x:c>
      <x:c r="E14" s="30" t="n">
        <x:v>-0.0009582607603264688</x:v>
      </x:c>
      <x:c r="F14" s="30" t="n">
        <x:v>0.0006447894973695364</x:v>
      </x:c>
      <x:c r="G14" s="30" t="n">
        <x:v>0.06635328181691785</x:v>
      </x:c>
      <x:c r="H14" s="30" t="n">
        <x:v>0.009717522324647652</x:v>
      </x:c>
      <x:c r="I14" s="30" t="n">
        <x:v>0.4684502776375568</x:v>
      </x:c>
      <x:c r="J14" s="30" t="n">
        <x:v>0.4734982332155477</x:v>
      </x:c>
      <x:c r="K14" s="19" t="n">
        <x:v>1981</x:v>
      </x:c>
      <x:c r="L14" s="74" t="n">
        <x:v>46211.15884189815</x:v>
      </x:c>
      <x:c r="M14" s="19" t="n">
        <x:v>8902245</x:v>
      </x:c>
      <x:c r="N14" t="str">
        <x:v>8f7e606554926462248cbcc654181861438ca768a0063f6b317223ede37d16fb</x:v>
      </x:c>
      <x:c r="O14" t="str">
        <x:v>legacy_common_sample_8902245</x:v>
      </x:c>
      <x:c r="P14" t="str">
        <x:v>factor_report/gtja191_batch/gtja_004/ic_summary.csv</x:v>
      </x:c>
    </x:row>
    <x:row r="15">
      <x:c r="A15" t="str">
        <x:v>gtja_005</x:v>
      </x:c>
      <x:c r="B15" s="50" t="n">
        <x:v>1</x:v>
      </x:c>
      <x:c r="C15" s="30" t="n">
        <x:v>0.01031411164781602</x:v>
      </x:c>
      <x:c r="D15" s="30" t="n">
        <x:v>0.0625771997292349</x:v>
      </x:c>
      <x:c r="E15" s="30" t="n">
        <x:v>0.1648221986992726</x:v>
      </x:c>
      <x:c r="F15" s="30" t="n">
        <x:v>0.025079713667741598</x:v>
      </x:c>
      <x:c r="G15" s="30" t="n">
        <x:v>0.07180593483059108</x:v>
      </x:c>
      <x:c r="H15" s="30" t="n">
        <x:v>0.34927076329987455</x:v>
      </x:c>
      <x:c r="I15" s="30" t="n">
        <x:v>0.6464646464646465</x:v>
      </x:c>
      <x:c r="J15" s="30" t="n">
        <x:v>0.5676767676767677</x:v>
      </x:c>
      <x:c r="K15" s="19" t="n">
        <x:v>3960</x:v>
      </x:c>
      <x:c r="L15" s="74" t="n">
        <x:v>46230.276212083336</x:v>
      </x:c>
      <x:c r="M15" s="19" t="n">
        <x:v>13231952</x:v>
      </x:c>
      <x:c r="N15" t="str">
        <x:v>c89ec58a501c3ee9d35b4d16a82c2c097120d5210dcc66310d77aa437a3c789b</x:v>
      </x:c>
      <x:c r="O15" t="str">
        <x:v>latest_context_sample_13231952</x:v>
      </x:c>
      <x:c r="P15" t="str">
        <x:v>factor_report/gtja191_batch/gtja_005/ic_summary.csv</x:v>
      </x:c>
    </x:row>
    <x:row r="16">
      <x:c r="A16" t="str">
        <x:v>gtja_005</x:v>
      </x:c>
      <x:c r="B16" s="50" t="n">
        <x:v>5</x:v>
      </x:c>
      <x:c r="C16" s="30" t="n">
        <x:v>0.016263946009516615</x:v>
      </x:c>
      <x:c r="D16" s="30" t="n">
        <x:v>0.05974180923542815</x:v>
      </x:c>
      <x:c r="E16" s="30" t="n">
        <x:v>0.27223725256502196</x:v>
      </x:c>
      <x:c r="F16" s="30" t="n">
        <x:v>0.034656028635606344</x:v>
      </x:c>
      <x:c r="G16" s="30" t="n">
        <x:v>0.06961369820287608</x:v>
      </x:c>
      <x:c r="H16" s="30" t="n">
        <x:v>0.49783346568670783</x:v>
      </x:c>
      <x:c r="I16" s="30" t="n">
        <x:v>0.7002022244691608</x:v>
      </x:c>
      <x:c r="J16" s="30" t="n">
        <x:v>0.6203235591506572</x:v>
      </x:c>
      <x:c r="K16" s="19" t="n">
        <x:v>3956</x:v>
      </x:c>
      <x:c r="L16" s="74" t="n">
        <x:v>46230.276212083336</x:v>
      </x:c>
      <x:c r="M16" s="19" t="n">
        <x:v>13231952</x:v>
      </x:c>
      <x:c r="N16" t="str">
        <x:v>c89ec58a501c3ee9d35b4d16a82c2c097120d5210dcc66310d77aa437a3c789b</x:v>
      </x:c>
      <x:c r="O16" t="str">
        <x:v>latest_context_sample_13231952</x:v>
      </x:c>
      <x:c r="P16" t="str">
        <x:v>factor_report/gtja191_batch/gtja_005/ic_summary.csv</x:v>
      </x:c>
    </x:row>
    <x:row r="17">
      <x:c r="A17" t="str">
        <x:v>gtja_005</x:v>
      </x:c>
      <x:c r="B17" s="50" t="n">
        <x:v>10</x:v>
      </x:c>
      <x:c r="C17" s="30" t="n">
        <x:v>0.019479513482653334</x:v>
      </x:c>
      <x:c r="D17" s="30" t="n">
        <x:v>0.05998658434053098</x:v>
      </x:c>
      <x:c r="E17" s="30" t="n">
        <x:v>0.3247311660899429</x:v>
      </x:c>
      <x:c r="F17" s="30" t="n">
        <x:v>0.03902523523078319</x:v>
      </x:c>
      <x:c r="G17" s="30" t="n">
        <x:v>0.06908063952007329</x:v>
      </x:c>
      <x:c r="H17" s="30" t="n">
        <x:v>0.5649229002786421</x:v>
      </x:c>
      <x:c r="I17" s="30" t="n">
        <x:v>0.7246266767906859</x:v>
      </x:c>
      <x:c r="J17" s="30" t="n">
        <x:v>0.6287015945330297</x:v>
      </x:c>
      <x:c r="K17" s="19" t="n">
        <x:v>3951</x:v>
      </x:c>
      <x:c r="L17" s="74" t="n">
        <x:v>46230.276212083336</x:v>
      </x:c>
      <x:c r="M17" s="19" t="n">
        <x:v>13231952</x:v>
      </x:c>
      <x:c r="N17" t="str">
        <x:v>c89ec58a501c3ee9d35b4d16a82c2c097120d5210dcc66310d77aa437a3c789b</x:v>
      </x:c>
      <x:c r="O17" t="str">
        <x:v>latest_context_sample_13231952</x:v>
      </x:c>
      <x:c r="P17" t="str">
        <x:v>factor_report/gtja191_batch/gtja_005/ic_summary.csv</x:v>
      </x:c>
    </x:row>
    <x:row r="18">
      <x:c r="A18" t="str">
        <x:v>gtja_005</x:v>
      </x:c>
      <x:c r="B18" s="50" t="n">
        <x:v>20</x:v>
      </x:c>
      <x:c r="C18" s="30" t="n">
        <x:v>0.02524863564492056</x:v>
      </x:c>
      <x:c r="D18" s="30" t="n">
        <x:v>0.06076287442600232</x:v>
      </x:c>
      <x:c r="E18" s="30" t="n">
        <x:v>0.41552734105211925</x:v>
      </x:c>
      <x:c r="F18" s="30" t="n">
        <x:v>0.044977246040452376</x:v>
      </x:c>
      <x:c r="G18" s="30" t="n">
        <x:v>0.06938478519589097</x:v>
      </x:c>
      <x:c r="H18" s="30" t="n">
        <x:v>0.648229232294517</x:v>
      </x:c>
      <x:c r="I18" s="30" t="n">
        <x:v>0.7493022075615327</x:v>
      </x:c>
      <x:c r="J18" s="30" t="n">
        <x:v>0.6592235473230145</x:v>
      </x:c>
      <x:c r="K18" s="19" t="n">
        <x:v>3941</x:v>
      </x:c>
      <x:c r="L18" s="74" t="n">
        <x:v>46230.276212083336</x:v>
      </x:c>
      <x:c r="M18" s="19" t="n">
        <x:v>13231952</x:v>
      </x:c>
      <x:c r="N18" t="str">
        <x:v>c89ec58a501c3ee9d35b4d16a82c2c097120d5210dcc66310d77aa437a3c789b</x:v>
      </x:c>
      <x:c r="O18" t="str">
        <x:v>latest_context_sample_13231952</x:v>
      </x:c>
      <x:c r="P18" t="str">
        <x:v>factor_report/gtja191_batch/gtja_005/ic_summary.csv</x:v>
      </x:c>
    </x:row>
    <x:row r="19">
      <x:c r="A19" t="str">
        <x:v>gtja_006</x:v>
      </x:c>
      <x:c r="B19" s="50" t="n">
        <x:v>10</x:v>
      </x:c>
      <x:c r="C19" s="30" t="n">
        <x:v>0.010112494988395988</x:v>
      </x:c>
      <x:c r="D19" s="30" t="n">
        <x:v>0.08208738712948992</x:v>
      </x:c>
      <x:c r="E19" s="30" t="n">
        <x:v>0.1231918244936203</x:v>
      </x:c>
      <x:c r="F19" s="30" t="n">
        <x:v>0.018833424828975622</x:v>
      </x:c>
      <x:c r="G19" s="30" t="n">
        <x:v>0.09707905734149924</x:v>
      </x:c>
      <x:c r="H19" s="30" t="n">
        <x:v>0.19400090343609808</x:v>
      </x:c>
      <x:c r="I19" s="30" t="n">
        <x:v>0.5650426921145153</x:v>
      </x:c>
      <x:c r="J19" s="30" t="n">
        <x:v>0.5409342039176294</x:v>
      </x:c>
      <x:c r="K19" s="19" t="n">
        <x:v>1991</x:v>
      </x:c>
      <x:c r="L19" s="74" t="n">
        <x:v>46211.17062405092</x:v>
      </x:c>
      <x:c r="M19" s="19" t="n">
        <x:v>8902245</x:v>
      </x:c>
      <x:c r="N19" t="str">
        <x:v>8f7e606554926462248cbcc654181861438ca768a0063f6b317223ede37d16fb</x:v>
      </x:c>
      <x:c r="O19" t="str">
        <x:v>legacy_common_sample_8902245</x:v>
      </x:c>
      <x:c r="P19" t="str">
        <x:v>factor_report/gtja191_batch/gtja_006/ic_summary.csv</x:v>
      </x:c>
    </x:row>
    <x:row r="20">
      <x:c r="A20" t="str">
        <x:v>gtja_006</x:v>
      </x:c>
      <x:c r="B20" s="50" t="n">
        <x:v>20</x:v>
      </x:c>
      <x:c r="C20" s="30" t="n">
        <x:v>0.010339218866763629</x:v>
      </x:c>
      <x:c r="D20" s="30" t="n">
        <x:v>0.08110145953563065</x:v>
      </x:c>
      <x:c r="E20" s="30" t="n">
        <x:v>0.12748499134249558</x:v>
      </x:c>
      <x:c r="F20" s="30" t="n">
        <x:v>0.01986712337058728</x:v>
      </x:c>
      <x:c r="G20" s="30" t="n">
        <x:v>0.09698157815770737</x:v>
      </x:c>
      <x:c r="H20" s="30" t="n">
        <x:v>0.2048546099990268</x:v>
      </x:c>
      <x:c r="I20" s="30" t="n">
        <x:v>0.5729429581019687</x:v>
      </x:c>
      <x:c r="J20" s="30" t="n">
        <x:v>0.5371024734982333</x:v>
      </x:c>
      <x:c r="K20" s="19" t="n">
        <x:v>1981</x:v>
      </x:c>
      <x:c r="L20" s="74" t="n">
        <x:v>46211.17062405092</x:v>
      </x:c>
      <x:c r="M20" s="19" t="n">
        <x:v>8902245</x:v>
      </x:c>
      <x:c r="N20" t="str">
        <x:v>8f7e606554926462248cbcc654181861438ca768a0063f6b317223ede37d16fb</x:v>
      </x:c>
      <x:c r="O20" t="str">
        <x:v>legacy_common_sample_8902245</x:v>
      </x:c>
      <x:c r="P20" t="str">
        <x:v>factor_report/gtja191_batch/gtja_006/ic_summary.csv</x:v>
      </x:c>
    </x:row>
    <x:row r="21">
      <x:c r="A21" t="str">
        <x:v>gtja_007</x:v>
      </x:c>
      <x:c r="B21" s="50" t="n">
        <x:v>1</x:v>
      </x:c>
      <x:c r="C21" s="30" t="n">
        <x:v>0.010753519310585187</x:v>
      </x:c>
      <x:c r="D21" s="30" t="n">
        <x:v>0.06567043182193195</x:v>
      </x:c>
      <x:c r="E21" s="30" t="n">
        <x:v>0.16374978833310846</x:v>
      </x:c>
      <x:c r="F21" s="30" t="n">
        <x:v>0.015733085135450964</x:v>
      </x:c>
      <x:c r="G21" s="30" t="n">
        <x:v>0.07633627341466157</x:v>
      </x:c>
      <x:c r="H21" s="30" t="n">
        <x:v>0.2061023473072656</x:v>
      </x:c>
      <x:c r="I21" s="30" t="n">
        <x:v>0.5891414141414142</x:v>
      </x:c>
      <x:c r="J21" s="30" t="n">
        <x:v>0.5643939393939394</x:v>
      </x:c>
      <x:c r="K21" s="19" t="n">
        <x:v>3960</x:v>
      </x:c>
      <x:c r="L21" s="74" t="n">
        <x:v>46230.29278930555</x:v>
      </x:c>
      <x:c r="M21" s="19" t="n">
        <x:v>13231952</x:v>
      </x:c>
      <x:c r="N21" t="str">
        <x:v>c89ec58a501c3ee9d35b4d16a82c2c097120d5210dcc66310d77aa437a3c789b</x:v>
      </x:c>
      <x:c r="O21" t="str">
        <x:v>latest_context_sample_13231952</x:v>
      </x:c>
      <x:c r="P21" t="str">
        <x:v>factor_report/gtja191_batch/gtja_007/ic_summary.csv</x:v>
      </x:c>
    </x:row>
    <x:row r="22">
      <x:c r="A22" t="str">
        <x:v>gtja_007</x:v>
      </x:c>
      <x:c r="B22" s="50" t="n">
        <x:v>5</x:v>
      </x:c>
      <x:c r="C22" s="30" t="n">
        <x:v>0.01103913495425277</x:v>
      </x:c>
      <x:c r="D22" s="30" t="n">
        <x:v>0.06679545830768593</x:v>
      </x:c>
      <x:c r="E22" s="30" t="n">
        <x:v>0.16526774774719274</x:v>
      </x:c>
      <x:c r="F22" s="30" t="n">
        <x:v>0.018668235177516715</x:v>
      </x:c>
      <x:c r="G22" s="30" t="n">
        <x:v>0.0786975329680383</x:v>
      </x:c>
      <x:c r="H22" s="30" t="n">
        <x:v>0.23721499865946888</x:v>
      </x:c>
      <x:c r="I22" s="30" t="n">
        <x:v>0.5950455005055612</x:v>
      </x:c>
      <x:c r="J22" s="30" t="n">
        <x:v>0.5581395348837209</x:v>
      </x:c>
      <x:c r="K22" s="19" t="n">
        <x:v>3956</x:v>
      </x:c>
      <x:c r="L22" s="74" t="n">
        <x:v>46230.29278930555</x:v>
      </x:c>
      <x:c r="M22" s="19" t="n">
        <x:v>13231952</x:v>
      </x:c>
      <x:c r="N22" t="str">
        <x:v>c89ec58a501c3ee9d35b4d16a82c2c097120d5210dcc66310d77aa437a3c789b</x:v>
      </x:c>
      <x:c r="O22" t="str">
        <x:v>latest_context_sample_13231952</x:v>
      </x:c>
      <x:c r="P22" t="str">
        <x:v>factor_report/gtja191_batch/gtja_007/ic_summary.csv</x:v>
      </x:c>
    </x:row>
    <x:row r="23">
      <x:c r="A23" t="str">
        <x:v>gtja_007</x:v>
      </x:c>
      <x:c r="B23" s="50" t="n">
        <x:v>10</x:v>
      </x:c>
      <x:c r="C23" s="30" t="n">
        <x:v>0.011996509866240922</x:v>
      </x:c>
      <x:c r="D23" s="30" t="n">
        <x:v>0.0688098302993305</x:v>
      </x:c>
      <x:c r="E23" s="30" t="n">
        <x:v>0.17434296544628516</x:v>
      </x:c>
      <x:c r="F23" s="30" t="n">
        <x:v>0.02179431632463765</x:v>
      </x:c>
      <x:c r="G23" s="30" t="n">
        <x:v>0.08047998351579305</x:v>
      </x:c>
      <x:c r="H23" s="30" t="n">
        <x:v>0.2708041847493772</x:v>
      </x:c>
      <x:c r="I23" s="30" t="n">
        <x:v>0.6125031637560111</x:v>
      </x:c>
      <x:c r="J23" s="30" t="n">
        <x:v>0.5651733738294102</x:v>
      </x:c>
      <x:c r="K23" s="19" t="n">
        <x:v>3951</x:v>
      </x:c>
      <x:c r="L23" s="74" t="n">
        <x:v>46230.29278930555</x:v>
      </x:c>
      <x:c r="M23" s="19" t="n">
        <x:v>13231952</x:v>
      </x:c>
      <x:c r="N23" t="str">
        <x:v>c89ec58a501c3ee9d35b4d16a82c2c097120d5210dcc66310d77aa437a3c789b</x:v>
      </x:c>
      <x:c r="O23" t="str">
        <x:v>latest_context_sample_13231952</x:v>
      </x:c>
      <x:c r="P23" t="str">
        <x:v>factor_report/gtja191_batch/gtja_007/ic_summary.csv</x:v>
      </x:c>
    </x:row>
    <x:row r="24">
      <x:c r="A24" t="str">
        <x:v>gtja_007</x:v>
      </x:c>
      <x:c r="B24" s="50" t="n">
        <x:v>20</x:v>
      </x:c>
      <x:c r="C24" s="30" t="n">
        <x:v>0.015541424533850986</x:v>
      </x:c>
      <x:c r="D24" s="30" t="n">
        <x:v>0.07083867764664974</x:v>
      </x:c>
      <x:c r="E24" s="30" t="n">
        <x:v>0.21939179344048648</x:v>
      </x:c>
      <x:c r="F24" s="30" t="n">
        <x:v>0.02673646735981392</x:v>
      </x:c>
      <x:c r="G24" s="30" t="n">
        <x:v>0.0822379384928654</x:v>
      </x:c>
      <x:c r="H24" s="30" t="n">
        <x:v>0.325111108690224</x:v>
      </x:c>
      <x:c r="I24" s="30" t="n">
        <x:v>0.6358792184724689</x:v>
      </x:c>
      <x:c r="J24" s="30" t="n">
        <x:v>0.5831007358538443</x:v>
      </x:c>
      <x:c r="K24" s="19" t="n">
        <x:v>3941</x:v>
      </x:c>
      <x:c r="L24" s="74" t="n">
        <x:v>46230.29278930555</x:v>
      </x:c>
      <x:c r="M24" s="19" t="n">
        <x:v>13231952</x:v>
      </x:c>
      <x:c r="N24" t="str">
        <x:v>c89ec58a501c3ee9d35b4d16a82c2c097120d5210dcc66310d77aa437a3c789b</x:v>
      </x:c>
      <x:c r="O24" t="str">
        <x:v>latest_context_sample_13231952</x:v>
      </x:c>
      <x:c r="P24" t="str">
        <x:v>factor_report/gtja191_batch/gtja_007/ic_summary.csv</x:v>
      </x:c>
    </x:row>
    <x:row r="25">
      <x:c r="A25" t="str">
        <x:v>gtja_008</x:v>
      </x:c>
      <x:c r="B25" s="50" t="n">
        <x:v>10</x:v>
      </x:c>
      <x:c r="C25" s="30" t="n">
        <x:v>0.017447066894081962</x:v>
      </x:c>
      <x:c r="D25" s="30" t="n">
        <x:v>0.1071717333573986</x:v>
      </x:c>
      <x:c r="E25" s="30" t="n">
        <x:v>0.16279541580146986</x:v>
      </x:c>
      <x:c r="F25" s="30" t="n">
        <x:v>0.029069252476887388</x:v>
      </x:c>
      <x:c r="G25" s="30" t="n">
        <x:v>0.12645840561009833</x:v>
      </x:c>
      <x:c r="H25" s="30" t="n">
        <x:v>0.22987204635898134</x:v>
      </x:c>
      <x:c r="I25" s="30" t="n">
        <x:v>0.5826217980914113</x:v>
      </x:c>
      <x:c r="J25" s="30" t="n">
        <x:v>0.5655449522852838</x:v>
      </x:c>
      <x:c r="K25" s="19" t="n">
        <x:v>1991</x:v>
      </x:c>
      <x:c r="L25" s="74" t="n">
        <x:v>46211.178455532405</x:v>
      </x:c>
      <x:c r="M25" s="19" t="n">
        <x:v>8902245</x:v>
      </x:c>
      <x:c r="N25" t="str">
        <x:v>8f7e606554926462248cbcc654181861438ca768a0063f6b317223ede37d16fb</x:v>
      </x:c>
      <x:c r="O25" t="str">
        <x:v>legacy_common_sample_8902245</x:v>
      </x:c>
      <x:c r="P25" t="str">
        <x:v>factor_report/gtja191_batch/gtja_008/ic_summary.csv</x:v>
      </x:c>
    </x:row>
    <x:row r="26">
      <x:c r="A26" t="str">
        <x:v>gtja_008</x:v>
      </x:c>
      <x:c r="B26" s="50" t="n">
        <x:v>20</x:v>
      </x:c>
      <x:c r="C26" s="30" t="n">
        <x:v>0.019918612692904212</x:v>
      </x:c>
      <x:c r="D26" s="30" t="n">
        <x:v>0.1051451064404556</x:v>
      </x:c>
      <x:c r="E26" s="30" t="n">
        <x:v>0.18943927461031446</x:v>
      </x:c>
      <x:c r="F26" s="30" t="n">
        <x:v>0.03263710560902991</x:v>
      </x:c>
      <x:c r="G26" s="30" t="n">
        <x:v>0.12327443811446455</x:v>
      </x:c>
      <x:c r="H26" s="30" t="n">
        <x:v>0.26475160713144147</x:v>
      </x:c>
      <x:c r="I26" s="30" t="n">
        <x:v>0.6042402826855123</x:v>
      </x:c>
      <x:c r="J26" s="30" t="n">
        <x:v>0.5593134780413932</x:v>
      </x:c>
      <x:c r="K26" s="19" t="n">
        <x:v>1981</x:v>
      </x:c>
      <x:c r="L26" s="74" t="n">
        <x:v>46211.178455532405</x:v>
      </x:c>
      <x:c r="M26" s="19" t="n">
        <x:v>8902245</x:v>
      </x:c>
      <x:c r="N26" t="str">
        <x:v>8f7e606554926462248cbcc654181861438ca768a0063f6b317223ede37d16fb</x:v>
      </x:c>
      <x:c r="O26" t="str">
        <x:v>legacy_common_sample_8902245</x:v>
      </x:c>
      <x:c r="P26" t="str">
        <x:v>factor_report/gtja191_batch/gtja_008/ic_summary.csv</x:v>
      </x:c>
    </x:row>
    <x:row r="27">
      <x:c r="A27" t="str">
        <x:v>gtja_009</x:v>
      </x:c>
      <x:c r="B27" s="50" t="n">
        <x:v>1</x:v>
      </x:c>
      <x:c r="C27" s="30" t="n">
        <x:v>-0.002157424985716859</x:v>
      </x:c>
      <x:c r="D27" s="30" t="n">
        <x:v>0.031184890246819474</x:v>
      </x:c>
      <x:c r="E27" s="30" t="n">
        <x:v>-0.06918174053656942</x:v>
      </x:c>
      <x:c r="F27" s="30" t="n">
        <x:v>-0.02543813541677694</x:v>
      </x:c>
      <x:c r="G27" s="30" t="n">
        <x:v>0.1306003261465541</x:v>
      </x:c>
      <x:c r="H27" s="30" t="n">
        <x:v>-0.19477849839541253</x:v>
      </x:c>
      <x:c r="I27" s="30" t="n">
        <x:v>0.413</x:v>
      </x:c>
      <x:c r="J27" s="30" t="n">
        <x:v>0.479</x:v>
      </x:c>
      <x:c r="K27" s="19" t="n">
        <x:v>2000</x:v>
      </x:c>
      <x:c r="L27" s="74" t="n">
        <x:v>46210.14960534722</x:v>
      </x:c>
      <x:c r="M27" s="19" t="n">
        <x:v>8902245</x:v>
      </x:c>
      <x:c r="N27" t="str">
        <x:v>40355b29bce094aef0e99358bdfd4011b92e72a54440a67760de4afae4883c33</x:v>
      </x:c>
      <x:c r="O27" t="str">
        <x:v>legacy_common_sample_8902245</x:v>
      </x:c>
      <x:c r="P27" t="str">
        <x:v>factor_report/gtja191_batch/gtja_009/ic_summary.csv</x:v>
      </x:c>
    </x:row>
    <x:row r="28">
      <x:c r="A28" t="str">
        <x:v>gtja_009</x:v>
      </x:c>
      <x:c r="B28" s="50" t="n">
        <x:v>5</x:v>
      </x:c>
      <x:c r="C28" s="30" t="n">
        <x:v>-0.0033288101870322154</x:v>
      </x:c>
      <x:c r="D28" s="30" t="n">
        <x:v>0.029655199474880694</x:v>
      </x:c>
      <x:c r="E28" s="30" t="n">
        <x:v>-0.11225047364297346</x:v>
      </x:c>
      <x:c r="F28" s="30" t="n">
        <x:v>-0.025800912829572056</x:v>
      </x:c>
      <x:c r="G28" s="30" t="n">
        <x:v>0.12393879565729134</x:v>
      </x:c>
      <x:c r="H28" s="30" t="n">
        <x:v>-0.20817462920097518</x:v>
      </x:c>
      <x:c r="I28" s="30" t="n">
        <x:v>0.4183366733466934</x:v>
      </x:c>
      <x:c r="J28" s="30" t="n">
        <x:v>0.44188376753507014</x:v>
      </x:c>
      <x:c r="K28" s="19" t="n">
        <x:v>1996</x:v>
      </x:c>
      <x:c r="L28" s="74" t="n">
        <x:v>46210.14960534722</x:v>
      </x:c>
      <x:c r="M28" s="19" t="n">
        <x:v>8902245</x:v>
      </x:c>
      <x:c r="N28" t="str">
        <x:v>40355b29bce094aef0e99358bdfd4011b92e72a54440a67760de4afae4883c33</x:v>
      </x:c>
      <x:c r="O28" t="str">
        <x:v>legacy_common_sample_8902245</x:v>
      </x:c>
      <x:c r="P28" t="str">
        <x:v>factor_report/gtja191_batch/gtja_009/ic_summary.csv</x:v>
      </x:c>
    </x:row>
    <x:row r="29">
      <x:c r="A29" t="str">
        <x:v>gtja_009</x:v>
      </x:c>
      <x:c r="B29" s="50" t="n">
        <x:v>10</x:v>
      </x:c>
      <x:c r="C29" s="30" t="n">
        <x:v>-0.0031255883410262536</x:v>
      </x:c>
      <x:c r="D29" s="30" t="n">
        <x:v>0.028595388357568197</x:v>
      </x:c>
      <x:c r="E29" s="30" t="n">
        <x:v>-0.10930393047797234</x:v>
      </x:c>
      <x:c r="F29" s="30" t="n">
        <x:v>-0.02588146976534059</x:v>
      </x:c>
      <x:c r="G29" s="30" t="n">
        <x:v>0.11920432556369577</x:v>
      </x:c>
      <x:c r="H29" s="30" t="n">
        <x:v>-0.2171185453459997</x:v>
      </x:c>
      <x:c r="I29" s="30" t="n">
        <x:v>0.4103465595178302</x:v>
      </x:c>
      <x:c r="J29" s="30" t="n">
        <x:v>0.4515318935208438</x:v>
      </x:c>
      <x:c r="K29" s="19" t="n">
        <x:v>1991</x:v>
      </x:c>
      <x:c r="L29" s="74" t="n">
        <x:v>46210.14960534722</x:v>
      </x:c>
      <x:c r="M29" s="19" t="n">
        <x:v>8902245</x:v>
      </x:c>
      <x:c r="N29" t="str">
        <x:v>40355b29bce094aef0e99358bdfd4011b92e72a54440a67760de4afae4883c33</x:v>
      </x:c>
      <x:c r="O29" t="str">
        <x:v>legacy_common_sample_8902245</x:v>
      </x:c>
      <x:c r="P29" t="str">
        <x:v>factor_report/gtja191_batch/gtja_009/ic_summary.csv</x:v>
      </x:c>
    </x:row>
    <x:row r="30">
      <x:c r="A30" t="str">
        <x:v>gtja_009</x:v>
      </x:c>
      <x:c r="B30" s="50" t="n">
        <x:v>20</x:v>
      </x:c>
      <x:c r="C30" s="30" t="n">
        <x:v>-0.0019885858030805103</x:v>
      </x:c>
      <x:c r="D30" s="30" t="n">
        <x:v>0.028266292721446918</x:v>
      </x:c>
      <x:c r="E30" s="30" t="n">
        <x:v>-0.07035184354302254</x:v>
      </x:c>
      <x:c r="F30" s="30" t="n">
        <x:v>-0.028851328465264607</x:v>
      </x:c>
      <x:c r="G30" s="30" t="n">
        <x:v>0.11627261584534039</x:v>
      </x:c>
      <x:c r="H30" s="30" t="n">
        <x:v>-0.2481351972302842</x:v>
      </x:c>
      <x:c r="I30" s="30" t="n">
        <x:v>0.4114083796062595</x:v>
      </x:c>
      <x:c r="J30" s="30" t="n">
        <x:v>0.4790509843513377</x:v>
      </x:c>
      <x:c r="K30" s="19" t="n">
        <x:v>1981</x:v>
      </x:c>
      <x:c r="L30" s="74" t="n">
        <x:v>46210.14960534722</x:v>
      </x:c>
      <x:c r="M30" s="19" t="n">
        <x:v>8902245</x:v>
      </x:c>
      <x:c r="N30" t="str">
        <x:v>40355b29bce094aef0e99358bdfd4011b92e72a54440a67760de4afae4883c33</x:v>
      </x:c>
      <x:c r="O30" t="str">
        <x:v>legacy_common_sample_8902245</x:v>
      </x:c>
      <x:c r="P30" t="str">
        <x:v>factor_report/gtja191_batch/gtja_009/ic_summary.csv</x:v>
      </x:c>
    </x:row>
    <x:row r="31">
      <x:c r="A31" t="str">
        <x:v>gtja_010</x:v>
      </x:c>
      <x:c r="B31" s="50" t="n">
        <x:v>1</x:v>
      </x:c>
      <x:c r="C31" s="30" t="n">
        <x:v>-0.007762503183969773</x:v>
      </x:c>
      <x:c r="D31" s="30" t="n">
        <x:v>0.13514619601798641</x:v>
      </x:c>
      <x:c r="E31" s="30" t="n">
        <x:v>-0.057437822245005495</x:v>
      </x:c>
      <x:c r="F31" s="30" t="n">
        <x:v>-0.02171232407919523</x:v>
      </x:c>
      <x:c r="G31" s="30" t="n">
        <x:v>0.16111767438633043</x:v>
      </x:c>
      <x:c r="H31" s="30" t="n">
        <x:v>-0.13476065963522466</x:v>
      </x:c>
      <x:c r="I31" s="30" t="n">
        <x:v>0.453</x:v>
      </x:c>
      <x:c r="J31" s="30" t="n">
        <x:v>0.484</x:v>
      </x:c>
      <x:c r="K31" s="19" t="n">
        <x:v>2000</x:v>
      </x:c>
      <x:c r="L31" s="74" t="n">
        <x:v>46210.15392069444</x:v>
      </x:c>
      <x:c r="M31" s="19" t="n">
        <x:v>8902245</x:v>
      </x:c>
      <x:c r="N31" t="str">
        <x:v>40355b29bce094aef0e99358bdfd4011b92e72a54440a67760de4afae4883c33</x:v>
      </x:c>
      <x:c r="O31" t="str">
        <x:v>legacy_common_sample_8902245</x:v>
      </x:c>
      <x:c r="P31" t="str">
        <x:v>factor_report/gtja191_batch/gtja_010/ic_summary.csv</x:v>
      </x:c>
    </x:row>
    <x:row r="32">
      <x:c r="A32" t="str">
        <x:v>gtja_010</x:v>
      </x:c>
      <x:c r="B32" s="50" t="n">
        <x:v>5</x:v>
      </x:c>
      <x:c r="C32" s="30" t="n">
        <x:v>-0.01803198546523343</x:v>
      </x:c>
      <x:c r="D32" s="30" t="n">
        <x:v>0.14111612368642365</x:v>
      </x:c>
      <x:c r="E32" s="30" t="n">
        <x:v>-0.1277811847022002</x:v>
      </x:c>
      <x:c r="F32" s="30" t="n">
        <x:v>-0.03356127152475525</x:v>
      </x:c>
      <x:c r="G32" s="30" t="n">
        <x:v>0.16836870154616476</x:v>
      </x:c>
      <x:c r="H32" s="30" t="n">
        <x:v>-0.1993320089574554</x:v>
      </x:c>
      <x:c r="I32" s="30" t="n">
        <x:v>0.45691382765531063</x:v>
      </x:c>
      <x:c r="J32" s="30" t="n">
        <x:v>0.4844689378757515</x:v>
      </x:c>
      <x:c r="K32" s="19" t="n">
        <x:v>1996</x:v>
      </x:c>
      <x:c r="L32" s="74" t="n">
        <x:v>46210.15392069444</x:v>
      </x:c>
      <x:c r="M32" s="19" t="n">
        <x:v>8902245</x:v>
      </x:c>
      <x:c r="N32" t="str">
        <x:v>40355b29bce094aef0e99358bdfd4011b92e72a54440a67760de4afae4883c33</x:v>
      </x:c>
      <x:c r="O32" t="str">
        <x:v>legacy_common_sample_8902245</x:v>
      </x:c>
      <x:c r="P32" t="str">
        <x:v>factor_report/gtja191_batch/gtja_010/ic_summary.csv</x:v>
      </x:c>
    </x:row>
    <x:row r="33">
      <x:c r="A33" t="str">
        <x:v>gtja_010</x:v>
      </x:c>
      <x:c r="B33" s="50" t="n">
        <x:v>10</x:v>
      </x:c>
      <x:c r="C33" s="30" t="n">
        <x:v>-0.02479708182577304</x:v>
      </x:c>
      <x:c r="D33" s="30" t="n">
        <x:v>0.14969018271971374</x:v>
      </x:c>
      <x:c r="E33" s="30" t="n">
        <x:v>-0.16565603284888863</x:v>
      </x:c>
      <x:c r="F33" s="30" t="n">
        <x:v>-0.043108207262912986</x:v>
      </x:c>
      <x:c r="G33" s="30" t="n">
        <x:v>0.1762684657157494</x:v>
      </x:c>
      <x:c r="H33" s="30" t="n">
        <x:v>-0.2445599505723803</x:v>
      </x:c>
      <x:c r="I33" s="30" t="n">
        <x:v>0.43194374686087394</x:v>
      </x:c>
      <x:c r="J33" s="30" t="n">
        <x:v>0.45705675539929685</x:v>
      </x:c>
      <x:c r="K33" s="19" t="n">
        <x:v>1991</x:v>
      </x:c>
      <x:c r="L33" s="74" t="n">
        <x:v>46210.15392069444</x:v>
      </x:c>
      <x:c r="M33" s="19" t="n">
        <x:v>8902245</x:v>
      </x:c>
      <x:c r="N33" t="str">
        <x:v>40355b29bce094aef0e99358bdfd4011b92e72a54440a67760de4afae4883c33</x:v>
      </x:c>
      <x:c r="O33" t="str">
        <x:v>legacy_common_sample_8902245</x:v>
      </x:c>
      <x:c r="P33" t="str">
        <x:v>factor_report/gtja191_batch/gtja_010/ic_summary.csv</x:v>
      </x:c>
    </x:row>
    <x:row r="34">
      <x:c r="A34" t="str">
        <x:v>gtja_010</x:v>
      </x:c>
      <x:c r="B34" s="50" t="n">
        <x:v>20</x:v>
      </x:c>
      <x:c r="C34" s="30" t="n">
        <x:v>-0.03445431950815748</x:v>
      </x:c>
      <x:c r="D34" s="30" t="n">
        <x:v>0.15524613141507773</x:v>
      </x:c>
      <x:c r="E34" s="30" t="n">
        <x:v>-0.22193351418231363</x:v>
      </x:c>
      <x:c r="F34" s="30" t="n">
        <x:v>-0.05555365300187116</x:v>
      </x:c>
      <x:c r="G34" s="30" t="n">
        <x:v>0.17946750622297528</x:v>
      </x:c>
      <x:c r="H34" s="30" t="n">
        <x:v>-0.309547138482271</x:v>
      </x:c>
      <x:c r="I34" s="30" t="n">
        <x:v>0.4093891973750631</x:v>
      </x:c>
      <x:c r="J34" s="30" t="n">
        <x:v>0.4442200908632004</x:v>
      </x:c>
      <x:c r="K34" s="19" t="n">
        <x:v>1981</x:v>
      </x:c>
      <x:c r="L34" s="74" t="n">
        <x:v>46210.15392069444</x:v>
      </x:c>
      <x:c r="M34" s="19" t="n">
        <x:v>8902245</x:v>
      </x:c>
      <x:c r="N34" t="str">
        <x:v>40355b29bce094aef0e99358bdfd4011b92e72a54440a67760de4afae4883c33</x:v>
      </x:c>
      <x:c r="O34" t="str">
        <x:v>legacy_common_sample_8902245</x:v>
      </x:c>
      <x:c r="P34" t="str">
        <x:v>factor_report/gtja191_batch/gtja_010/ic_summary.csv</x:v>
      </x:c>
    </x:row>
    <x:row r="35">
      <x:c r="A35" t="str">
        <x:v>gtja_011</x:v>
      </x:c>
      <x:c r="B35" s="50" t="n">
        <x:v>10</x:v>
      </x:c>
      <x:c r="C35" s="30" t="n">
        <x:v>-0.009310346728468574</x:v>
      </x:c>
      <x:c r="D35" s="30" t="n">
        <x:v>0.05579532374247493</x:v>
      </x:c>
      <x:c r="E35" s="30" t="n">
        <x:v>-0.1668660759356962</x:v>
      </x:c>
      <x:c r="F35" s="30" t="n">
        <x:v>-0.012854348658762733</x:v>
      </x:c>
      <x:c r="G35" s="30" t="n">
        <x:v>0.09087879715790441</x:v>
      </x:c>
      <x:c r="H35" s="30" t="n">
        <x:v>-0.14144496913210625</x:v>
      </x:c>
      <x:c r="I35" s="30" t="n">
        <x:v>0.4434957307885485</x:v>
      </x:c>
      <x:c r="J35" s="30" t="n">
        <x:v>0.43294826720241086</x:v>
      </x:c>
      <x:c r="K35" s="19" t="n">
        <x:v>1991</x:v>
      </x:c>
      <x:c r="L35" s="74" t="n">
        <x:v>46211.181871574074</x:v>
      </x:c>
      <x:c r="M35" s="19" t="n">
        <x:v>8902245</x:v>
      </x:c>
      <x:c r="N35" t="str">
        <x:v>8f7e606554926462248cbcc654181861438ca768a0063f6b317223ede37d16fb</x:v>
      </x:c>
      <x:c r="O35" t="str">
        <x:v>legacy_common_sample_8902245</x:v>
      </x:c>
      <x:c r="P35" t="str">
        <x:v>factor_report/gtja191_batch/gtja_011/ic_summary.csv</x:v>
      </x:c>
    </x:row>
    <x:row r="36">
      <x:c r="A36" t="str">
        <x:v>gtja_011</x:v>
      </x:c>
      <x:c r="B36" s="50" t="n">
        <x:v>20</x:v>
      </x:c>
      <x:c r="C36" s="30" t="n">
        <x:v>-0.010507955202081587</x:v>
      </x:c>
      <x:c r="D36" s="30" t="n">
        <x:v>0.053603742267815446</x:v>
      </x:c>
      <x:c r="E36" s="30" t="n">
        <x:v>-0.19603025381290837</x:v>
      </x:c>
      <x:c r="F36" s="30" t="n">
        <x:v>-0.01376007623230903</x:v>
      </x:c>
      <x:c r="G36" s="30" t="n">
        <x:v>0.09070935946200924</x:v>
      </x:c>
      <x:c r="H36" s="30" t="n">
        <x:v>-0.15169411749701533</x:v>
      </x:c>
      <x:c r="I36" s="30" t="n">
        <x:v>0.4634023220595659</x:v>
      </x:c>
      <x:c r="J36" s="30" t="n">
        <x:v>0.43059061080262495</x:v>
      </x:c>
      <x:c r="K36" s="19" t="n">
        <x:v>1981</x:v>
      </x:c>
      <x:c r="L36" s="74" t="n">
        <x:v>46211.181871574074</x:v>
      </x:c>
      <x:c r="M36" s="19" t="n">
        <x:v>8902245</x:v>
      </x:c>
      <x:c r="N36" t="str">
        <x:v>8f7e606554926462248cbcc654181861438ca768a0063f6b317223ede37d16fb</x:v>
      </x:c>
      <x:c r="O36" t="str">
        <x:v>legacy_common_sample_8902245</x:v>
      </x:c>
      <x:c r="P36" t="str">
        <x:v>factor_report/gtja191_batch/gtja_011/ic_summary.csv</x:v>
      </x:c>
    </x:row>
    <x:row r="37">
      <x:c r="A37" t="str">
        <x:v>gtja_012</x:v>
      </x:c>
      <x:c r="B37" s="50" t="n">
        <x:v>1</x:v>
      </x:c>
      <x:c r="C37" s="30" t="n">
        <x:v>0.01671238268572639</x:v>
      </x:c>
      <x:c r="D37" s="30" t="n">
        <x:v>0.11038781478960726</x:v>
      </x:c>
      <x:c r="E37" s="30" t="n">
        <x:v>0.15139698813296756</x:v>
      </x:c>
      <x:c r="F37" s="30" t="n">
        <x:v>0.028202410278958145</x:v>
      </x:c>
      <x:c r="G37" s="30" t="n">
        <x:v>0.11274159859213079</x:v>
      </x:c>
      <x:c r="H37" s="30" t="n">
        <x:v>0.25015088158353144</x:v>
      </x:c>
      <x:c r="I37" s="30" t="n">
        <x:v>0.6111111111111112</x:v>
      </x:c>
      <x:c r="J37" s="30" t="n">
        <x:v>0.5702020202020202</x:v>
      </x:c>
      <x:c r="K37" s="19" t="n">
        <x:v>3960</x:v>
      </x:c>
      <x:c r="L37" s="74" t="n">
        <x:v>46230.30990840278</x:v>
      </x:c>
      <x:c r="M37" s="19" t="n">
        <x:v>13231952</x:v>
      </x:c>
      <x:c r="N37" t="str">
        <x:v>c89ec58a501c3ee9d35b4d16a82c2c097120d5210dcc66310d77aa437a3c789b</x:v>
      </x:c>
      <x:c r="O37" t="str">
        <x:v>latest_context_sample_13231952</x:v>
      </x:c>
      <x:c r="P37" t="str">
        <x:v>factor_report/gtja191_batch/gtja_012/ic_summary.csv</x:v>
      </x:c>
    </x:row>
    <x:row r="38">
      <x:c r="A38" t="str">
        <x:v>gtja_012</x:v>
      </x:c>
      <x:c r="B38" s="50" t="n">
        <x:v>5</x:v>
      </x:c>
      <x:c r="C38" s="30" t="n">
        <x:v>0.027552813965217953</x:v>
      </x:c>
      <x:c r="D38" s="30" t="n">
        <x:v>0.10355966264109251</x:v>
      </x:c>
      <x:c r="E38" s="30" t="n">
        <x:v>0.2660573939943001</x:v>
      </x:c>
      <x:c r="F38" s="30" t="n">
        <x:v>0.030794620141745433</x:v>
      </x:c>
      <x:c r="G38" s="30" t="n">
        <x:v>0.10657495608696659</x:v>
      </x:c>
      <x:c r="H38" s="30" t="n">
        <x:v>0.28894799746965516</x:v>
      </x:c>
      <x:c r="I38" s="30" t="n">
        <x:v>0.6233569261880687</x:v>
      </x:c>
      <x:c r="J38" s="30" t="n">
        <x:v>0.6170374115267947</x:v>
      </x:c>
      <x:c r="K38" s="19" t="n">
        <x:v>3956</x:v>
      </x:c>
      <x:c r="L38" s="74" t="n">
        <x:v>46230.30990840278</x:v>
      </x:c>
      <x:c r="M38" s="19" t="n">
        <x:v>13231952</x:v>
      </x:c>
      <x:c r="N38" t="str">
        <x:v>c89ec58a501c3ee9d35b4d16a82c2c097120d5210dcc66310d77aa437a3c789b</x:v>
      </x:c>
      <x:c r="O38" t="str">
        <x:v>latest_context_sample_13231952</x:v>
      </x:c>
      <x:c r="P38" t="str">
        <x:v>factor_report/gtja191_batch/gtja_012/ic_summary.csv</x:v>
      </x:c>
    </x:row>
    <x:row r="39">
      <x:c r="A39" t="str">
        <x:v>gtja_012</x:v>
      </x:c>
      <x:c r="B39" s="50" t="n">
        <x:v>10</x:v>
      </x:c>
      <x:c r="C39" s="30" t="n">
        <x:v>0.03179679296874331</x:v>
      </x:c>
      <x:c r="D39" s="30" t="n">
        <x:v>0.10285653400745494</x:v>
      </x:c>
      <x:c r="E39" s="30" t="n">
        <x:v>0.30913731709488396</x:v>
      </x:c>
      <x:c r="F39" s="30" t="n">
        <x:v>0.031925398033713505</x:v>
      </x:c>
      <x:c r="G39" s="30" t="n">
        <x:v>0.10539465741221862</x:v>
      </x:c>
      <x:c r="H39" s="30" t="n">
        <x:v>0.3029128688074499</x:v>
      </x:c>
      <x:c r="I39" s="30" t="n">
        <x:v>0.6289546950139205</x:v>
      </x:c>
      <x:c r="J39" s="30" t="n">
        <x:v>0.6370539104024298</x:v>
      </x:c>
      <x:c r="K39" s="19" t="n">
        <x:v>3951</x:v>
      </x:c>
      <x:c r="L39" s="74" t="n">
        <x:v>46230.30990840278</x:v>
      </x:c>
      <x:c r="M39" s="19" t="n">
        <x:v>13231952</x:v>
      </x:c>
      <x:c r="N39" t="str">
        <x:v>c89ec58a501c3ee9d35b4d16a82c2c097120d5210dcc66310d77aa437a3c789b</x:v>
      </x:c>
      <x:c r="O39" t="str">
        <x:v>latest_context_sample_13231952</x:v>
      </x:c>
      <x:c r="P39" t="str">
        <x:v>factor_report/gtja191_batch/gtja_012/ic_summary.csv</x:v>
      </x:c>
    </x:row>
    <x:row r="40">
      <x:c r="A40" t="str">
        <x:v>gtja_012</x:v>
      </x:c>
      <x:c r="B40" s="50" t="n">
        <x:v>20</x:v>
      </x:c>
      <x:c r="C40" s="30" t="n">
        <x:v>0.04032097588427797</x:v>
      </x:c>
      <x:c r="D40" s="30" t="n">
        <x:v>0.1060283006336471</x:v>
      </x:c>
      <x:c r="E40" s="30" t="n">
        <x:v>0.38028503374392936</x:v>
      </x:c>
      <x:c r="F40" s="30" t="n">
        <x:v>0.03989492696853495</x:v>
      </x:c>
      <x:c r="G40" s="30" t="n">
        <x:v>0.10692194657752863</x:v>
      </x:c>
      <x:c r="H40" s="30" t="n">
        <x:v>0.37312196649550633</x:v>
      </x:c>
      <x:c r="I40" s="30" t="n">
        <x:v>0.6612534889621924</x:v>
      </x:c>
      <x:c r="J40" s="30" t="n">
        <x:v>0.6726719106825679</x:v>
      </x:c>
      <x:c r="K40" s="19" t="n">
        <x:v>3941</x:v>
      </x:c>
      <x:c r="L40" s="74" t="n">
        <x:v>46230.30990840278</x:v>
      </x:c>
      <x:c r="M40" s="19" t="n">
        <x:v>13231952</x:v>
      </x:c>
      <x:c r="N40" t="str">
        <x:v>c89ec58a501c3ee9d35b4d16a82c2c097120d5210dcc66310d77aa437a3c789b</x:v>
      </x:c>
      <x:c r="O40" t="str">
        <x:v>latest_context_sample_13231952</x:v>
      </x:c>
      <x:c r="P40" t="str">
        <x:v>factor_report/gtja191_batch/gtja_012/ic_summary.csv</x:v>
      </x:c>
    </x:row>
    <x:row r="41">
      <x:c r="A41" t="str">
        <x:v>gtja_013</x:v>
      </x:c>
      <x:c r="B41" s="50" t="n">
        <x:v>10</x:v>
      </x:c>
      <x:c r="C41" s="30" t="n">
        <x:v>0.012895920867057003</x:v>
      </x:c>
      <x:c r="D41" s="30" t="n">
        <x:v>0.075013149849962</x:v>
      </x:c>
      <x:c r="E41" s="30" t="n">
        <x:v>0.17191546939237792</x:v>
      </x:c>
      <x:c r="F41" s="30" t="n">
        <x:v>0.011452862954066247</x:v>
      </x:c>
      <x:c r="G41" s="30" t="n">
        <x:v>0.12270115444722708</x:v>
      </x:c>
      <x:c r="H41" s="30" t="n">
        <x:v>0.0933394881707657</x:v>
      </x:c>
      <x:c r="I41" s="30" t="n">
        <x:v>0.5278754394776495</x:v>
      </x:c>
      <x:c r="J41" s="30" t="n">
        <x:v>0.5720743345052738</x:v>
      </x:c>
      <x:c r="K41" s="19" t="n">
        <x:v>1991</x:v>
      </x:c>
      <x:c r="L41" s="74" t="n">
        <x:v>46211.18888071759</x:v>
      </x:c>
      <x:c r="M41" s="19" t="n">
        <x:v>8902245</x:v>
      </x:c>
      <x:c r="N41" t="str">
        <x:v>8f7e606554926462248cbcc654181861438ca768a0063f6b317223ede37d16fb</x:v>
      </x:c>
      <x:c r="O41" t="str">
        <x:v>legacy_common_sample_8902245</x:v>
      </x:c>
      <x:c r="P41" t="str">
        <x:v>factor_report/gtja191_batch/gtja_013/ic_summary.csv</x:v>
      </x:c>
    </x:row>
    <x:row r="42">
      <x:c r="A42" t="str">
        <x:v>gtja_013</x:v>
      </x:c>
      <x:c r="B42" s="50" t="n">
        <x:v>20</x:v>
      </x:c>
      <x:c r="C42" s="30" t="n">
        <x:v>0.013562357271635565</x:v>
      </x:c>
      <x:c r="D42" s="30" t="n">
        <x:v>0.07550327276601422</x:v>
      </x:c>
      <x:c r="E42" s="30" t="n">
        <x:v>0.17962608473496924</x:v>
      </x:c>
      <x:c r="F42" s="30" t="n">
        <x:v>0.014255707603008797</x:v>
      </x:c>
      <x:c r="G42" s="30" t="n">
        <x:v>0.12062850055087566</x:v>
      </x:c>
      <x:c r="H42" s="30" t="n">
        <x:v>0.11817860238589621</x:v>
      </x:c>
      <x:c r="I42" s="30" t="n">
        <x:v>0.5456839979808178</x:v>
      </x:c>
      <x:c r="J42" s="30" t="n">
        <x:v>0.5815244825845532</x:v>
      </x:c>
      <x:c r="K42" s="19" t="n">
        <x:v>1981</x:v>
      </x:c>
      <x:c r="L42" s="74" t="n">
        <x:v>46211.18888071759</x:v>
      </x:c>
      <x:c r="M42" s="19" t="n">
        <x:v>8902245</x:v>
      </x:c>
      <x:c r="N42" t="str">
        <x:v>8f7e606554926462248cbcc654181861438ca768a0063f6b317223ede37d16fb</x:v>
      </x:c>
      <x:c r="O42" t="str">
        <x:v>legacy_common_sample_8902245</x:v>
      </x:c>
      <x:c r="P42" t="str">
        <x:v>factor_report/gtja191_batch/gtja_013/ic_summary.csv</x:v>
      </x:c>
    </x:row>
    <x:row r="43">
      <x:c r="A43" t="str">
        <x:v>gtja_014</x:v>
      </x:c>
      <x:c r="B43" s="50" t="n">
        <x:v>1</x:v>
      </x:c>
      <x:c r="C43" s="30" t="n">
        <x:v>-0.01086840287588391</x:v>
      </x:c>
      <x:c r="D43" s="30" t="n">
        <x:v>0.0881990737231812</x:v>
      </x:c>
      <x:c r="E43" s="30" t="n">
        <x:v>-0.12322581652042211</x:v>
      </x:c>
      <x:c r="F43" s="30" t="n">
        <x:v>-0.02842733048255993</x:v>
      </x:c>
      <x:c r="G43" s="30" t="n">
        <x:v>0.14180221028418635</x:v>
      </x:c>
      <x:c r="H43" s="30" t="n">
        <x:v>-0.20047170227874875</x:v>
      </x:c>
      <x:c r="I43" s="30" t="n">
        <x:v>0.419</x:v>
      </x:c>
      <x:c r="J43" s="30" t="n">
        <x:v>0.469</x:v>
      </x:c>
      <x:c r="K43" s="19" t="n">
        <x:v>2000</x:v>
      </x:c>
      <x:c r="L43" s="74" t="n">
        <x:v>46210.170149652775</x:v>
      </x:c>
      <x:c r="M43" s="19" t="n">
        <x:v>8902245</x:v>
      </x:c>
      <x:c r="N43" t="str">
        <x:v>40355b29bce094aef0e99358bdfd4011b92e72a54440a67760de4afae4883c33</x:v>
      </x:c>
      <x:c r="O43" t="str">
        <x:v>legacy_common_sample_8902245</x:v>
      </x:c>
      <x:c r="P43" t="str">
        <x:v>factor_report/gtja191_batch/gtja_014/ic_summary.csv</x:v>
      </x:c>
    </x:row>
    <x:row r="44">
      <x:c r="A44" t="str">
        <x:v>gtja_014</x:v>
      </x:c>
      <x:c r="B44" s="50" t="n">
        <x:v>5</x:v>
      </x:c>
      <x:c r="C44" s="30" t="n">
        <x:v>-0.016049956838129383</x:v>
      </x:c>
      <x:c r="D44" s="30" t="n">
        <x:v>0.08264908440934761</x:v>
      </x:c>
      <x:c r="E44" s="30" t="n">
        <x:v>-0.19419400653776792</x:v>
      </x:c>
      <x:c r="F44" s="30" t="n">
        <x:v>-0.03020372752716671</x:v>
      </x:c>
      <x:c r="G44" s="30" t="n">
        <x:v>0.1337635891401238</x:v>
      </x:c>
      <x:c r="H44" s="30" t="n">
        <x:v>-0.22579932043784243</x:v>
      </x:c>
      <x:c r="I44" s="30" t="n">
        <x:v>0.41282565130260523</x:v>
      </x:c>
      <x:c r="J44" s="30" t="n">
        <x:v>0.42635270541082165</x:v>
      </x:c>
      <x:c r="K44" s="19" t="n">
        <x:v>1996</x:v>
      </x:c>
      <x:c r="L44" s="74" t="n">
        <x:v>46210.170149652775</x:v>
      </x:c>
      <x:c r="M44" s="19" t="n">
        <x:v>8902245</x:v>
      </x:c>
      <x:c r="N44" t="str">
        <x:v>40355b29bce094aef0e99358bdfd4011b92e72a54440a67760de4afae4883c33</x:v>
      </x:c>
      <x:c r="O44" t="str">
        <x:v>legacy_common_sample_8902245</x:v>
      </x:c>
      <x:c r="P44" t="str">
        <x:v>factor_report/gtja191_batch/gtja_014/ic_summary.csv</x:v>
      </x:c>
    </x:row>
    <x:row r="45">
      <x:c r="A45" t="str">
        <x:v>gtja_014</x:v>
      </x:c>
      <x:c r="B45" s="50" t="n">
        <x:v>10</x:v>
      </x:c>
      <x:c r="C45" s="30" t="n">
        <x:v>-0.017759678154142988</x:v>
      </x:c>
      <x:c r="D45" s="30" t="n">
        <x:v>0.07814766638486785</x:v>
      </x:c>
      <x:c r="E45" s="30" t="n">
        <x:v>-0.2272579460873305</x:v>
      </x:c>
      <x:c r="F45" s="30" t="n">
        <x:v>-0.03142291890680758</x:v>
      </x:c>
      <x:c r="G45" s="30" t="n">
        <x:v>0.12734572528294255</x:v>
      </x:c>
      <x:c r="H45" s="30" t="n">
        <x:v>-0.24675283632010972</x:v>
      </x:c>
      <x:c r="I45" s="30" t="n">
        <x:v>0.41838272225012557</x:v>
      </x:c>
      <x:c r="J45" s="30" t="n">
        <x:v>0.41285786037167255</x:v>
      </x:c>
      <x:c r="K45" s="19" t="n">
        <x:v>1991</x:v>
      </x:c>
      <x:c r="L45" s="74" t="n">
        <x:v>46210.170149652775</x:v>
      </x:c>
      <x:c r="M45" s="19" t="n">
        <x:v>8902245</x:v>
      </x:c>
      <x:c r="N45" t="str">
        <x:v>40355b29bce094aef0e99358bdfd4011b92e72a54440a67760de4afae4883c33</x:v>
      </x:c>
      <x:c r="O45" t="str">
        <x:v>legacy_common_sample_8902245</x:v>
      </x:c>
      <x:c r="P45" t="str">
        <x:v>factor_report/gtja191_batch/gtja_014/ic_summary.csv</x:v>
      </x:c>
    </x:row>
    <x:row r="46">
      <x:c r="A46" t="str">
        <x:v>gtja_014</x:v>
      </x:c>
      <x:c r="B46" s="50" t="n">
        <x:v>20</x:v>
      </x:c>
      <x:c r="C46" s="30" t="n">
        <x:v>-0.01873543153446401</x:v>
      </x:c>
      <x:c r="D46" s="30" t="n">
        <x:v>0.07813896452770637</x:v>
      </x:c>
      <x:c r="E46" s="30" t="n">
        <x:v>-0.23977066560462082</x:v>
      </x:c>
      <x:c r="F46" s="30" t="n">
        <x:v>-0.03505559224469427</x:v>
      </x:c>
      <x:c r="G46" s="30" t="n">
        <x:v>0.12274817132883978</x:v>
      </x:c>
      <x:c r="H46" s="30" t="n">
        <x:v>-0.2855895274462466</x:v>
      </x:c>
      <x:c r="I46" s="30" t="n">
        <x:v>0.39979808177688037</x:v>
      </x:c>
      <x:c r="J46" s="30" t="n">
        <x:v>0.3992932862190813</x:v>
      </x:c>
      <x:c r="K46" s="19" t="n">
        <x:v>1981</x:v>
      </x:c>
      <x:c r="L46" s="74" t="n">
        <x:v>46210.170149652775</x:v>
      </x:c>
      <x:c r="M46" s="19" t="n">
        <x:v>8902245</x:v>
      </x:c>
      <x:c r="N46" t="str">
        <x:v>40355b29bce094aef0e99358bdfd4011b92e72a54440a67760de4afae4883c33</x:v>
      </x:c>
      <x:c r="O46" t="str">
        <x:v>legacy_common_sample_8902245</x:v>
      </x:c>
      <x:c r="P46" t="str">
        <x:v>factor_report/gtja191_batch/gtja_014/ic_summary.csv</x:v>
      </x:c>
    </x:row>
    <x:row r="47">
      <x:c r="A47" t="str">
        <x:v>gtja_015</x:v>
      </x:c>
      <x:c r="B47" s="50" t="n">
        <x:v>1</x:v>
      </x:c>
      <x:c r="C47" s="30" t="n">
        <x:v>0.016328945683282168</x:v>
      </x:c>
      <x:c r="D47" s="30" t="n">
        <x:v>0.07078005942627165</x:v>
      </x:c>
      <x:c r="E47" s="30" t="n">
        <x:v>0.23069980183177557</x:v>
      </x:c>
      <x:c r="F47" s="30" t="n">
        <x:v>0.010154917297053636</x:v>
      </x:c>
      <x:c r="G47" s="30" t="n">
        <x:v>0.07170212890566337</x:v>
      </x:c>
      <x:c r="H47" s="30" t="n">
        <x:v>0.1416264405540064</x:v>
      </x:c>
      <x:c r="I47" s="30" t="n">
        <x:v>0.5752525252525252</x:v>
      </x:c>
      <x:c r="J47" s="30" t="n">
        <x:v>0.6032828282828283</x:v>
      </x:c>
      <x:c r="K47" s="19" t="n">
        <x:v>3960</x:v>
      </x:c>
      <x:c r="L47" s="74" t="n">
        <x:v>46230.32700612269</x:v>
      </x:c>
      <x:c r="M47" s="19" t="n">
        <x:v>13231952</x:v>
      </x:c>
      <x:c r="N47" t="str">
        <x:v>c89ec58a501c3ee9d35b4d16a82c2c097120d5210dcc66310d77aa437a3c789b</x:v>
      </x:c>
      <x:c r="O47" t="str">
        <x:v>latest_context_sample_13231952</x:v>
      </x:c>
      <x:c r="P47" t="str">
        <x:v>factor_report/gtja191_batch/gtja_015/ic_summary.csv</x:v>
      </x:c>
    </x:row>
    <x:row r="48">
      <x:c r="A48" t="str">
        <x:v>gtja_015</x:v>
      </x:c>
      <x:c r="B48" s="50" t="n">
        <x:v>5</x:v>
      </x:c>
      <x:c r="C48" s="30" t="n">
        <x:v>0.012538579502824693</x:v>
      </x:c>
      <x:c r="D48" s="30" t="n">
        <x:v>0.06672592004643532</x:v>
      </x:c>
      <x:c r="E48" s="30" t="n">
        <x:v>0.18791167651339918</x:v>
      </x:c>
      <x:c r="F48" s="30" t="n">
        <x:v>0.013217935937819593</x:v>
      </x:c>
      <x:c r="G48" s="30" t="n">
        <x:v>0.0682196903496258</x:v>
      </x:c>
      <x:c r="H48" s="30" t="n">
        <x:v>0.19375543732429293</x:v>
      </x:c>
      <x:c r="I48" s="30" t="n">
        <x:v>0.6076845298281092</x:v>
      </x:c>
      <x:c r="J48" s="30" t="n">
        <x:v>0.5841759352881699</x:v>
      </x:c>
      <x:c r="K48" s="19" t="n">
        <x:v>3956</x:v>
      </x:c>
      <x:c r="L48" s="74" t="n">
        <x:v>46230.32700612269</x:v>
      </x:c>
      <x:c r="M48" s="19" t="n">
        <x:v>13231952</x:v>
      </x:c>
      <x:c r="N48" t="str">
        <x:v>c89ec58a501c3ee9d35b4d16a82c2c097120d5210dcc66310d77aa437a3c789b</x:v>
      </x:c>
      <x:c r="O48" t="str">
        <x:v>latest_context_sample_13231952</x:v>
      </x:c>
      <x:c r="P48" t="str">
        <x:v>factor_report/gtja191_batch/gtja_015/ic_summary.csv</x:v>
      </x:c>
    </x:row>
    <x:row r="49">
      <x:c r="A49" t="str">
        <x:v>gtja_015</x:v>
      </x:c>
      <x:c r="B49" s="50" t="n">
        <x:v>10</x:v>
      </x:c>
      <x:c r="C49" s="30" t="n">
        <x:v>0.012487217250518972</x:v>
      </x:c>
      <x:c r="D49" s="30" t="n">
        <x:v>0.06234536485989886</x:v>
      </x:c>
      <x:c r="E49" s="30" t="n">
        <x:v>0.20029102850837385</x:v>
      </x:c>
      <x:c r="F49" s="30" t="n">
        <x:v>0.016707428436345515</x:v>
      </x:c>
      <x:c r="G49" s="30" t="n">
        <x:v>0.06578251278786885</x:v>
      </x:c>
      <x:c r="H49" s="30" t="n">
        <x:v>0.25397978472215765</x:v>
      </x:c>
      <x:c r="I49" s="30" t="n">
        <x:v>0.6350291065553024</x:v>
      </x:c>
      <x:c r="J49" s="30" t="n">
        <x:v>0.5801063022019742</x:v>
      </x:c>
      <x:c r="K49" s="19" t="n">
        <x:v>3951</x:v>
      </x:c>
      <x:c r="L49" s="74" t="n">
        <x:v>46230.32700612269</x:v>
      </x:c>
      <x:c r="M49" s="19" t="n">
        <x:v>13231952</x:v>
      </x:c>
      <x:c r="N49" t="str">
        <x:v>c89ec58a501c3ee9d35b4d16a82c2c097120d5210dcc66310d77aa437a3c789b</x:v>
      </x:c>
      <x:c r="O49" t="str">
        <x:v>latest_context_sample_13231952</x:v>
      </x:c>
      <x:c r="P49" t="str">
        <x:v>factor_report/gtja191_batch/gtja_015/ic_summary.csv</x:v>
      </x:c>
    </x:row>
    <x:row r="50">
      <x:c r="A50" t="str">
        <x:v>gtja_015</x:v>
      </x:c>
      <x:c r="B50" s="50" t="n">
        <x:v>20</x:v>
      </x:c>
      <x:c r="C50" s="30" t="n">
        <x:v>0.010950483440529795</x:v>
      </x:c>
      <x:c r="D50" s="30" t="n">
        <x:v>0.057926582246012756</x:v>
      </x:c>
      <x:c r="E50" s="30" t="n">
        <x:v>0.18904073079995232</x:v>
      </x:c>
      <x:c r="F50" s="30" t="n">
        <x:v>0.019216577227991607</x:v>
      </x:c>
      <x:c r="G50" s="30" t="n">
        <x:v>0.06566011794071615</x:v>
      </x:c>
      <x:c r="H50" s="30" t="n">
        <x:v>0.29266741868088114</x:v>
      </x:c>
      <x:c r="I50" s="30" t="n">
        <x:v>0.6571936056838366</x:v>
      </x:c>
      <x:c r="J50" s="30" t="n">
        <x:v>0.5876681045419944</x:v>
      </x:c>
      <x:c r="K50" s="19" t="n">
        <x:v>3941</x:v>
      </x:c>
      <x:c r="L50" s="74" t="n">
        <x:v>46230.32700612269</x:v>
      </x:c>
      <x:c r="M50" s="19" t="n">
        <x:v>13231952</x:v>
      </x:c>
      <x:c r="N50" t="str">
        <x:v>c89ec58a501c3ee9d35b4d16a82c2c097120d5210dcc66310d77aa437a3c789b</x:v>
      </x:c>
      <x:c r="O50" t="str">
        <x:v>latest_context_sample_13231952</x:v>
      </x:c>
      <x:c r="P50" t="str">
        <x:v>factor_report/gtja191_batch/gtja_015/ic_summary.csv</x:v>
      </x:c>
    </x:row>
    <x:row r="51">
      <x:c r="A51" t="str">
        <x:v>gtja_016</x:v>
      </x:c>
      <x:c r="B51" s="50" t="n">
        <x:v>10</x:v>
      </x:c>
      <x:c r="C51" s="30" t="n">
        <x:v>0.01659984500684624</x:v>
      </x:c>
      <x:c r="D51" s="30" t="n">
        <x:v>0.05240204024330278</x:v>
      </x:c>
      <x:c r="E51" s="30" t="n">
        <x:v>0.316778601172266</x:v>
      </x:c>
      <x:c r="F51" s="30" t="n">
        <x:v>0.04278155068223139</x:v>
      </x:c>
      <x:c r="G51" s="30" t="n">
        <x:v>0.06002003616988767</x:v>
      </x:c>
      <x:c r="H51" s="30" t="n">
        <x:v>0.712787819073243</x:v>
      </x:c>
      <x:c r="I51" s="30" t="n">
        <x:v>0.7533902561526871</x:v>
      </x:c>
      <x:c r="J51" s="30" t="n">
        <x:v>0.6087393269713711</x:v>
      </x:c>
      <x:c r="K51" s="19" t="n">
        <x:v>1991</x:v>
      </x:c>
      <x:c r="L51" s="74" t="n">
        <x:v>46211.19679032407</x:v>
      </x:c>
      <x:c r="M51" s="19" t="n">
        <x:v>8902245</x:v>
      </x:c>
      <x:c r="N51" t="str">
        <x:v>8f7e606554926462248cbcc654181861438ca768a0063f6b317223ede37d16fb</x:v>
      </x:c>
      <x:c r="O51" t="str">
        <x:v>legacy_common_sample_8902245</x:v>
      </x:c>
      <x:c r="P51" t="str">
        <x:v>factor_report/gtja191_batch/gtja_016/ic_summary.csv</x:v>
      </x:c>
    </x:row>
    <x:row r="52">
      <x:c r="A52" t="str">
        <x:v>gtja_016</x:v>
      </x:c>
      <x:c r="B52" s="50" t="n">
        <x:v>20</x:v>
      </x:c>
      <x:c r="C52" s="30" t="n">
        <x:v>0.020648641562107738</x:v>
      </x:c>
      <x:c r="D52" s="30" t="n">
        <x:v>0.05189978729221173</x:v>
      </x:c>
      <x:c r="E52" s="30" t="n">
        <x:v>0.3978559959378937</x:v>
      </x:c>
      <x:c r="F52" s="30" t="n">
        <x:v>0.045956893896997295</x:v>
      </x:c>
      <x:c r="G52" s="30" t="n">
        <x:v>0.0587882605896828</x:v>
      </x:c>
      <x:c r="H52" s="30" t="n">
        <x:v>0.7817359016242542</x:v>
      </x:c>
      <x:c r="I52" s="30" t="n">
        <x:v>0.7743563856638062</x:v>
      </x:c>
      <x:c r="J52" s="30" t="n">
        <x:v>0.6400807672892479</x:v>
      </x:c>
      <x:c r="K52" s="19" t="n">
        <x:v>1981</x:v>
      </x:c>
      <x:c r="L52" s="74" t="n">
        <x:v>46211.19679032407</x:v>
      </x:c>
      <x:c r="M52" s="19" t="n">
        <x:v>8902245</x:v>
      </x:c>
      <x:c r="N52" t="str">
        <x:v>8f7e606554926462248cbcc654181861438ca768a0063f6b317223ede37d16fb</x:v>
      </x:c>
      <x:c r="O52" t="str">
        <x:v>legacy_common_sample_8902245</x:v>
      </x:c>
      <x:c r="P52" t="str">
        <x:v>factor_report/gtja191_batch/gtja_016/ic_summary.csv</x:v>
      </x:c>
    </x:row>
    <x:row r="53">
      <x:c r="A53" t="str">
        <x:v>gtja_017</x:v>
      </x:c>
      <x:c r="B53" s="50" t="n">
        <x:v>10</x:v>
      </x:c>
      <x:c r="C53" s="30" t="n">
        <x:v>-0.0013430808207668633</x:v>
      </x:c>
      <x:c r="D53" s="30" t="n">
        <x:v>0.015394438221038639</x:v>
      </x:c>
      <x:c r="E53" s="30" t="n">
        <x:v>-0.0872445490691149</x:v>
      </x:c>
      <x:c r="F53" s="30" t="n">
        <x:v>0.026452121278683006</x:v>
      </x:c>
      <x:c r="G53" s="30" t="n">
        <x:v>0.12507453656076656</x:v>
      </x:c>
      <x:c r="H53" s="30" t="n">
        <x:v>0.21149085981886837</x:v>
      </x:c>
      <x:c r="I53" s="30" t="n">
        <x:v>0.5765946760421898</x:v>
      </x:c>
      <x:c r="J53" s="30" t="n">
        <x:v>0.3304871923656454</x:v>
      </x:c>
      <x:c r="K53" s="19" t="n">
        <x:v>1991</x:v>
      </x:c>
      <x:c r="L53" s="74" t="n">
        <x:v>46211.200878738426</x:v>
      </x:c>
      <x:c r="M53" s="19" t="n">
        <x:v>8902245</x:v>
      </x:c>
      <x:c r="N53" t="str">
        <x:v>8f7e606554926462248cbcc654181861438ca768a0063f6b317223ede37d16fb</x:v>
      </x:c>
      <x:c r="O53" t="str">
        <x:v>legacy_common_sample_8902245</x:v>
      </x:c>
      <x:c r="P53" t="str">
        <x:v>factor_report/gtja191_batch/gtja_017/ic_summary.csv</x:v>
      </x:c>
    </x:row>
    <x:row r="54">
      <x:c r="A54" t="str">
        <x:v>gtja_017</x:v>
      </x:c>
      <x:c r="B54" s="50" t="n">
        <x:v>20</x:v>
      </x:c>
      <x:c r="C54" s="30" t="n">
        <x:v>-0.0011393254599393787</x:v>
      </x:c>
      <x:c r="D54" s="30" t="n">
        <x:v>0.015448987532064933</x:v>
      </x:c>
      <x:c r="E54" s="30" t="n">
        <x:v>-0.07374758103562887</x:v>
      </x:c>
      <x:c r="F54" s="30" t="n">
        <x:v>0.02944576464845126</x:v>
      </x:c>
      <x:c r="G54" s="30" t="n">
        <x:v>0.12074792952012793</x:v>
      </x:c>
      <x:c r="H54" s="30" t="n">
        <x:v>0.24386144562042228</x:v>
      </x:c>
      <x:c r="I54" s="30" t="n">
        <x:v>0.5896012115093388</x:v>
      </x:c>
      <x:c r="J54" s="30" t="n">
        <x:v>0.32306915699141847</x:v>
      </x:c>
      <x:c r="K54" s="19" t="n">
        <x:v>1981</x:v>
      </x:c>
      <x:c r="L54" s="74" t="n">
        <x:v>46211.200878738426</x:v>
      </x:c>
      <x:c r="M54" s="19" t="n">
        <x:v>8902245</x:v>
      </x:c>
      <x:c r="N54" t="str">
        <x:v>8f7e606554926462248cbcc654181861438ca768a0063f6b317223ede37d16fb</x:v>
      </x:c>
      <x:c r="O54" t="str">
        <x:v>legacy_common_sample_8902245</x:v>
      </x:c>
      <x:c r="P54" t="str">
        <x:v>factor_report/gtja191_batch/gtja_017/ic_summary.csv</x:v>
      </x:c>
    </x:row>
    <x:row r="55">
      <x:c r="A55" t="str">
        <x:v>gtja_018</x:v>
      </x:c>
      <x:c r="B55" s="50" t="n">
        <x:v>1</x:v>
      </x:c>
      <x:c r="C55" s="30" t="n">
        <x:v>-0.016459006273261707</x:v>
      </x:c>
      <x:c r="D55" s="30" t="n">
        <x:v>0.1272002925053412</x:v>
      </x:c>
      <x:c r="E55" s="30" t="n">
        <x:v>-0.1293944058546138</x:v>
      </x:c>
      <x:c r="F55" s="30" t="n">
        <x:v>-0.029194867148294158</x:v>
      </x:c>
      <x:c r="G55" s="30" t="n">
        <x:v>0.14764934778629543</x:v>
      </x:c>
      <x:c r="H55" s="30" t="n">
        <x:v>-0.19773109455620622</x:v>
      </x:c>
      <x:c r="I55" s="30" t="n">
        <x:v>0.42</x:v>
      </x:c>
      <x:c r="J55" s="30" t="n">
        <x:v>0.4425</x:v>
      </x:c>
      <x:c r="K55" s="19" t="n">
        <x:v>2000</x:v>
      </x:c>
      <x:c r="L55" s="74" t="n">
        <x:v>46210.18674793981</x:v>
      </x:c>
      <x:c r="M55" s="19" t="n">
        <x:v>8902245</x:v>
      </x:c>
      <x:c r="N55" t="str">
        <x:v>40355b29bce094aef0e99358bdfd4011b92e72a54440a67760de4afae4883c33</x:v>
      </x:c>
      <x:c r="O55" t="str">
        <x:v>legacy_common_sample_8902245</x:v>
      </x:c>
      <x:c r="P55" t="str">
        <x:v>factor_report/gtja191_batch/gtja_018/ic_summary.csv</x:v>
      </x:c>
    </x:row>
    <x:row r="56">
      <x:c r="A56" t="str">
        <x:v>gtja_018</x:v>
      </x:c>
      <x:c r="B56" s="50" t="n">
        <x:v>5</x:v>
      </x:c>
      <x:c r="C56" s="30" t="n">
        <x:v>-0.030540818641317868</x:v>
      </x:c>
      <x:c r="D56" s="30" t="n">
        <x:v>0.11328995390346791</x:v>
      </x:c>
      <x:c r="E56" s="30" t="n">
        <x:v>-0.269580996275637</x:v>
      </x:c>
      <x:c r="F56" s="30" t="n">
        <x:v>-0.031399670594069756</x:v>
      </x:c>
      <x:c r="G56" s="30" t="n">
        <x:v>0.13420132622058759</x:v>
      </x:c>
      <x:c r="H56" s="30" t="n">
        <x:v>-0.23397436879616162</x:v>
      </x:c>
      <x:c r="I56" s="30" t="n">
        <x:v>0.40180360721442887</x:v>
      </x:c>
      <x:c r="J56" s="30" t="n">
        <x:v>0.38577154308617234</x:v>
      </x:c>
      <x:c r="K56" s="19" t="n">
        <x:v>1996</x:v>
      </x:c>
      <x:c r="L56" s="74" t="n">
        <x:v>46210.18674793981</x:v>
      </x:c>
      <x:c r="M56" s="19" t="n">
        <x:v>8902245</x:v>
      </x:c>
      <x:c r="N56" t="str">
        <x:v>40355b29bce094aef0e99358bdfd4011b92e72a54440a67760de4afae4883c33</x:v>
      </x:c>
      <x:c r="O56" t="str">
        <x:v>legacy_common_sample_8902245</x:v>
      </x:c>
      <x:c r="P56" t="str">
        <x:v>factor_report/gtja191_batch/gtja_018/ic_summary.csv</x:v>
      </x:c>
    </x:row>
    <x:row r="57">
      <x:c r="A57" t="str">
        <x:v>gtja_018</x:v>
      </x:c>
      <x:c r="B57" s="50" t="n">
        <x:v>10</x:v>
      </x:c>
      <x:c r="C57" s="30" t="n">
        <x:v>-0.032493228262562054</x:v>
      </x:c>
      <x:c r="D57" s="30" t="n">
        <x:v>0.10608829550579446</x:v>
      </x:c>
      <x:c r="E57" s="30" t="n">
        <x:v>-0.30628476127026943</x:v>
      </x:c>
      <x:c r="F57" s="30" t="n">
        <x:v>-0.03136636231735738</x:v>
      </x:c>
      <x:c r="G57" s="30" t="n">
        <x:v>0.1275138870474672</x:v>
      </x:c>
      <x:c r="H57" s="30" t="n">
        <x:v>-0.2459838927636267</x:v>
      </x:c>
      <x:c r="I57" s="30" t="n">
        <x:v>0.4229030637870417</x:v>
      </x:c>
      <x:c r="J57" s="30" t="n">
        <x:v>0.3832245102963335</x:v>
      </x:c>
      <x:c r="K57" s="19" t="n">
        <x:v>1991</x:v>
      </x:c>
      <x:c r="L57" s="74" t="n">
        <x:v>46210.18674793981</x:v>
      </x:c>
      <x:c r="M57" s="19" t="n">
        <x:v>8902245</x:v>
      </x:c>
      <x:c r="N57" t="str">
        <x:v>40355b29bce094aef0e99358bdfd4011b92e72a54440a67760de4afae4883c33</x:v>
      </x:c>
      <x:c r="O57" t="str">
        <x:v>legacy_common_sample_8902245</x:v>
      </x:c>
      <x:c r="P57" t="str">
        <x:v>factor_report/gtja191_batch/gtja_018/ic_summary.csv</x:v>
      </x:c>
    </x:row>
    <x:row r="58">
      <x:c r="A58" t="str">
        <x:v>gtja_018</x:v>
      </x:c>
      <x:c r="B58" s="50" t="n">
        <x:v>20</x:v>
      </x:c>
      <x:c r="C58" s="30" t="n">
        <x:v>-0.034669093748687776</x:v>
      </x:c>
      <x:c r="D58" s="30" t="n">
        <x:v>0.10331196591540437</x:v>
      </x:c>
      <x:c r="E58" s="30" t="n">
        <x:v>-0.33557674990984204</x:v>
      </x:c>
      <x:c r="F58" s="30" t="n">
        <x:v>-0.03430560060147005</x:v>
      </x:c>
      <x:c r="G58" s="30" t="n">
        <x:v>0.1254099403264624</x:v>
      </x:c>
      <x:c r="H58" s="30" t="n">
        <x:v>-0.2735476989476832</x:v>
      </x:c>
      <x:c r="I58" s="30" t="n">
        <x:v>0.4028268551236749</x:v>
      </x:c>
      <x:c r="J58" s="30" t="n">
        <x:v>0.37051993942453304</x:v>
      </x:c>
      <x:c r="K58" s="19" t="n">
        <x:v>1981</x:v>
      </x:c>
      <x:c r="L58" s="74" t="n">
        <x:v>46210.18674793981</x:v>
      </x:c>
      <x:c r="M58" s="19" t="n">
        <x:v>8902245</x:v>
      </x:c>
      <x:c r="N58" t="str">
        <x:v>40355b29bce094aef0e99358bdfd4011b92e72a54440a67760de4afae4883c33</x:v>
      </x:c>
      <x:c r="O58" t="str">
        <x:v>legacy_common_sample_8902245</x:v>
      </x:c>
      <x:c r="P58" t="str">
        <x:v>factor_report/gtja191_batch/gtja_018/ic_summary.csv</x:v>
      </x:c>
    </x:row>
    <x:row r="59">
      <x:c r="A59" t="str">
        <x:v>gtja_019</x:v>
      </x:c>
      <x:c r="B59" s="50" t="n">
        <x:v>1</x:v>
      </x:c>
      <x:c r="C59" s="30" t="n">
        <x:v>-0.015315160746101331</x:v>
      </x:c>
      <x:c r="D59" s="30" t="n">
        <x:v>0.12788495248109188</x:v>
      </x:c>
      <x:c r="E59" s="30" t="n">
        <x:v>-0.11975733226601243</x:v>
      </x:c>
      <x:c r="F59" s="30" t="n">
        <x:v>-0.029194853697055677</x:v>
      </x:c>
      <x:c r="G59" s="30" t="n">
        <x:v>0.14764933902538466</x:v>
      </x:c>
      <x:c r="H59" s="30" t="n">
        <x:v>-0.19773101518616581</x:v>
      </x:c>
      <x:c r="I59" s="30" t="n">
        <x:v>0.42</x:v>
      </x:c>
      <x:c r="J59" s="30" t="n">
        <x:v>0.45</x:v>
      </x:c>
      <x:c r="K59" s="19" t="n">
        <x:v>2000</x:v>
      </x:c>
      <x:c r="L59" s="74" t="n">
        <x:v>46210.190837372684</x:v>
      </x:c>
      <x:c r="M59" s="19" t="n">
        <x:v>8902245</x:v>
      </x:c>
      <x:c r="N59" t="str">
        <x:v>40355b29bce094aef0e99358bdfd4011b92e72a54440a67760de4afae4883c33</x:v>
      </x:c>
      <x:c r="O59" t="str">
        <x:v>legacy_common_sample_8902245</x:v>
      </x:c>
      <x:c r="P59" t="str">
        <x:v>factor_report/gtja191_batch/gtja_019/ic_summary.csv</x:v>
      </x:c>
    </x:row>
    <x:row r="60">
      <x:c r="A60" t="str">
        <x:v>gtja_019</x:v>
      </x:c>
      <x:c r="B60" s="50" t="n">
        <x:v>5</x:v>
      </x:c>
      <x:c r="C60" s="30" t="n">
        <x:v>-0.02737790602646979</x:v>
      </x:c>
      <x:c r="D60" s="30" t="n">
        <x:v>0.11408369996798329</x:v>
      </x:c>
      <x:c r="E60" s="30" t="n">
        <x:v>-0.23998087399122914</x:v>
      </x:c>
      <x:c r="F60" s="30" t="n">
        <x:v>-0.03139965821397489</x:v>
      </x:c>
      <x:c r="G60" s="30" t="n">
        <x:v>0.134201309354708</x:v>
      </x:c>
      <x:c r="H60" s="30" t="n">
        <x:v>-0.2339743059509377</x:v>
      </x:c>
      <x:c r="I60" s="30" t="n">
        <x:v>0.40180360721442887</x:v>
      </x:c>
      <x:c r="J60" s="30" t="n">
        <x:v>0.3997995991983968</x:v>
      </x:c>
      <x:c r="K60" s="19" t="n">
        <x:v>1996</x:v>
      </x:c>
      <x:c r="L60" s="74" t="n">
        <x:v>46210.190837372684</x:v>
      </x:c>
      <x:c r="M60" s="19" t="n">
        <x:v>8902245</x:v>
      </x:c>
      <x:c r="N60" t="str">
        <x:v>40355b29bce094aef0e99358bdfd4011b92e72a54440a67760de4afae4883c33</x:v>
      </x:c>
      <x:c r="O60" t="str">
        <x:v>legacy_common_sample_8902245</x:v>
      </x:c>
      <x:c r="P60" t="str">
        <x:v>factor_report/gtja191_batch/gtja_019/ic_summary.csv</x:v>
      </x:c>
    </x:row>
    <x:row r="61">
      <x:c r="A61" t="str">
        <x:v>gtja_019</x:v>
      </x:c>
      <x:c r="B61" s="50" t="n">
        <x:v>10</x:v>
      </x:c>
      <x:c r="C61" s="30" t="n">
        <x:v>-0.028714518019066083</x:v>
      </x:c>
      <x:c r="D61" s="30" t="n">
        <x:v>0.10750068219980077</x:v>
      </x:c>
      <x:c r="E61" s="30" t="n">
        <x:v>-0.2671101004335701</x:v>
      </x:c>
      <x:c r="F61" s="30" t="n">
        <x:v>-0.03136635532491433</x:v>
      </x:c>
      <x:c r="G61" s="30" t="n">
        <x:v>0.12751382677292808</x:v>
      </x:c>
      <x:c r="H61" s="30" t="n">
        <x:v>-0.24598395420106384</x:v>
      </x:c>
      <x:c r="I61" s="30" t="n">
        <x:v>0.4229030637870417</x:v>
      </x:c>
      <x:c r="J61" s="30" t="n">
        <x:v>0.40281265695630336</x:v>
      </x:c>
      <x:c r="K61" s="19" t="n">
        <x:v>1991</x:v>
      </x:c>
      <x:c r="L61" s="74" t="n">
        <x:v>46210.190837372684</x:v>
      </x:c>
      <x:c r="M61" s="19" t="n">
        <x:v>8902245</x:v>
      </x:c>
      <x:c r="N61" t="str">
        <x:v>40355b29bce094aef0e99358bdfd4011b92e72a54440a67760de4afae4883c33</x:v>
      </x:c>
      <x:c r="O61" t="str">
        <x:v>legacy_common_sample_8902245</x:v>
      </x:c>
      <x:c r="P61" t="str">
        <x:v>factor_report/gtja191_batch/gtja_019/ic_summary.csv</x:v>
      </x:c>
    </x:row>
    <x:row r="62">
      <x:c r="A62" t="str">
        <x:v>gtja_019</x:v>
      </x:c>
      <x:c r="B62" s="50" t="n">
        <x:v>20</x:v>
      </x:c>
      <x:c r="C62" s="30" t="n">
        <x:v>-0.030832802295413866</x:v>
      </x:c>
      <x:c r="D62" s="30" t="n">
        <x:v>0.10493456942337599</x:v>
      </x:c>
      <x:c r="E62" s="30" t="n">
        <x:v>-0.2938288351002213</x:v>
      </x:c>
      <x:c r="F62" s="30" t="n">
        <x:v>-0.03430559237782003</x:v>
      </x:c>
      <x:c r="G62" s="30" t="n">
        <x:v>0.12540991591715875</x:v>
      </x:c>
      <x:c r="H62" s="30" t="n">
        <x:v>-0.2735476866157941</x:v>
      </x:c>
      <x:c r="I62" s="30" t="n">
        <x:v>0.4028268551236749</x:v>
      </x:c>
      <x:c r="J62" s="30" t="n">
        <x:v>0.38818778394750125</x:v>
      </x:c>
      <x:c r="K62" s="19" t="n">
        <x:v>1981</x:v>
      </x:c>
      <x:c r="L62" s="74" t="n">
        <x:v>46210.190837372684</x:v>
      </x:c>
      <x:c r="M62" s="19" t="n">
        <x:v>8902245</x:v>
      </x:c>
      <x:c r="N62" t="str">
        <x:v>40355b29bce094aef0e99358bdfd4011b92e72a54440a67760de4afae4883c33</x:v>
      </x:c>
      <x:c r="O62" t="str">
        <x:v>legacy_common_sample_8902245</x:v>
      </x:c>
      <x:c r="P62" t="str">
        <x:v>factor_report/gtja191_batch/gtja_019/ic_summary.csv</x:v>
      </x:c>
    </x:row>
    <x:row r="63">
      <x:c r="A63" t="str">
        <x:v>gtja_020</x:v>
      </x:c>
      <x:c r="B63" s="50" t="n">
        <x:v>1</x:v>
      </x:c>
      <x:c r="C63" s="30" t="n">
        <x:v>-0.016242842923796685</x:v>
      </x:c>
      <x:c r="D63" s="30" t="n">
        <x:v>0.12804970837656388</x:v>
      </x:c>
      <x:c r="E63" s="30" t="n">
        <x:v>-0.12684794936065244</x:v>
      </x:c>
      <x:c r="F63" s="30" t="n">
        <x:v>-0.029126869122610234</x:v>
      </x:c>
      <x:c r="G63" s="30" t="n">
        <x:v>0.14680106539780216</x:v>
      </x:c>
      <x:c r="H63" s="30" t="n">
        <x:v>-0.19841047504445639</x:v>
      </x:c>
      <x:c r="I63" s="30" t="n">
        <x:v>0.419</x:v>
      </x:c>
      <x:c r="J63" s="30" t="n">
        <x:v>0.4415</x:v>
      </x:c>
      <x:c r="K63" s="19" t="n">
        <x:v>2000</x:v>
      </x:c>
      <x:c r="L63" s="74" t="n">
        <x:v>46210.19493413194</x:v>
      </x:c>
      <x:c r="M63" s="19" t="n">
        <x:v>8902245</x:v>
      </x:c>
      <x:c r="N63" t="str">
        <x:v>40355b29bce094aef0e99358bdfd4011b92e72a54440a67760de4afae4883c33</x:v>
      </x:c>
      <x:c r="O63" t="str">
        <x:v>legacy_common_sample_8902245</x:v>
      </x:c>
      <x:c r="P63" t="str">
        <x:v>factor_report/gtja191_batch/gtja_020/ic_summary.csv</x:v>
      </x:c>
    </x:row>
    <x:row r="64">
      <x:c r="A64" t="str">
        <x:v>gtja_020</x:v>
      </x:c>
      <x:c r="B64" s="50" t="n">
        <x:v>5</x:v>
      </x:c>
      <x:c r="C64" s="30" t="n">
        <x:v>-0.0312865839527883</x:v>
      </x:c>
      <x:c r="D64" s="30" t="n">
        <x:v>0.11411478657275169</x:v>
      </x:c>
      <x:c r="E64" s="30" t="n">
        <x:v>-0.2741676595332555</x:v>
      </x:c>
      <x:c r="F64" s="30" t="n">
        <x:v>-0.03330528187721423</x:v>
      </x:c>
      <x:c r="G64" s="30" t="n">
        <x:v>0.134119650239328</x:v>
      </x:c>
      <x:c r="H64" s="30" t="n">
        <x:v>-0.2483251471188828</x:v>
      </x:c>
      <x:c r="I64" s="30" t="n">
        <x:v>0.3927855711422846</x:v>
      </x:c>
      <x:c r="J64" s="30" t="n">
        <x:v>0.38226452905811625</x:v>
      </x:c>
      <x:c r="K64" s="19" t="n">
        <x:v>1996</x:v>
      </x:c>
      <x:c r="L64" s="74" t="n">
        <x:v>46210.19493413194</x:v>
      </x:c>
      <x:c r="M64" s="19" t="n">
        <x:v>8902245</x:v>
      </x:c>
      <x:c r="N64" t="str">
        <x:v>40355b29bce094aef0e99358bdfd4011b92e72a54440a67760de4afae4883c33</x:v>
      </x:c>
      <x:c r="O64" t="str">
        <x:v>legacy_common_sample_8902245</x:v>
      </x:c>
      <x:c r="P64" t="str">
        <x:v>factor_report/gtja191_batch/gtja_020/ic_summary.csv</x:v>
      </x:c>
    </x:row>
    <x:row r="65">
      <x:c r="A65" t="str">
        <x:v>gtja_020</x:v>
      </x:c>
      <x:c r="B65" s="50" t="n">
        <x:v>10</x:v>
      </x:c>
      <x:c r="C65" s="30" t="n">
        <x:v>-0.033971393917230926</x:v>
      </x:c>
      <x:c r="D65" s="30" t="n">
        <x:v>0.1074746613527744</x:v>
      </x:c>
      <x:c r="E65" s="30" t="n">
        <x:v>-0.31608747112701624</x:v>
      </x:c>
      <x:c r="F65" s="30" t="n">
        <x:v>-0.0343093540926392</x:v>
      </x:c>
      <x:c r="G65" s="30" t="n">
        <x:v>0.12825689113604943</x:v>
      </x:c>
      <x:c r="H65" s="30" t="n">
        <x:v>-0.2675049565660008</x:v>
      </x:c>
      <x:c r="I65" s="30" t="n">
        <x:v>0.40683073832245104</x:v>
      </x:c>
      <x:c r="J65" s="30" t="n">
        <x:v>0.3797086891009543</x:v>
      </x:c>
      <x:c r="K65" s="19" t="n">
        <x:v>1991</x:v>
      </x:c>
      <x:c r="L65" s="74" t="n">
        <x:v>46210.19493413194</x:v>
      </x:c>
      <x:c r="M65" s="19" t="n">
        <x:v>8902245</x:v>
      </x:c>
      <x:c r="N65" t="str">
        <x:v>40355b29bce094aef0e99358bdfd4011b92e72a54440a67760de4afae4883c33</x:v>
      </x:c>
      <x:c r="O65" t="str">
        <x:v>legacy_common_sample_8902245</x:v>
      </x:c>
      <x:c r="P65" t="str">
        <x:v>factor_report/gtja191_batch/gtja_020/ic_summary.csv</x:v>
      </x:c>
    </x:row>
    <x:row r="66">
      <x:c r="A66" t="str">
        <x:v>gtja_020</x:v>
      </x:c>
      <x:c r="B66" s="50" t="n">
        <x:v>20</x:v>
      </x:c>
      <x:c r="C66" s="30" t="n">
        <x:v>-0.03664682973412327</x:v>
      </x:c>
      <x:c r="D66" s="30" t="n">
        <x:v>0.10441828545136243</x:v>
      </x:c>
      <x:c r="E66" s="30" t="n">
        <x:v>-0.3509618030569291</x:v>
      </x:c>
      <x:c r="F66" s="30" t="n">
        <x:v>-0.0379479035368987</x:v>
      </x:c>
      <x:c r="G66" s="30" t="n">
        <x:v>0.12586769419484098</x:v>
      </x:c>
      <x:c r="H66" s="30" t="n">
        <x:v>-0.3014904164221521</x:v>
      </x:c>
      <x:c r="I66" s="30" t="n">
        <x:v>0.38818778394750125</x:v>
      </x:c>
      <x:c r="J66" s="30" t="n">
        <x:v>0.36597677940434126</x:v>
      </x:c>
      <x:c r="K66" s="19" t="n">
        <x:v>1981</x:v>
      </x:c>
      <x:c r="L66" s="74" t="n">
        <x:v>46210.19493413194</x:v>
      </x:c>
      <x:c r="M66" s="19" t="n">
        <x:v>8902245</x:v>
      </x:c>
      <x:c r="N66" t="str">
        <x:v>40355b29bce094aef0e99358bdfd4011b92e72a54440a67760de4afae4883c33</x:v>
      </x:c>
      <x:c r="O66" t="str">
        <x:v>legacy_common_sample_8902245</x:v>
      </x:c>
      <x:c r="P66" t="str">
        <x:v>factor_report/gtja191_batch/gtja_020/ic_summary.csv</x:v>
      </x:c>
    </x:row>
    <x:row r="67">
      <x:c r="A67" t="str">
        <x:v>gtja_021</x:v>
      </x:c>
      <x:c r="B67" s="50" t="n">
        <x:v>1</x:v>
      </x:c>
      <x:c r="C67" s="30" t="n">
        <x:v>-0.008066334164354795</x:v>
      </x:c>
      <x:c r="D67" s="30" t="n">
        <x:v>0.08837534128917497</x:v>
      </x:c>
      <x:c r="E67" s="30" t="n">
        <x:v>-0.09127358431308072</x:v>
      </x:c>
      <x:c r="F67" s="30" t="n">
        <x:v>-0.023086049652659483</x:v>
      </x:c>
      <x:c r="G67" s="30" t="n">
        <x:v>0.1371546388284735</x:v>
      </x:c>
      <x:c r="H67" s="30" t="n">
        <x:v>-0.16832131854855487</x:v>
      </x:c>
      <x:c r="I67" s="30" t="n">
        <x:v>0.4235</x:v>
      </x:c>
      <x:c r="J67" s="30" t="n">
        <x:v>0.4645</x:v>
      </x:c>
      <x:c r="K67" s="19" t="n">
        <x:v>2000</x:v>
      </x:c>
      <x:c r="L67" s="74" t="n">
        <x:v>46210.1997081713</x:v>
      </x:c>
      <x:c r="M67" s="19" t="n">
        <x:v>8902245</x:v>
      </x:c>
      <x:c r="N67" t="str">
        <x:v>40355b29bce094aef0e99358bdfd4011b92e72a54440a67760de4afae4883c33</x:v>
      </x:c>
      <x:c r="O67" t="str">
        <x:v>legacy_common_sample_8902245</x:v>
      </x:c>
      <x:c r="P67" t="str">
        <x:v>factor_report/gtja191_batch/gtja_021/ic_summary.csv</x:v>
      </x:c>
    </x:row>
    <x:row r="68">
      <x:c r="A68" t="str">
        <x:v>gtja_021</x:v>
      </x:c>
      <x:c r="B68" s="50" t="n">
        <x:v>5</x:v>
      </x:c>
      <x:c r="C68" s="30" t="n">
        <x:v>-0.01322558907346899</x:v>
      </x:c>
      <x:c r="D68" s="30" t="n">
        <x:v>0.07996983253752826</x:v>
      </x:c>
      <x:c r="E68" s="30" t="n">
        <x:v>-0.16538222794530028</x:v>
      </x:c>
      <x:c r="F68" s="30" t="n">
        <x:v>-0.030601805557213892</x:v>
      </x:c>
      <x:c r="G68" s="30" t="n">
        <x:v>0.12983488419240247</x:v>
      </x:c>
      <x:c r="H68" s="30" t="n">
        <x:v>-0.23569786924032712</x:v>
      </x:c>
      <x:c r="I68" s="30" t="n">
        <x:v>0.40080160320641284</x:v>
      </x:c>
      <x:c r="J68" s="30" t="n">
        <x:v>0.41783567134268534</x:v>
      </x:c>
      <x:c r="K68" s="19" t="n">
        <x:v>1996</x:v>
      </x:c>
      <x:c r="L68" s="74" t="n">
        <x:v>46210.1997081713</x:v>
      </x:c>
      <x:c r="M68" s="19" t="n">
        <x:v>8902245</x:v>
      </x:c>
      <x:c r="N68" t="str">
        <x:v>40355b29bce094aef0e99358bdfd4011b92e72a54440a67760de4afae4883c33</x:v>
      </x:c>
      <x:c r="O68" t="str">
        <x:v>legacy_common_sample_8902245</x:v>
      </x:c>
      <x:c r="P68" t="str">
        <x:v>factor_report/gtja191_batch/gtja_021/ic_summary.csv</x:v>
      </x:c>
    </x:row>
    <x:row r="69">
      <x:c r="A69" t="str">
        <x:v>gtja_021</x:v>
      </x:c>
      <x:c r="B69" s="50" t="n">
        <x:v>10</x:v>
      </x:c>
      <x:c r="C69" s="30" t="n">
        <x:v>-0.016966858972330152</x:v>
      </x:c>
      <x:c r="D69" s="30" t="n">
        <x:v>0.07609395856965565</x:v>
      </x:c>
      <x:c r="E69" s="30" t="n">
        <x:v>-0.22297248416638568</x:v>
      </x:c>
      <x:c r="F69" s="30" t="n">
        <x:v>-0.03594981210637164</x:v>
      </x:c>
      <x:c r="G69" s="30" t="n">
        <x:v>0.12294838126188924</x:v>
      </x:c>
      <x:c r="H69" s="30" t="n">
        <x:v>-0.2923976040790309</x:v>
      </x:c>
      <x:c r="I69" s="30" t="n">
        <x:v>0.3937719738824711</x:v>
      </x:c>
      <x:c r="J69" s="30" t="n">
        <x:v>0.40783525866398795</x:v>
      </x:c>
      <x:c r="K69" s="19" t="n">
        <x:v>1991</x:v>
      </x:c>
      <x:c r="L69" s="74" t="n">
        <x:v>46210.1997081713</x:v>
      </x:c>
      <x:c r="M69" s="19" t="n">
        <x:v>8902245</x:v>
      </x:c>
      <x:c r="N69" t="str">
        <x:v>40355b29bce094aef0e99358bdfd4011b92e72a54440a67760de4afae4883c33</x:v>
      </x:c>
      <x:c r="O69" t="str">
        <x:v>legacy_common_sample_8902245</x:v>
      </x:c>
      <x:c r="P69" t="str">
        <x:v>factor_report/gtja191_batch/gtja_021/ic_summary.csv</x:v>
      </x:c>
    </x:row>
    <x:row r="70">
      <x:c r="A70" t="str">
        <x:v>gtja_021</x:v>
      </x:c>
      <x:c r="B70" s="50" t="n">
        <x:v>20</x:v>
      </x:c>
      <x:c r="C70" s="30" t="n">
        <x:v>-0.0184698042171239</x:v>
      </x:c>
      <x:c r="D70" s="30" t="n">
        <x:v>0.07718247270726547</x:v>
      </x:c>
      <x:c r="E70" s="30" t="n">
        <x:v>-0.2393004987955675</x:v>
      </x:c>
      <x:c r="F70" s="30" t="n">
        <x:v>-0.04078459231172008</x:v>
      </x:c>
      <x:c r="G70" s="30" t="n">
        <x:v>0.12279992774039832</x:v>
      </x:c>
      <x:c r="H70" s="30" t="n">
        <x:v>-0.33212228266078125</x:v>
      </x:c>
      <x:c r="I70" s="30" t="n">
        <x:v>0.3750630994447249</x:v>
      </x:c>
      <x:c r="J70" s="30" t="n">
        <x:v>0.4073700151438667</x:v>
      </x:c>
      <x:c r="K70" s="19" t="n">
        <x:v>1981</x:v>
      </x:c>
      <x:c r="L70" s="74" t="n">
        <x:v>46210.1997081713</x:v>
      </x:c>
      <x:c r="M70" s="19" t="n">
        <x:v>8902245</x:v>
      </x:c>
      <x:c r="N70" t="str">
        <x:v>40355b29bce094aef0e99358bdfd4011b92e72a54440a67760de4afae4883c33</x:v>
      </x:c>
      <x:c r="O70" t="str">
        <x:v>legacy_common_sample_8902245</x:v>
      </x:c>
      <x:c r="P70" t="str">
        <x:v>factor_report/gtja191_batch/gtja_021/ic_summary.csv</x:v>
      </x:c>
    </x:row>
    <x:row r="71">
      <x:c r="A71" t="str">
        <x:v>gtja_022</x:v>
      </x:c>
      <x:c r="B71" s="50" t="n">
        <x:v>10</x:v>
      </x:c>
      <x:c r="C71" s="30" t="n">
        <x:v>-0.015718966275780788</x:v>
      </x:c>
      <x:c r="D71" s="30" t="n">
        <x:v>0.08897802309407074</x:v>
      </x:c>
      <x:c r="E71" s="30" t="n">
        <x:v>-0.1766612218295987</x:v>
      </x:c>
      <x:c r="F71" s="30" t="n">
        <x:v>-0.014695116374684365</x:v>
      </x:c>
      <x:c r="G71" s="30" t="n">
        <x:v>0.11978375244533215</x:v>
      </x:c>
      <x:c r="H71" s="30" t="n">
        <x:v>-0.1226803808921501</x:v>
      </x:c>
      <x:c r="I71" s="30" t="n">
        <x:v>0.4515318935208438</x:v>
      </x:c>
      <x:c r="J71" s="30" t="n">
        <x:v>0.4384731290808639</x:v>
      </x:c>
      <x:c r="K71" s="19" t="n">
        <x:v>1991</x:v>
      </x:c>
      <x:c r="L71" s="74" t="n">
        <x:v>46211.206014745374</x:v>
      </x:c>
      <x:c r="M71" s="19" t="n">
        <x:v>8902245</x:v>
      </x:c>
      <x:c r="N71" t="str">
        <x:v>8f7e606554926462248cbcc654181861438ca768a0063f6b317223ede37d16fb</x:v>
      </x:c>
      <x:c r="O71" t="str">
        <x:v>legacy_common_sample_8902245</x:v>
      </x:c>
      <x:c r="P71" t="str">
        <x:v>factor_report/gtja191_batch/gtja_022/ic_summary.csv</x:v>
      </x:c>
    </x:row>
    <x:row r="72">
      <x:c r="A72" t="str">
        <x:v>gtja_022</x:v>
      </x:c>
      <x:c r="B72" s="50" t="n">
        <x:v>20</x:v>
      </x:c>
      <x:c r="C72" s="30" t="n">
        <x:v>-0.015985611076833307</x:v>
      </x:c>
      <x:c r="D72" s="30" t="n">
        <x:v>0.08820878676301878</x:v>
      </x:c>
      <x:c r="E72" s="30" t="n">
        <x:v>-0.18122470179507352</x:v>
      </x:c>
      <x:c r="F72" s="30" t="n">
        <x:v>-0.014465918462138835</x:v>
      </x:c>
      <x:c r="G72" s="30" t="n">
        <x:v>0.12142651149968318</x:v>
      </x:c>
      <x:c r="H72" s="30" t="n">
        <x:v>-0.11913311420608982</x:v>
      </x:c>
      <x:c r="I72" s="30" t="n">
        <x:v>0.4538112064613831</x:v>
      </x:c>
      <x:c r="J72" s="30" t="n">
        <x:v>0.4356385663806159</x:v>
      </x:c>
      <x:c r="K72" s="19" t="n">
        <x:v>1981</x:v>
      </x:c>
      <x:c r="L72" s="74" t="n">
        <x:v>46211.206014745374</x:v>
      </x:c>
      <x:c r="M72" s="19" t="n">
        <x:v>8902245</x:v>
      </x:c>
      <x:c r="N72" t="str">
        <x:v>8f7e606554926462248cbcc654181861438ca768a0063f6b317223ede37d16fb</x:v>
      </x:c>
      <x:c r="O72" t="str">
        <x:v>legacy_common_sample_8902245</x:v>
      </x:c>
      <x:c r="P72" t="str">
        <x:v>factor_report/gtja191_batch/gtja_022/ic_summary.csv</x:v>
      </x:c>
    </x:row>
    <x:row r="73">
      <x:c r="A73" t="str">
        <x:v>gtja_023</x:v>
      </x:c>
      <x:c r="B73" s="50" t="n">
        <x:v>1</x:v>
      </x:c>
      <x:c r="C73" s="30" t="n">
        <x:v>-0.004365516391079837</x:v>
      </x:c>
      <x:c r="D73" s="30" t="n">
        <x:v>0.09414845164414573</x:v>
      </x:c>
      <x:c r="E73" s="30" t="n">
        <x:v>-0.046368435325736874</x:v>
      </x:c>
      <x:c r="F73" s="30" t="n">
        <x:v>-0.014368128371761667</x:v>
      </x:c>
      <x:c r="G73" s="30" t="n">
        <x:v>0.10702011820031729</x:v>
      </x:c>
      <x:c r="H73" s="30" t="n">
        <x:v>-0.13425633061690143</x:v>
      </x:c>
      <x:c r="I73" s="30" t="n">
        <x:v>0.4495</x:v>
      </x:c>
      <x:c r="J73" s="30" t="n">
        <x:v>0.494</x:v>
      </x:c>
      <x:c r="K73" s="19" t="n">
        <x:v>2000</x:v>
      </x:c>
      <x:c r="L73" s="74" t="n">
        <x:v>46210.20966594907</x:v>
      </x:c>
      <x:c r="M73" s="19" t="n">
        <x:v>8902245</x:v>
      </x:c>
      <x:c r="N73" t="str">
        <x:v>40355b29bce094aef0e99358bdfd4011b92e72a54440a67760de4afae4883c33</x:v>
      </x:c>
      <x:c r="O73" t="str">
        <x:v>legacy_common_sample_8902245</x:v>
      </x:c>
      <x:c r="P73" t="str">
        <x:v>factor_report/gtja191_batch/gtja_023/ic_summary.csv</x:v>
      </x:c>
    </x:row>
    <x:row r="74">
      <x:c r="A74" t="str">
        <x:v>gtja_023</x:v>
      </x:c>
      <x:c r="B74" s="50" t="n">
        <x:v>5</x:v>
      </x:c>
      <x:c r="C74" s="30" t="n">
        <x:v>-0.009909258225352281</x:v>
      </x:c>
      <x:c r="D74" s="30" t="n">
        <x:v>0.08837947092589649</x:v>
      </x:c>
      <x:c r="E74" s="30" t="n">
        <x:v>-0.11212171923569099</x:v>
      </x:c>
      <x:c r="F74" s="30" t="n">
        <x:v>-0.02044460346308605</x:v>
      </x:c>
      <x:c r="G74" s="30" t="n">
        <x:v>0.10024216412162458</x:v>
      </x:c>
      <x:c r="H74" s="30" t="n">
        <x:v>-0.20395213573282853</x:v>
      </x:c>
      <x:c r="I74" s="30" t="n">
        <x:v>0.4228456913827655</x:v>
      </x:c>
      <x:c r="J74" s="30" t="n">
        <x:v>0.4649298597194389</x:v>
      </x:c>
      <x:c r="K74" s="19" t="n">
        <x:v>1996</x:v>
      </x:c>
      <x:c r="L74" s="74" t="n">
        <x:v>46210.20966594907</x:v>
      </x:c>
      <x:c r="M74" s="19" t="n">
        <x:v>8902245</x:v>
      </x:c>
      <x:c r="N74" t="str">
        <x:v>40355b29bce094aef0e99358bdfd4011b92e72a54440a67760de4afae4883c33</x:v>
      </x:c>
      <x:c r="O74" t="str">
        <x:v>legacy_common_sample_8902245</x:v>
      </x:c>
      <x:c r="P74" t="str">
        <x:v>factor_report/gtja191_batch/gtja_023/ic_summary.csv</x:v>
      </x:c>
    </x:row>
    <x:row r="75">
      <x:c r="A75" t="str">
        <x:v>gtja_023</x:v>
      </x:c>
      <x:c r="B75" s="50" t="n">
        <x:v>10</x:v>
      </x:c>
      <x:c r="C75" s="30" t="n">
        <x:v>-0.01126758616397598</x:v>
      </x:c>
      <x:c r="D75" s="30" t="n">
        <x:v>0.08658060220230059</x:v>
      </x:c>
      <x:c r="E75" s="30" t="n">
        <x:v>-0.1301398451543293</x:v>
      </x:c>
      <x:c r="F75" s="30" t="n">
        <x:v>-0.02421312567684757</x:v>
      </x:c>
      <x:c r="G75" s="30" t="n">
        <x:v>0.09959494554874267</x:v>
      </x:c>
      <x:c r="H75" s="30" t="n">
        <x:v>-0.24311600898458693</x:v>
      </x:c>
      <x:c r="I75" s="30" t="n">
        <x:v>0.40683073832245104</x:v>
      </x:c>
      <x:c r="J75" s="30" t="n">
        <x:v>0.4731290808638875</x:v>
      </x:c>
      <x:c r="K75" s="19" t="n">
        <x:v>1991</x:v>
      </x:c>
      <x:c r="L75" s="74" t="n">
        <x:v>46210.20966594907</x:v>
      </x:c>
      <x:c r="M75" s="19" t="n">
        <x:v>8902245</x:v>
      </x:c>
      <x:c r="N75" t="str">
        <x:v>40355b29bce094aef0e99358bdfd4011b92e72a54440a67760de4afae4883c33</x:v>
      </x:c>
      <x:c r="O75" t="str">
        <x:v>legacy_common_sample_8902245</x:v>
      </x:c>
      <x:c r="P75" t="str">
        <x:v>factor_report/gtja191_batch/gtja_023/ic_summary.csv</x:v>
      </x:c>
    </x:row>
    <x:row r="76">
      <x:c r="A76" t="str">
        <x:v>gtja_023</x:v>
      </x:c>
      <x:c r="B76" s="50" t="n">
        <x:v>20</x:v>
      </x:c>
      <x:c r="C76" s="30" t="n">
        <x:v>-0.014919014650971958</x:v>
      </x:c>
      <x:c r="D76" s="30" t="n">
        <x:v>0.09076825921482519</x:v>
      </x:c>
      <x:c r="E76" s="30" t="n">
        <x:v>-0.16436378509432992</x:v>
      </x:c>
      <x:c r="F76" s="30" t="n">
        <x:v>-0.030742870020993476</x:v>
      </x:c>
      <x:c r="G76" s="30" t="n">
        <x:v>0.1039709514390946</x:v>
      </x:c>
      <x:c r="H76" s="30" t="n">
        <x:v>-0.2956871087113444</x:v>
      </x:c>
      <x:c r="I76" s="30" t="n">
        <x:v>0.4018172640080767</x:v>
      </x:c>
      <x:c r="J76" s="30" t="n">
        <x:v>0.4573447753659768</x:v>
      </x:c>
      <x:c r="K76" s="19" t="n">
        <x:v>1981</x:v>
      </x:c>
      <x:c r="L76" s="74" t="n">
        <x:v>46210.20966594907</x:v>
      </x:c>
      <x:c r="M76" s="19" t="n">
        <x:v>8902245</x:v>
      </x:c>
      <x:c r="N76" t="str">
        <x:v>40355b29bce094aef0e99358bdfd4011b92e72a54440a67760de4afae4883c33</x:v>
      </x:c>
      <x:c r="O76" t="str">
        <x:v>legacy_common_sample_8902245</x:v>
      </x:c>
      <x:c r="P76" t="str">
        <x:v>factor_report/gtja191_batch/gtja_023/ic_summary.csv</x:v>
      </x:c>
    </x:row>
    <x:row r="77">
      <x:c r="A77" t="str">
        <x:v>gtja_024</x:v>
      </x:c>
      <x:c r="B77" s="50" t="n">
        <x:v>1</x:v>
      </x:c>
      <x:c r="C77" s="30" t="n">
        <x:v>-0.009697462239733385</x:v>
      </x:c>
      <x:c r="D77" s="30" t="n">
        <x:v>0.09317125969257309</x:v>
      </x:c>
      <x:c r="E77" s="30" t="n">
        <x:v>-0.10408212008435895</x:v>
      </x:c>
      <x:c r="F77" s="30" t="n">
        <x:v>-0.028524501518100643</x:v>
      </x:c>
      <x:c r="G77" s="30" t="n">
        <x:v>0.14514093248034757</x:v>
      </x:c>
      <x:c r="H77" s="30" t="n">
        <x:v>-0.19652968346446947</x:v>
      </x:c>
      <x:c r="I77" s="30" t="n">
        <x:v>0.4185</x:v>
      </x:c>
      <x:c r="J77" s="30" t="n">
        <x:v>0.455</x:v>
      </x:c>
      <x:c r="K77" s="19" t="n">
        <x:v>2000</x:v>
      </x:c>
      <x:c r="L77" s="74" t="n">
        <x:v>46210.21420491898</x:v>
      </x:c>
      <x:c r="M77" s="19" t="n">
        <x:v>8902245</x:v>
      </x:c>
      <x:c r="N77" t="str">
        <x:v>40355b29bce094aef0e99358bdfd4011b92e72a54440a67760de4afae4883c33</x:v>
      </x:c>
      <x:c r="O77" t="str">
        <x:v>legacy_common_sample_8902245</x:v>
      </x:c>
      <x:c r="P77" t="str">
        <x:v>factor_report/gtja191_batch/gtja_024/ic_summary.csv</x:v>
      </x:c>
    </x:row>
    <x:row r="78">
      <x:c r="A78" t="str">
        <x:v>gtja_024</x:v>
      </x:c>
      <x:c r="B78" s="50" t="n">
        <x:v>5</x:v>
      </x:c>
      <x:c r="C78" s="30" t="n">
        <x:v>-0.01636082945572149</x:v>
      </x:c>
      <x:c r="D78" s="30" t="n">
        <x:v>0.08408919361156762</x:v>
      </x:c>
      <x:c r="E78" s="30" t="n">
        <x:v>-0.19456518433625258</x:v>
      </x:c>
      <x:c r="F78" s="30" t="n">
        <x:v>-0.037843747955581354</x:v>
      </x:c>
      <x:c r="G78" s="30" t="n">
        <x:v>0.13573258025744142</x:v>
      </x:c>
      <x:c r="H78" s="30" t="n">
        <x:v>-0.2788110848832597</x:v>
      </x:c>
      <x:c r="I78" s="30" t="n">
        <x:v>0.38527054108216435</x:v>
      </x:c>
      <x:c r="J78" s="30" t="n">
        <x:v>0.406312625250501</x:v>
      </x:c>
      <x:c r="K78" s="19" t="n">
        <x:v>1996</x:v>
      </x:c>
      <x:c r="L78" s="74" t="n">
        <x:v>46210.21420491898</x:v>
      </x:c>
      <x:c r="M78" s="19" t="n">
        <x:v>8902245</x:v>
      </x:c>
      <x:c r="N78" t="str">
        <x:v>40355b29bce094aef0e99358bdfd4011b92e72a54440a67760de4afae4883c33</x:v>
      </x:c>
      <x:c r="O78" t="str">
        <x:v>legacy_common_sample_8902245</x:v>
      </x:c>
      <x:c r="P78" t="str">
        <x:v>factor_report/gtja191_batch/gtja_024/ic_summary.csv</x:v>
      </x:c>
    </x:row>
    <x:row r="79">
      <x:c r="A79" t="str">
        <x:v>gtja_024</x:v>
      </x:c>
      <x:c r="B79" s="50" t="n">
        <x:v>10</x:v>
      </x:c>
      <x:c r="C79" s="30" t="n">
        <x:v>-0.02028255030162659</x:v>
      </x:c>
      <x:c r="D79" s="30" t="n">
        <x:v>0.07974266362476572</x:v>
      </x:c>
      <x:c r="E79" s="30" t="n">
        <x:v>-0.25435004776197906</x:v>
      </x:c>
      <x:c r="F79" s="30" t="n">
        <x:v>-0.04380781333991292</x:v>
      </x:c>
      <x:c r="G79" s="30" t="n">
        <x:v>0.12816000438152558</x:v>
      </x:c>
      <x:c r="H79" s="30" t="n">
        <x:v>-0.34182125345048653</x:v>
      </x:c>
      <x:c r="I79" s="30" t="n">
        <x:v>0.37167252636865894</x:v>
      </x:c>
      <x:c r="J79" s="30" t="n">
        <x:v>0.4083375188347564</x:v>
      </x:c>
      <x:c r="K79" s="19" t="n">
        <x:v>1991</x:v>
      </x:c>
      <x:c r="L79" s="74" t="n">
        <x:v>46210.21420491898</x:v>
      </x:c>
      <x:c r="M79" s="19" t="n">
        <x:v>8902245</x:v>
      </x:c>
      <x:c r="N79" t="str">
        <x:v>40355b29bce094aef0e99358bdfd4011b92e72a54440a67760de4afae4883c33</x:v>
      </x:c>
      <x:c r="O79" t="str">
        <x:v>legacy_common_sample_8902245</x:v>
      </x:c>
      <x:c r="P79" t="str">
        <x:v>factor_report/gtja191_batch/gtja_024/ic_summary.csv</x:v>
      </x:c>
    </x:row>
    <x:row r="80">
      <x:c r="A80" t="str">
        <x:v>gtja_024</x:v>
      </x:c>
      <x:c r="B80" s="50" t="n">
        <x:v>20</x:v>
      </x:c>
      <x:c r="C80" s="30" t="n">
        <x:v>-0.02185142305075718</x:v>
      </x:c>
      <x:c r="D80" s="30" t="n">
        <x:v>0.0814135733818868</x:v>
      </x:c>
      <x:c r="E80" s="30" t="n">
        <x:v>-0.2684002451072706</x:v>
      </x:c>
      <x:c r="F80" s="30" t="n">
        <x:v>-0.049039034211319485</x:v>
      </x:c>
      <x:c r="G80" s="30" t="n">
        <x:v>0.1279414354218107</x:v>
      </x:c>
      <x:c r="H80" s="30" t="n">
        <x:v>-0.3832928249526236</x:v>
      </x:c>
      <x:c r="I80" s="30" t="n">
        <x:v>0.3674911660777385</x:v>
      </x:c>
      <x:c r="J80" s="30" t="n">
        <x:v>0.39374053508329127</x:v>
      </x:c>
      <x:c r="K80" s="19" t="n">
        <x:v>1981</x:v>
      </x:c>
      <x:c r="L80" s="74" t="n">
        <x:v>46210.21420491898</x:v>
      </x:c>
      <x:c r="M80" s="19" t="n">
        <x:v>8902245</x:v>
      </x:c>
      <x:c r="N80" t="str">
        <x:v>40355b29bce094aef0e99358bdfd4011b92e72a54440a67760de4afae4883c33</x:v>
      </x:c>
      <x:c r="O80" t="str">
        <x:v>legacy_common_sample_8902245</x:v>
      </x:c>
      <x:c r="P80" t="str">
        <x:v>factor_report/gtja191_batch/gtja_024/ic_summary.csv</x:v>
      </x:c>
    </x:row>
    <x:row r="81">
      <x:c r="A81" t="str">
        <x:v>gtja_025</x:v>
      </x:c>
      <x:c r="B81" s="50" t="n">
        <x:v>10</x:v>
      </x:c>
      <x:c r="C81" s="30" t="n">
        <x:v>0.013593127812259896</x:v>
      </x:c>
      <x:c r="D81" s="30" t="n">
        <x:v>0.10996793856193743</x:v>
      </x:c>
      <x:c r="E81" s="30" t="n">
        <x:v>0.12360991749066766</x:v>
      </x:c>
      <x:c r="F81" s="30" t="n">
        <x:v>0.02562738492603111</x:v>
      </x:c>
      <x:c r="G81" s="30" t="n">
        <x:v>0.12495399546577021</x:v>
      </x:c>
      <x:c r="H81" s="30" t="n">
        <x:v>0.20509456164650175</x:v>
      </x:c>
      <x:c r="I81" s="30" t="n">
        <x:v>0.5636464702612562</x:v>
      </x:c>
      <x:c r="J81" s="30" t="n">
        <x:v>0.547526403557532</x:v>
      </x:c>
      <x:c r="K81" s="19" t="n">
        <x:v>1799</x:v>
      </x:c>
      <x:c r="L81" s="74" t="n">
        <x:v>46211.209765810185</x:v>
      </x:c>
      <x:c r="M81" s="19" t="n">
        <x:v>8902245</x:v>
      </x:c>
      <x:c r="N81" t="str">
        <x:v>8f7e606554926462248cbcc654181861438ca768a0063f6b317223ede37d16fb</x:v>
      </x:c>
      <x:c r="O81" t="str">
        <x:v>legacy_common_sample_8902245</x:v>
      </x:c>
      <x:c r="P81" t="str">
        <x:v>factor_report/gtja191_batch/gtja_025/ic_summary.csv</x:v>
      </x:c>
    </x:row>
    <x:row r="82">
      <x:c r="A82" t="str">
        <x:v>gtja_025</x:v>
      </x:c>
      <x:c r="B82" s="50" t="n">
        <x:v>20</x:v>
      </x:c>
      <x:c r="C82" s="30" t="n">
        <x:v>0.01711386380318972</x:v>
      </x:c>
      <x:c r="D82" s="30" t="n">
        <x:v>0.11124546687118636</x:v>
      </x:c>
      <x:c r="E82" s="30" t="n">
        <x:v>0.15383875212646866</x:v>
      </x:c>
      <x:c r="F82" s="30" t="n">
        <x:v>0.0303902036840893</x:v>
      </x:c>
      <x:c r="G82" s="30" t="n">
        <x:v>0.12358260783534632</x:v>
      </x:c>
      <x:c r="H82" s="30" t="n">
        <x:v>0.2459100371516621</x:v>
      </x:c>
      <x:c r="I82" s="30" t="n">
        <x:v>0.5992174399105645</x:v>
      </x:c>
      <x:c r="J82" s="30" t="n">
        <x:v>0.5589714924538849</x:v>
      </x:c>
      <x:c r="K82" s="19" t="n">
        <x:v>1789</x:v>
      </x:c>
      <x:c r="L82" s="74" t="n">
        <x:v>46211.209765810185</x:v>
      </x:c>
      <x:c r="M82" s="19" t="n">
        <x:v>8902245</x:v>
      </x:c>
      <x:c r="N82" t="str">
        <x:v>8f7e606554926462248cbcc654181861438ca768a0063f6b317223ede37d16fb</x:v>
      </x:c>
      <x:c r="O82" t="str">
        <x:v>legacy_common_sample_8902245</x:v>
      </x:c>
      <x:c r="P82" t="str">
        <x:v>factor_report/gtja191_batch/gtja_025/ic_summary.csv</x:v>
      </x:c>
    </x:row>
    <x:row r="83">
      <x:c r="A83" t="str">
        <x:v>gtja_026</x:v>
      </x:c>
      <x:c r="B83" s="50" t="n">
        <x:v>10</x:v>
      </x:c>
      <x:c r="C83" s="30" t="n">
        <x:v>0.01686150274276015</x:v>
      </x:c>
      <x:c r="D83" s="30" t="n">
        <x:v>0.07792848868574621</x:v>
      </x:c>
      <x:c r="E83" s="30" t="n">
        <x:v>0.21637148399933312</x:v>
      </x:c>
      <x:c r="F83" s="30" t="n">
        <x:v>0.027736643204687658</x:v>
      </x:c>
      <x:c r="G83" s="30" t="n">
        <x:v>0.12826922904020086</x:v>
      </x:c>
      <x:c r="H83" s="30" t="n">
        <x:v>0.2162377010623079</x:v>
      </x:c>
      <x:c r="I83" s="30" t="n">
        <x:v>0.5768595041322314</x:v>
      </x:c>
      <x:c r="J83" s="30" t="n">
        <x:v>0.5834710743801653</x:v>
      </x:c>
      <x:c r="K83" s="19" t="n">
        <x:v>1815</x:v>
      </x:c>
      <x:c r="L83" s="74" t="n">
        <x:v>46211.21334347222</x:v>
      </x:c>
      <x:c r="M83" s="19" t="n">
        <x:v>8902245</x:v>
      </x:c>
      <x:c r="N83" t="str">
        <x:v>8f7e606554926462248cbcc654181861438ca768a0063f6b317223ede37d16fb</x:v>
      </x:c>
      <x:c r="O83" t="str">
        <x:v>legacy_common_sample_8902245</x:v>
      </x:c>
      <x:c r="P83" t="str">
        <x:v>factor_report/gtja191_batch/gtja_026/ic_summary.csv</x:v>
      </x:c>
    </x:row>
    <x:row r="84">
      <x:c r="A84" t="str">
        <x:v>gtja_026</x:v>
      </x:c>
      <x:c r="B84" s="50" t="n">
        <x:v>20</x:v>
      </x:c>
      <x:c r="C84" s="30" t="n">
        <x:v>0.017788558908343993</x:v>
      </x:c>
      <x:c r="D84" s="30" t="n">
        <x:v>0.07783198813416123</x:v>
      </x:c>
      <x:c r="E84" s="30" t="n">
        <x:v>0.2285507454554719</x:v>
      </x:c>
      <x:c r="F84" s="30" t="n">
        <x:v>0.030547769477213424</x:v>
      </x:c>
      <x:c r="G84" s="30" t="n">
        <x:v>0.12363195768515851</x:v>
      </x:c>
      <x:c r="H84" s="30" t="n">
        <x:v>0.24708635250285738</x:v>
      </x:c>
      <x:c r="I84" s="30" t="n">
        <x:v>0.5861495844875346</x:v>
      </x:c>
      <x:c r="J84" s="30" t="n">
        <x:v>0.5933518005540166</x:v>
      </x:c>
      <x:c r="K84" s="19" t="n">
        <x:v>1805</x:v>
      </x:c>
      <x:c r="L84" s="74" t="n">
        <x:v>46211.21334347222</x:v>
      </x:c>
      <x:c r="M84" s="19" t="n">
        <x:v>8902245</x:v>
      </x:c>
      <x:c r="N84" t="str">
        <x:v>8f7e606554926462248cbcc654181861438ca768a0063f6b317223ede37d16fb</x:v>
      </x:c>
      <x:c r="O84" t="str">
        <x:v>legacy_common_sample_8902245</x:v>
      </x:c>
      <x:c r="P84" t="str">
        <x:v>factor_report/gtja191_batch/gtja_026/ic_summary.csv</x:v>
      </x:c>
    </x:row>
    <x:row r="85">
      <x:c r="A85" t="str">
        <x:v>gtja_027</x:v>
      </x:c>
      <x:c r="B85" s="50" t="n">
        <x:v>1</x:v>
      </x:c>
      <x:c r="C85" s="30" t="n">
        <x:v>-0.018439360893491387</x:v>
      </x:c>
      <x:c r="D85" s="30" t="n">
        <x:v>0.13544785844636567</x:v>
      </x:c>
      <x:c r="E85" s="30" t="n">
        <x:v>-0.1361362306129998</x:v>
      </x:c>
      <x:c r="F85" s="30" t="n">
        <x:v>-0.03227867179282106</x:v>
      </x:c>
      <x:c r="G85" s="30" t="n">
        <x:v>0.14999668735067814</x:v>
      </x:c>
      <x:c r="H85" s="30" t="n">
        <x:v>-0.21519589774243855</x:v>
      </x:c>
      <x:c r="I85" s="30" t="n">
        <x:v>0.407</x:v>
      </x:c>
      <x:c r="J85" s="30" t="n">
        <x:v>0.4335</x:v>
      </x:c>
      <x:c r="K85" s="19" t="n">
        <x:v>2000</x:v>
      </x:c>
      <x:c r="L85" s="74" t="n">
        <x:v>46210.22519262732</x:v>
      </x:c>
      <x:c r="M85" s="19" t="n">
        <x:v>8902245</x:v>
      </x:c>
      <x:c r="N85" t="str">
        <x:v>40355b29bce094aef0e99358bdfd4011b92e72a54440a67760de4afae4883c33</x:v>
      </x:c>
      <x:c r="O85" t="str">
        <x:v>legacy_common_sample_8902245</x:v>
      </x:c>
      <x:c r="P85" t="str">
        <x:v>factor_report/gtja191_batch/gtja_027/ic_summary.csv</x:v>
      </x:c>
    </x:row>
    <x:row r="86">
      <x:c r="A86" t="str">
        <x:v>gtja_027</x:v>
      </x:c>
      <x:c r="B86" s="50" t="n">
        <x:v>5</x:v>
      </x:c>
      <x:c r="C86" s="30" t="n">
        <x:v>-0.03352854253035088</x:v>
      </x:c>
      <x:c r="D86" s="30" t="n">
        <x:v>0.12257848997030817</x:v>
      </x:c>
      <x:c r="E86" s="30" t="n">
        <x:v>-0.27352712974741655</x:v>
      </x:c>
      <x:c r="F86" s="30" t="n">
        <x:v>-0.04258089304277106</x:v>
      </x:c>
      <x:c r="G86" s="30" t="n">
        <x:v>0.13959532134726346</x:v>
      </x:c>
      <x:c r="H86" s="30" t="n">
        <x:v>-0.30503094682410564</x:v>
      </x:c>
      <x:c r="I86" s="30" t="n">
        <x:v>0.3837675350701403</x:v>
      </x:c>
      <x:c r="J86" s="30" t="n">
        <x:v>0.3867735470941884</x:v>
      </x:c>
      <x:c r="K86" s="19" t="n">
        <x:v>1996</x:v>
      </x:c>
      <x:c r="L86" s="74" t="n">
        <x:v>46210.22519262732</x:v>
      </x:c>
      <x:c r="M86" s="19" t="n">
        <x:v>8902245</x:v>
      </x:c>
      <x:c r="N86" t="str">
        <x:v>40355b29bce094aef0e99358bdfd4011b92e72a54440a67760de4afae4883c33</x:v>
      </x:c>
      <x:c r="O86" t="str">
        <x:v>legacy_common_sample_8902245</x:v>
      </x:c>
      <x:c r="P86" t="str">
        <x:v>factor_report/gtja191_batch/gtja_027/ic_summary.csv</x:v>
      </x:c>
    </x:row>
    <x:row r="87">
      <x:c r="A87" t="str">
        <x:v>gtja_027</x:v>
      </x:c>
      <x:c r="B87" s="50" t="n">
        <x:v>10</x:v>
      </x:c>
      <x:c r="C87" s="30" t="n">
        <x:v>-0.03923476520314543</x:v>
      </x:c>
      <x:c r="D87" s="30" t="n">
        <x:v>0.11582047387030206</x:v>
      </x:c>
      <x:c r="E87" s="30" t="n">
        <x:v>-0.338755004983672</x:v>
      </x:c>
      <x:c r="F87" s="30" t="n">
        <x:v>-0.04865420573089825</x:v>
      </x:c>
      <x:c r="G87" s="30" t="n">
        <x:v>0.13285489142566081</x:v>
      </x:c>
      <x:c r="H87" s="30" t="n">
        <x:v>-0.366220657807867</x:v>
      </x:c>
      <x:c r="I87" s="30" t="n">
        <x:v>0.3571069814163737</x:v>
      </x:c>
      <x:c r="J87" s="30" t="n">
        <x:v>0.3656454043194375</x:v>
      </x:c>
      <x:c r="K87" s="19" t="n">
        <x:v>1991</x:v>
      </x:c>
      <x:c r="L87" s="74" t="n">
        <x:v>46210.22519262732</x:v>
      </x:c>
      <x:c r="M87" s="19" t="n">
        <x:v>8902245</x:v>
      </x:c>
      <x:c r="N87" t="str">
        <x:v>40355b29bce094aef0e99358bdfd4011b92e72a54440a67760de4afae4883c33</x:v>
      </x:c>
      <x:c r="O87" t="str">
        <x:v>legacy_common_sample_8902245</x:v>
      </x:c>
      <x:c r="P87" t="str">
        <x:v>factor_report/gtja191_batch/gtja_027/ic_summary.csv</x:v>
      </x:c>
    </x:row>
    <x:row r="88">
      <x:c r="A88" t="str">
        <x:v>gtja_027</x:v>
      </x:c>
      <x:c r="B88" s="50" t="n">
        <x:v>20</x:v>
      </x:c>
      <x:c r="C88" s="30" t="n">
        <x:v>-0.043771221717553974</x:v>
      </x:c>
      <x:c r="D88" s="30" t="n">
        <x:v>0.11468382722685669</x:v>
      </x:c>
      <x:c r="E88" s="30" t="n">
        <x:v>-0.381668651770488</x:v>
      </x:c>
      <x:c r="F88" s="30" t="n">
        <x:v>-0.057093229495932894</x:v>
      </x:c>
      <x:c r="G88" s="30" t="n">
        <x:v>0.13214307218299262</x:v>
      </x:c>
      <x:c r="H88" s="30" t="n">
        <x:v>-0.4320561687628225</x:v>
      </x:c>
      <x:c r="I88" s="30" t="n">
        <x:v>0.33266027258960124</x:v>
      </x:c>
      <x:c r="J88" s="30" t="n">
        <x:v>0.3432609793033821</x:v>
      </x:c>
      <x:c r="K88" s="19" t="n">
        <x:v>1981</x:v>
      </x:c>
      <x:c r="L88" s="74" t="n">
        <x:v>46210.22519262732</x:v>
      </x:c>
      <x:c r="M88" s="19" t="n">
        <x:v>8902245</x:v>
      </x:c>
      <x:c r="N88" t="str">
        <x:v>40355b29bce094aef0e99358bdfd4011b92e72a54440a67760de4afae4883c33</x:v>
      </x:c>
      <x:c r="O88" t="str">
        <x:v>legacy_common_sample_8902245</x:v>
      </x:c>
      <x:c r="P88" t="str">
        <x:v>factor_report/gtja191_batch/gtja_027/ic_summary.csv</x:v>
      </x:c>
    </x:row>
    <x:row r="89">
      <x:c r="A89" t="str">
        <x:v>gtja_028</x:v>
      </x:c>
      <x:c r="B89" s="50" t="n">
        <x:v>10</x:v>
      </x:c>
      <x:c r="C89" s="30" t="n">
        <x:v>-0.008679520883049276</x:v>
      </x:c>
      <x:c r="D89" s="30" t="n">
        <x:v>0.10271412312146813</x:v>
      </x:c>
      <x:c r="E89" s="30" t="n">
        <x:v>-0.08450172789563719</x:v>
      </x:c>
      <x:c r="F89" s="30" t="n">
        <x:v>-0.013591252705807414</x:v>
      </x:c>
      <x:c r="G89" s="30" t="n">
        <x:v>0.12060781872224505</x:v>
      </x:c>
      <x:c r="H89" s="30" t="n">
        <x:v>-0.11268964856339474</x:v>
      </x:c>
      <x:c r="I89" s="30" t="n">
        <x:v>0.46509291813159215</x:v>
      </x:c>
      <x:c r="J89" s="30" t="n">
        <x:v>0.4741336012054244</x:v>
      </x:c>
      <x:c r="K89" s="19" t="n">
        <x:v>1991</x:v>
      </x:c>
      <x:c r="L89" s="74" t="n">
        <x:v>46211.21958586806</x:v>
      </x:c>
      <x:c r="M89" s="19" t="n">
        <x:v>8902245</x:v>
      </x:c>
      <x:c r="N89" t="str">
        <x:v>8f7e606554926462248cbcc654181861438ca768a0063f6b317223ede37d16fb</x:v>
      </x:c>
      <x:c r="O89" t="str">
        <x:v>legacy_common_sample_8902245</x:v>
      </x:c>
      <x:c r="P89" t="str">
        <x:v>factor_report/gtja191_batch/gtja_028/ic_summary.csv</x:v>
      </x:c>
    </x:row>
    <x:row r="90">
      <x:c r="A90" t="str">
        <x:v>gtja_028</x:v>
      </x:c>
      <x:c r="B90" s="50" t="n">
        <x:v>20</x:v>
      </x:c>
      <x:c r="C90" s="30" t="n">
        <x:v>-0.011278761986211578</x:v>
      </x:c>
      <x:c r="D90" s="30" t="n">
        <x:v>0.10029437531209433</x:v>
      </x:c>
      <x:c r="E90" s="30" t="n">
        <x:v>-0.11245657546711386</x:v>
      </x:c>
      <x:c r="F90" s="30" t="n">
        <x:v>-0.016461821597344287</x:v>
      </x:c>
      <x:c r="G90" s="30" t="n">
        <x:v>0.11824980556945991</x:v>
      </x:c>
      <x:c r="H90" s="30" t="n">
        <x:v>-0.1392122508622191</x:v>
      </x:c>
      <x:c r="I90" s="30" t="n">
        <x:v>0.4538112064613831</x:v>
      </x:c>
      <x:c r="J90" s="30" t="n">
        <x:v>0.47602221100454317</x:v>
      </x:c>
      <x:c r="K90" s="19" t="n">
        <x:v>1981</x:v>
      </x:c>
      <x:c r="L90" s="74" t="n">
        <x:v>46211.21958586806</x:v>
      </x:c>
      <x:c r="M90" s="19" t="n">
        <x:v>8902245</x:v>
      </x:c>
      <x:c r="N90" t="str">
        <x:v>8f7e606554926462248cbcc654181861438ca768a0063f6b317223ede37d16fb</x:v>
      </x:c>
      <x:c r="O90" t="str">
        <x:v>legacy_common_sample_8902245</x:v>
      </x:c>
      <x:c r="P90" t="str">
        <x:v>factor_report/gtja191_batch/gtja_028/ic_summary.csv</x:v>
      </x:c>
    </x:row>
    <x:row r="91">
      <x:c r="A91" t="str">
        <x:v>gtja_029</x:v>
      </x:c>
      <x:c r="B91" s="50" t="n">
        <x:v>1</x:v>
      </x:c>
      <x:c r="C91" s="30" t="n">
        <x:v>-0.016923580052514417</x:v>
      </x:c>
      <x:c r="D91" s="30" t="n">
        <x:v>0.07700388306805907</x:v>
      </x:c>
      <x:c r="E91" s="30" t="n">
        <x:v>-0.2197756707613912</x:v>
      </x:c>
      <x:c r="F91" s="30" t="n">
        <x:v>-0.027130118862266767</x:v>
      </x:c>
      <x:c r="G91" s="30" t="n">
        <x:v>0.1242844145931604</x:v>
      </x:c>
      <x:c r="H91" s="30" t="n">
        <x:v>-0.2182905954143649</x:v>
      </x:c>
      <x:c r="I91" s="30" t="n">
        <x:v>0.412</x:v>
      </x:c>
      <x:c r="J91" s="30" t="n">
        <x:v>0.4085</x:v>
      </x:c>
      <x:c r="K91" s="19" t="n">
        <x:v>2000</x:v>
      </x:c>
      <x:c r="L91" s="74" t="n">
        <x:v>46210.234402939815</x:v>
      </x:c>
      <x:c r="M91" s="19" t="n">
        <x:v>8902245</x:v>
      </x:c>
      <x:c r="N91" t="str">
        <x:v>40355b29bce094aef0e99358bdfd4011b92e72a54440a67760de4afae4883c33</x:v>
      </x:c>
      <x:c r="O91" t="str">
        <x:v>legacy_common_sample_8902245</x:v>
      </x:c>
      <x:c r="P91" t="str">
        <x:v>factor_report/gtja191_batch/gtja_029/ic_summary.csv</x:v>
      </x:c>
    </x:row>
    <x:row r="92">
      <x:c r="A92" t="str">
        <x:v>gtja_029</x:v>
      </x:c>
      <x:c r="B92" s="50" t="n">
        <x:v>5</x:v>
      </x:c>
      <x:c r="C92" s="30" t="n">
        <x:v>-0.027442891017260232</x:v>
      </x:c>
      <x:c r="D92" s="30" t="n">
        <x:v>0.06875673617548572</x:v>
      </x:c>
      <x:c r="E92" s="30" t="n">
        <x:v>-0.39913021681568156</x:v>
      </x:c>
      <x:c r="F92" s="30" t="n">
        <x:v>-0.030787904669802236</x:v>
      </x:c>
      <x:c r="G92" s="30" t="n">
        <x:v>0.11363257415051845</x:v>
      </x:c>
      <x:c r="H92" s="30" t="n">
        <x:v>-0.27094259634583634</x:v>
      </x:c>
      <x:c r="I92" s="30" t="n">
        <x:v>0.3927855711422846</x:v>
      </x:c>
      <x:c r="J92" s="30" t="n">
        <x:v>0.3221442885771543</x:v>
      </x:c>
      <x:c r="K92" s="19" t="n">
        <x:v>1996</x:v>
      </x:c>
      <x:c r="L92" s="74" t="n">
        <x:v>46210.234402939815</x:v>
      </x:c>
      <x:c r="M92" s="19" t="n">
        <x:v>8902245</x:v>
      </x:c>
      <x:c r="N92" t="str">
        <x:v>40355b29bce094aef0e99358bdfd4011b92e72a54440a67760de4afae4883c33</x:v>
      </x:c>
      <x:c r="O92" t="str">
        <x:v>legacy_common_sample_8902245</x:v>
      </x:c>
      <x:c r="P92" t="str">
        <x:v>factor_report/gtja191_batch/gtja_029/ic_summary.csv</x:v>
      </x:c>
    </x:row>
    <x:row r="93">
      <x:c r="A93" t="str">
        <x:v>gtja_029</x:v>
      </x:c>
      <x:c r="B93" s="50" t="n">
        <x:v>10</x:v>
      </x:c>
      <x:c r="C93" s="30" t="n">
        <x:v>-0.028740183137501273</x:v>
      </x:c>
      <x:c r="D93" s="30" t="n">
        <x:v>0.0635164486421976</x:v>
      </x:c>
      <x:c r="E93" s="30" t="n">
        <x:v>-0.4524841006052018</x:v>
      </x:c>
      <x:c r="F93" s="30" t="n">
        <x:v>-0.03161670993285054</x:v>
      </x:c>
      <x:c r="G93" s="30" t="n">
        <x:v>0.10584119237246778</x:v>
      </x:c>
      <x:c r="H93" s="30" t="n">
        <x:v>-0.2987183838744708</x:v>
      </x:c>
      <x:c r="I93" s="30" t="n">
        <x:v>0.3937719738824711</x:v>
      </x:c>
      <x:c r="J93" s="30" t="n">
        <x:v>0.31039678553490707</x:v>
      </x:c>
      <x:c r="K93" s="19" t="n">
        <x:v>1991</x:v>
      </x:c>
      <x:c r="L93" s="74" t="n">
        <x:v>46210.234402939815</x:v>
      </x:c>
      <x:c r="M93" s="19" t="n">
        <x:v>8902245</x:v>
      </x:c>
      <x:c r="N93" t="str">
        <x:v>40355b29bce094aef0e99358bdfd4011b92e72a54440a67760de4afae4883c33</x:v>
      </x:c>
      <x:c r="O93" t="str">
        <x:v>legacy_common_sample_8902245</x:v>
      </x:c>
      <x:c r="P93" t="str">
        <x:v>factor_report/gtja191_batch/gtja_029/ic_summary.csv</x:v>
      </x:c>
    </x:row>
    <x:row r="94">
      <x:c r="A94" t="str">
        <x:v>gtja_029</x:v>
      </x:c>
      <x:c r="B94" s="50" t="n">
        <x:v>20</x:v>
      </x:c>
      <x:c r="C94" s="30" t="n">
        <x:v>-0.03062477735943441</x:v>
      </x:c>
      <x:c r="D94" s="30" t="n">
        <x:v>0.05794906416951258</x:v>
      </x:c>
      <x:c r="E94" s="30" t="n">
        <x:v>-0.5284775138016177</x:v>
      </x:c>
      <x:c r="F94" s="30" t="n">
        <x:v>-0.03346616278855135</x:v>
      </x:c>
      <x:c r="G94" s="30" t="n">
        <x:v>0.10547796796649117</x:v>
      </x:c>
      <x:c r="H94" s="30" t="n">
        <x:v>-0.31728107237696374</x:v>
      </x:c>
      <x:c r="I94" s="30" t="n">
        <x:v>0.3831398283695103</x:v>
      </x:c>
      <x:c r="J94" s="30" t="n">
        <x:v>0.27460878344270573</x:v>
      </x:c>
      <x:c r="K94" s="19" t="n">
        <x:v>1981</x:v>
      </x:c>
      <x:c r="L94" s="74" t="n">
        <x:v>46210.234402939815</x:v>
      </x:c>
      <x:c r="M94" s="19" t="n">
        <x:v>8902245</x:v>
      </x:c>
      <x:c r="N94" t="str">
        <x:v>40355b29bce094aef0e99358bdfd4011b92e72a54440a67760de4afae4883c33</x:v>
      </x:c>
      <x:c r="O94" t="str">
        <x:v>legacy_common_sample_8902245</x:v>
      </x:c>
      <x:c r="P94" t="str">
        <x:v>factor_report/gtja191_batch/gtja_029/ic_summary.csv</x:v>
      </x:c>
    </x:row>
    <x:row r="95">
      <x:c r="A95" t="str">
        <x:v>gtja_031</x:v>
      </x:c>
      <x:c r="B95" s="50" t="n">
        <x:v>1</x:v>
      </x:c>
      <x:c r="C95" s="30" t="n">
        <x:v>-0.017912612109799345</x:v>
      </x:c>
      <x:c r="D95" s="30" t="n">
        <x:v>0.13434578517477733</x:v>
      </x:c>
      <x:c r="E95" s="30" t="n">
        <x:v>-0.13333214798287799</x:v>
      </x:c>
      <x:c r="F95" s="30" t="n">
        <x:v>-0.0325941446144204</x:v>
      </x:c>
      <x:c r="G95" s="30" t="n">
        <x:v>0.15404625245363318</x:v>
      </x:c>
      <x:c r="H95" s="30" t="n">
        <x:v>-0.21158674161340604</x:v>
      </x:c>
      <x:c r="I95" s="30" t="n">
        <x:v>0.412</x:v>
      </x:c>
      <x:c r="J95" s="30" t="n">
        <x:v>0.44</x:v>
      </x:c>
      <x:c r="K95" s="19" t="n">
        <x:v>2000</x:v>
      </x:c>
      <x:c r="L95" s="74" t="n">
        <x:v>46210.23892871528</x:v>
      </x:c>
      <x:c r="M95" s="19" t="n">
        <x:v>8902245</x:v>
      </x:c>
      <x:c r="N95" t="str">
        <x:v>40355b29bce094aef0e99358bdfd4011b92e72a54440a67760de4afae4883c33</x:v>
      </x:c>
      <x:c r="O95" t="str">
        <x:v>legacy_common_sample_8902245</x:v>
      </x:c>
      <x:c r="P95" t="str">
        <x:v>factor_report/gtja191_batch/gtja_031/ic_summary.csv</x:v>
      </x:c>
    </x:row>
    <x:row r="96">
      <x:c r="A96" t="str">
        <x:v>gtja_031</x:v>
      </x:c>
      <x:c r="B96" s="50" t="n">
        <x:v>5</x:v>
      </x:c>
      <x:c r="C96" s="30" t="n">
        <x:v>-0.03464532959773875</x:v>
      </x:c>
      <x:c r="D96" s="30" t="n">
        <x:v>0.11894611969878938</x:v>
      </x:c>
      <x:c r="E96" s="30" t="n">
        <x:v>-0.2912691030650861</x:v>
      </x:c>
      <x:c r="F96" s="30" t="n">
        <x:v>-0.036798000064215984</x:v>
      </x:c>
      <x:c r="G96" s="30" t="n">
        <x:v>0.13779258485631646</x:v>
      </x:c>
      <x:c r="H96" s="30" t="n">
        <x:v>-0.26705355808940795</x:v>
      </x:c>
      <x:c r="I96" s="30" t="n">
        <x:v>0.3897795591182365</x:v>
      </x:c>
      <x:c r="J96" s="30" t="n">
        <x:v>0.3657314629258517</x:v>
      </x:c>
      <x:c r="K96" s="19" t="n">
        <x:v>1996</x:v>
      </x:c>
      <x:c r="L96" s="74" t="n">
        <x:v>46210.23892871528</x:v>
      </x:c>
      <x:c r="M96" s="19" t="n">
        <x:v>8902245</x:v>
      </x:c>
      <x:c r="N96" t="str">
        <x:v>40355b29bce094aef0e99358bdfd4011b92e72a54440a67760de4afae4883c33</x:v>
      </x:c>
      <x:c r="O96" t="str">
        <x:v>legacy_common_sample_8902245</x:v>
      </x:c>
      <x:c r="P96" t="str">
        <x:v>factor_report/gtja191_batch/gtja_031/ic_summary.csv</x:v>
      </x:c>
    </x:row>
    <x:row r="97">
      <x:c r="A97" t="str">
        <x:v>gtja_031</x:v>
      </x:c>
      <x:c r="B97" s="50" t="n">
        <x:v>10</x:v>
      </x:c>
      <x:c r="C97" s="30" t="n">
        <x:v>-0.03753859343306854</x:v>
      </x:c>
      <x:c r="D97" s="30" t="n">
        <x:v>0.112338888042459</x:v>
      </x:c>
      <x:c r="E97" s="30" t="n">
        <x:v>-0.3341549314506358</x:v>
      </x:c>
      <x:c r="F97" s="30" t="n">
        <x:v>-0.03805880603715265</x:v>
      </x:c>
      <x:c r="G97" s="30" t="n">
        <x:v>0.13268875982438466</x:v>
      </x:c>
      <x:c r="H97" s="30" t="n">
        <x:v>-0.2868276565967154</x:v>
      </x:c>
      <x:c r="I97" s="30" t="n">
        <x:v>0.3987945755901557</x:v>
      </x:c>
      <x:c r="J97" s="30" t="n">
        <x:v>0.36916122551481667</x:v>
      </x:c>
      <x:c r="K97" s="19" t="n">
        <x:v>1991</x:v>
      </x:c>
      <x:c r="L97" s="74" t="n">
        <x:v>46210.23892871528</x:v>
      </x:c>
      <x:c r="M97" s="19" t="n">
        <x:v>8902245</x:v>
      </x:c>
      <x:c r="N97" t="str">
        <x:v>40355b29bce094aef0e99358bdfd4011b92e72a54440a67760de4afae4883c33</x:v>
      </x:c>
      <x:c r="O97" t="str">
        <x:v>legacy_common_sample_8902245</x:v>
      </x:c>
      <x:c r="P97" t="str">
        <x:v>factor_report/gtja191_batch/gtja_031/ic_summary.csv</x:v>
      </x:c>
    </x:row>
    <x:row r="98">
      <x:c r="A98" t="str">
        <x:v>gtja_031</x:v>
      </x:c>
      <x:c r="B98" s="50" t="n">
        <x:v>20</x:v>
      </x:c>
      <x:c r="C98" s="30" t="n">
        <x:v>-0.0410780614295464</x:v>
      </x:c>
      <x:c r="D98" s="30" t="n">
        <x:v>0.10857784715302281</x:v>
      </x:c>
      <x:c r="E98" s="30" t="n">
        <x:v>-0.3783281995972305</x:v>
      </x:c>
      <x:c r="F98" s="30" t="n">
        <x:v>-0.04388569754062773</x:v>
      </x:c>
      <x:c r="G98" s="30" t="n">
        <x:v>0.12856787073727688</x:v>
      </x:c>
      <x:c r="H98" s="30" t="n">
        <x:v>-0.3413426487423622</x:v>
      </x:c>
      <x:c r="I98" s="30" t="n">
        <x:v>0.37657748611812214</x:v>
      </x:c>
      <x:c r="J98" s="30" t="n">
        <x:v>0.3493185259969712</x:v>
      </x:c>
      <x:c r="K98" s="19" t="n">
        <x:v>1981</x:v>
      </x:c>
      <x:c r="L98" s="74" t="n">
        <x:v>46210.23892871528</x:v>
      </x:c>
      <x:c r="M98" s="19" t="n">
        <x:v>8902245</x:v>
      </x:c>
      <x:c r="N98" t="str">
        <x:v>40355b29bce094aef0e99358bdfd4011b92e72a54440a67760de4afae4883c33</x:v>
      </x:c>
      <x:c r="O98" t="str">
        <x:v>legacy_common_sample_8902245</x:v>
      </x:c>
      <x:c r="P98" t="str">
        <x:v>factor_report/gtja191_batch/gtja_031/ic_summary.csv</x:v>
      </x:c>
    </x:row>
    <x:row r="99">
      <x:c r="A99" t="str">
        <x:v>gtja_032</x:v>
      </x:c>
      <x:c r="B99" s="50" t="n">
        <x:v>10</x:v>
      </x:c>
      <x:c r="C99" s="30" t="n">
        <x:v>0.015685991226727817</x:v>
      </x:c>
      <x:c r="D99" s="30" t="n">
        <x:v>0.0456957191728287</x:v>
      </x:c>
      <x:c r="E99" s="30" t="n">
        <x:v>0.3432704750176013</x:v>
      </x:c>
      <x:c r="F99" s="30" t="n">
        <x:v>0.03607090076309309</x:v>
      </x:c>
      <x:c r="G99" s="30" t="n">
        <x:v>0.052213115253562745</x:v>
      </x:c>
      <x:c r="H99" s="30" t="n">
        <x:v>0.6908398510206074</x:v>
      </x:c>
      <x:c r="I99" s="30" t="n">
        <x:v>0.7649422400803616</x:v>
      </x:c>
      <x:c r="J99" s="30" t="n">
        <x:v>0.6328478151682572</x:v>
      </x:c>
      <x:c r="K99" s="19" t="n">
        <x:v>1991</x:v>
      </x:c>
      <x:c r="L99" s="74" t="n">
        <x:v>46211.2231158912</x:v>
      </x:c>
      <x:c r="M99" s="19" t="n">
        <x:v>8902245</x:v>
      </x:c>
      <x:c r="N99" t="str">
        <x:v>8f7e606554926462248cbcc654181861438ca768a0063f6b317223ede37d16fb</x:v>
      </x:c>
      <x:c r="O99" t="str">
        <x:v>legacy_common_sample_8902245</x:v>
      </x:c>
      <x:c r="P99" t="str">
        <x:v>factor_report/gtja191_batch/gtja_032/ic_summary.csv</x:v>
      </x:c>
    </x:row>
    <x:row r="100">
      <x:c r="A100" t="str">
        <x:v>gtja_032</x:v>
      </x:c>
      <x:c r="B100" s="50" t="n">
        <x:v>20</x:v>
      </x:c>
      <x:c r="C100" s="30" t="n">
        <x:v>0.018068366772853468</x:v>
      </x:c>
      <x:c r="D100" s="30" t="n">
        <x:v>0.04411195493169884</x:v>
      </x:c>
      <x:c r="E100" s="30" t="n">
        <x:v>0.40960249439930274</x:v>
      </x:c>
      <x:c r="F100" s="30" t="n">
        <x:v>0.03773642741915077</x:v>
      </x:c>
      <x:c r="G100" s="30" t="n">
        <x:v>0.050327468143486626</x:v>
      </x:c>
      <x:c r="H100" s="30" t="n">
        <x:v>0.7498177200482639</x:v>
      </x:c>
      <x:c r="I100" s="30" t="n">
        <x:v>0.7657748611812216</x:v>
      </x:c>
      <x:c r="J100" s="30" t="n">
        <x:v>0.657243816254417</x:v>
      </x:c>
      <x:c r="K100" s="19" t="n">
        <x:v>1981</x:v>
      </x:c>
      <x:c r="L100" s="74" t="n">
        <x:v>46211.2231158912</x:v>
      </x:c>
      <x:c r="M100" s="19" t="n">
        <x:v>8902245</x:v>
      </x:c>
      <x:c r="N100" t="str">
        <x:v>8f7e606554926462248cbcc654181861438ca768a0063f6b317223ede37d16fb</x:v>
      </x:c>
      <x:c r="O100" t="str">
        <x:v>legacy_common_sample_8902245</x:v>
      </x:c>
      <x:c r="P100" t="str">
        <x:v>factor_report/gtja191_batch/gtja_032/ic_summary.csv</x:v>
      </x:c>
    </x:row>
    <x:row r="101">
      <x:c r="A101" t="str">
        <x:v>gtja_033</x:v>
      </x:c>
      <x:c r="B101" s="50" t="n">
        <x:v>10</x:v>
      </x:c>
      <x:c r="C101" s="30" t="n">
        <x:v>0.011926812227976993</x:v>
      </x:c>
      <x:c r="D101" s="30" t="n">
        <x:v>0.06545493182237332</x:v>
      </x:c>
      <x:c r="E101" s="30" t="n">
        <x:v>0.18221411123524017</x:v>
      </x:c>
      <x:c r="F101" s="30" t="n">
        <x:v>0.030623947788683107</x:v>
      </x:c>
      <x:c r="G101" s="30" t="n">
        <x:v>0.11567378323717986</x:v>
      </x:c>
      <x:c r="H101" s="30" t="n">
        <x:v>0.26474406673369666</x:v>
      </x:c>
      <x:c r="I101" s="30" t="n">
        <x:v>0.5975677169707021</x:v>
      </x:c>
      <x:c r="J101" s="30" t="n">
        <x:v>0.5732448866777226</x:v>
      </x:c>
      <x:c r="K101" s="19" t="n">
        <x:v>1809</x:v>
      </x:c>
      <x:c r="L101" s="74" t="n">
        <x:v>46211.22782114583</x:v>
      </x:c>
      <x:c r="M101" s="19" t="n">
        <x:v>8902245</x:v>
      </x:c>
      <x:c r="N101" t="str">
        <x:v>8f7e606554926462248cbcc654181861438ca768a0063f6b317223ede37d16fb</x:v>
      </x:c>
      <x:c r="O101" t="str">
        <x:v>legacy_common_sample_8902245</x:v>
      </x:c>
      <x:c r="P101" t="str">
        <x:v>factor_report/gtja191_batch/gtja_033/ic_summary.csv</x:v>
      </x:c>
    </x:row>
    <x:row r="102">
      <x:c r="A102" t="str">
        <x:v>gtja_033</x:v>
      </x:c>
      <x:c r="B102" s="50" t="n">
        <x:v>20</x:v>
      </x:c>
      <x:c r="C102" s="30" t="n">
        <x:v>0.01094773363540187</x:v>
      </x:c>
      <x:c r="D102" s="30" t="n">
        <x:v>0.06578275159565045</x:v>
      </x:c>
      <x:c r="E102" s="30" t="n">
        <x:v>0.16642255560689762</x:v>
      </x:c>
      <x:c r="F102" s="30" t="n">
        <x:v>0.03213346568996951</x:v>
      </x:c>
      <x:c r="G102" s="30" t="n">
        <x:v>0.11613755386915903</x:v>
      </x:c>
      <x:c r="H102" s="30" t="n">
        <x:v>0.2766845401804414</x:v>
      </x:c>
      <x:c r="I102" s="30" t="n">
        <x:v>0.6147859922178989</x:v>
      </x:c>
      <x:c r="J102" s="30" t="n">
        <x:v>0.565869927737632</x:v>
      </x:c>
      <x:c r="K102" s="19" t="n">
        <x:v>1799</x:v>
      </x:c>
      <x:c r="L102" s="74" t="n">
        <x:v>46211.22782114583</x:v>
      </x:c>
      <x:c r="M102" s="19" t="n">
        <x:v>8902245</x:v>
      </x:c>
      <x:c r="N102" t="str">
        <x:v>8f7e606554926462248cbcc654181861438ca768a0063f6b317223ede37d16fb</x:v>
      </x:c>
      <x:c r="O102" t="str">
        <x:v>legacy_common_sample_8902245</x:v>
      </x:c>
      <x:c r="P102" t="str">
        <x:v>factor_report/gtja191_batch/gtja_033/ic_summary.csv</x:v>
      </x:c>
    </x:row>
    <x:row r="103">
      <x:c r="A103" t="str">
        <x:v>gtja_034</x:v>
      </x:c>
      <x:c r="B103" s="50" t="n">
        <x:v>10</x:v>
      </x:c>
      <x:c r="C103" s="30" t="n">
        <x:v>0.0327528515186383</x:v>
      </x:c>
      <x:c r="D103" s="30" t="n">
        <x:v>0.1125278253358311</x:v>
      </x:c>
      <x:c r="E103" s="30" t="n">
        <x:v>0.2910644671297059</x:v>
      </x:c>
      <x:c r="F103" s="30" t="n">
        <x:v>0.03805878762791508</x:v>
      </x:c>
      <x:c r="G103" s="30" t="n">
        <x:v>0.132688738618553</x:v>
      </x:c>
      <x:c r="H103" s="30" t="n">
        <x:v>0.2868275636964535</x:v>
      </x:c>
      <x:c r="I103" s="30" t="n">
        <x:v>0.6012054244098443</x:v>
      </x:c>
      <x:c r="J103" s="30" t="n">
        <x:v>0.6137619286790558</x:v>
      </x:c>
      <x:c r="K103" s="19" t="n">
        <x:v>1991</x:v>
      </x:c>
      <x:c r="L103" s="74" t="n">
        <x:v>46211.230695833336</x:v>
      </x:c>
      <x:c r="M103" s="19" t="n">
        <x:v>8902245</x:v>
      </x:c>
      <x:c r="N103" t="str">
        <x:v>8f7e606554926462248cbcc654181861438ca768a0063f6b317223ede37d16fb</x:v>
      </x:c>
      <x:c r="O103" t="str">
        <x:v>legacy_common_sample_8902245</x:v>
      </x:c>
      <x:c r="P103" t="str">
        <x:v>factor_report/gtja191_batch/gtja_034/ic_summary.csv</x:v>
      </x:c>
    </x:row>
    <x:row r="104">
      <x:c r="A104" t="str">
        <x:v>gtja_034</x:v>
      </x:c>
      <x:c r="B104" s="50" t="n">
        <x:v>20</x:v>
      </x:c>
      <x:c r="C104" s="30" t="n">
        <x:v>0.03653057003266553</x:v>
      </x:c>
      <x:c r="D104" s="30" t="n">
        <x:v>0.1089178170842539</x:v>
      </x:c>
      <x:c r="E104" s="30" t="n">
        <x:v>0.33539572322136363</x:v>
      </x:c>
      <x:c r="F104" s="30" t="n">
        <x:v>0.04388568023091014</x:v>
      </x:c>
      <x:c r="G104" s="30" t="n">
        <x:v>0.12856784648346237</x:v>
      </x:c>
      <x:c r="H104" s="30" t="n">
        <x:v>0.3413425785004118</x:v>
      </x:c>
      <x:c r="I104" s="30" t="n">
        <x:v>0.6234225138818779</x:v>
      </x:c>
      <x:c r="J104" s="30" t="n">
        <x:v>0.6289752650176679</x:v>
      </x:c>
      <x:c r="K104" s="19" t="n">
        <x:v>1981</x:v>
      </x:c>
      <x:c r="L104" s="74" t="n">
        <x:v>46211.230695833336</x:v>
      </x:c>
      <x:c r="M104" s="19" t="n">
        <x:v>8902245</x:v>
      </x:c>
      <x:c r="N104" t="str">
        <x:v>8f7e606554926462248cbcc654181861438ca768a0063f6b317223ede37d16fb</x:v>
      </x:c>
      <x:c r="O104" t="str">
        <x:v>legacy_common_sample_8902245</x:v>
      </x:c>
      <x:c r="P104" t="str">
        <x:v>factor_report/gtja191_batch/gtja_034/ic_summary.csv</x:v>
      </x:c>
    </x:row>
    <x:row r="105">
      <x:c r="A105" t="str">
        <x:v>gtja_035</x:v>
      </x:c>
      <x:c r="B105" s="50" t="n">
        <x:v>10</x:v>
      </x:c>
      <x:c r="C105" s="30" t="n">
        <x:v>0.025416303370882704</x:v>
      </x:c>
      <x:c r="D105" s="30" t="n">
        <x:v>0.086366198716436</x:v>
      </x:c>
      <x:c r="E105" s="30" t="n">
        <x:v>0.29428530777800493</x:v>
      </x:c>
      <x:c r="F105" s="30" t="n">
        <x:v>0.033680898953476535</x:v>
      </x:c>
      <x:c r="G105" s="30" t="n">
        <x:v>0.09795333147615004</x:v>
      </x:c>
      <x:c r="H105" s="30" t="n">
        <x:v>0.34384638527253414</x:v>
      </x:c>
      <x:c r="I105" s="30" t="n">
        <x:v>0.6494224008036162</x:v>
      </x:c>
      <x:c r="J105" s="30" t="n">
        <x:v>0.622802611752888</x:v>
      </x:c>
      <x:c r="K105" s="19" t="n">
        <x:v>1991</x:v>
      </x:c>
      <x:c r="L105" s="74" t="n">
        <x:v>46211.2335940162</x:v>
      </x:c>
      <x:c r="M105" s="19" t="n">
        <x:v>8902245</x:v>
      </x:c>
      <x:c r="N105" t="str">
        <x:v>8f7e606554926462248cbcc654181861438ca768a0063f6b317223ede37d16fb</x:v>
      </x:c>
      <x:c r="O105" t="str">
        <x:v>legacy_common_sample_8902245</x:v>
      </x:c>
      <x:c r="P105" t="str">
        <x:v>factor_report/gtja191_batch/gtja_035/ic_summary.csv</x:v>
      </x:c>
    </x:row>
    <x:row r="106">
      <x:c r="A106" t="str">
        <x:v>gtja_035</x:v>
      </x:c>
      <x:c r="B106" s="50" t="n">
        <x:v>20</x:v>
      </x:c>
      <x:c r="C106" s="30" t="n">
        <x:v>0.029816239824070334</x:v>
      </x:c>
      <x:c r="D106" s="30" t="n">
        <x:v>0.08771666549338279</x:v>
      </x:c>
      <x:c r="E106" s="30" t="n">
        <x:v>0.3399153360009977</x:v>
      </x:c>
      <x:c r="F106" s="30" t="n">
        <x:v>0.03934209835890449</x:v>
      </x:c>
      <x:c r="G106" s="30" t="n">
        <x:v>0.09802067572825025</x:v>
      </x:c>
      <x:c r="H106" s="30" t="n">
        <x:v>0.4013653044789796</x:v>
      </x:c>
      <x:c r="I106" s="30" t="n">
        <x:v>0.6567390206966178</x:v>
      </x:c>
      <x:c r="J106" s="30" t="n">
        <x:v>0.6304896516910651</x:v>
      </x:c>
      <x:c r="K106" s="19" t="n">
        <x:v>1981</x:v>
      </x:c>
      <x:c r="L106" s="74" t="n">
        <x:v>46211.2335940162</x:v>
      </x:c>
      <x:c r="M106" s="19" t="n">
        <x:v>8902245</x:v>
      </x:c>
      <x:c r="N106" t="str">
        <x:v>8f7e606554926462248cbcc654181861438ca768a0063f6b317223ede37d16fb</x:v>
      </x:c>
      <x:c r="O106" t="str">
        <x:v>legacy_common_sample_8902245</x:v>
      </x:c>
      <x:c r="P106" t="str">
        <x:v>factor_report/gtja191_batch/gtja_035/ic_summary.csv</x:v>
      </x:c>
    </x:row>
    <x:row r="107">
      <x:c r="A107" t="str">
        <x:v>gtja_036</x:v>
      </x:c>
      <x:c r="B107" s="50" t="n">
        <x:v>1</x:v>
      </x:c>
      <x:c r="C107" s="30" t="n">
        <x:v>-0.008689297473139998</x:v>
      </x:c>
      <x:c r="D107" s="30" t="n">
        <x:v>0.0618148099348991</x:v>
      </x:c>
      <x:c r="E107" s="30" t="n">
        <x:v>-0.14056983241218765</x:v>
      </x:c>
      <x:c r="F107" s="30" t="n">
        <x:v>-0.028994801088092843</x:v>
      </x:c>
      <x:c r="G107" s="30" t="n">
        <x:v>0.07107259223332096</x:v>
      </x:c>
      <x:c r="H107" s="30" t="n">
        <x:v>-0.40796037089666204</x:v>
      </x:c>
      <x:c r="I107" s="30" t="n">
        <x:v>0.34</x:v>
      </x:c>
      <x:c r="J107" s="30" t="n">
        <x:v>0.4435</x:v>
      </x:c>
      <x:c r="K107" s="19" t="n">
        <x:v>2000</x:v>
      </x:c>
      <x:c r="L107" s="74" t="n">
        <x:v>46210.26318543981</x:v>
      </x:c>
      <x:c r="M107" s="19" t="n">
        <x:v>8902245</x:v>
      </x:c>
      <x:c r="N107" t="str">
        <x:v>40355b29bce094aef0e99358bdfd4011b92e72a54440a67760de4afae4883c33</x:v>
      </x:c>
      <x:c r="O107" t="str">
        <x:v>legacy_common_sample_8902245</x:v>
      </x:c>
      <x:c r="P107" t="str">
        <x:v>factor_report/gtja191_batch/gtja_036/ic_summary.csv</x:v>
      </x:c>
    </x:row>
    <x:row r="108">
      <x:c r="A108" t="str">
        <x:v>gtja_036</x:v>
      </x:c>
      <x:c r="B108" s="50" t="n">
        <x:v>5</x:v>
      </x:c>
      <x:c r="C108" s="30" t="n">
        <x:v>-0.016290995186504936</x:v>
      </x:c>
      <x:c r="D108" s="30" t="n">
        <x:v>0.058211203790522775</x:v>
      </x:c>
      <x:c r="E108" s="30" t="n">
        <x:v>-0.27986013216852995</x:v>
      </x:c>
      <x:c r="F108" s="30" t="n">
        <x:v>-0.03964438279450235</x:v>
      </x:c>
      <x:c r="G108" s="30" t="n">
        <x:v>0.06598612552820726</x:v>
      </x:c>
      <x:c r="H108" s="30" t="n">
        <x:v>-0.600798766061139</x:v>
      </x:c>
      <x:c r="I108" s="30" t="n">
        <x:v>0.26102204408817636</x:v>
      </x:c>
      <x:c r="J108" s="30" t="n">
        <x:v>0.3927855711422846</x:v>
      </x:c>
      <x:c r="K108" s="19" t="n">
        <x:v>1996</x:v>
      </x:c>
      <x:c r="L108" s="74" t="n">
        <x:v>46210.26318543981</x:v>
      </x:c>
      <x:c r="M108" s="19" t="n">
        <x:v>8902245</x:v>
      </x:c>
      <x:c r="N108" t="str">
        <x:v>40355b29bce094aef0e99358bdfd4011b92e72a54440a67760de4afae4883c33</x:v>
      </x:c>
      <x:c r="O108" t="str">
        <x:v>legacy_common_sample_8902245</x:v>
      </x:c>
      <x:c r="P108" t="str">
        <x:v>factor_report/gtja191_batch/gtja_036/ic_summary.csv</x:v>
      </x:c>
    </x:row>
    <x:row r="109">
      <x:c r="A109" t="str">
        <x:v>gtja_036</x:v>
      </x:c>
      <x:c r="B109" s="50" t="n">
        <x:v>10</x:v>
      </x:c>
      <x:c r="C109" s="30" t="n">
        <x:v>-0.020028430395840468</x:v>
      </x:c>
      <x:c r="D109" s="30" t="n">
        <x:v>0.057182310225521296</x:v>
      </x:c>
      <x:c r="E109" s="30" t="n">
        <x:v>-0.35025570524958416</x:v>
      </x:c>
      <x:c r="F109" s="30" t="n">
        <x:v>-0.044762888764742104</x:v>
      </x:c>
      <x:c r="G109" s="30" t="n">
        <x:v>0.06517786013303334</x:v>
      </x:c>
      <x:c r="H109" s="30" t="n">
        <x:v>-0.6867805827527537</x:v>
      </x:c>
      <x:c r="I109" s="30" t="n">
        <x:v>0.23756906077348067</x:v>
      </x:c>
      <x:c r="J109" s="30" t="n">
        <x:v>0.37317930688096435</x:v>
      </x:c>
      <x:c r="K109" s="19" t="n">
        <x:v>1991</x:v>
      </x:c>
      <x:c r="L109" s="74" t="n">
        <x:v>46210.26318543981</x:v>
      </x:c>
      <x:c r="M109" s="19" t="n">
        <x:v>8902245</x:v>
      </x:c>
      <x:c r="N109" t="str">
        <x:v>40355b29bce094aef0e99358bdfd4011b92e72a54440a67760de4afae4883c33</x:v>
      </x:c>
      <x:c r="O109" t="str">
        <x:v>legacy_common_sample_8902245</x:v>
      </x:c>
      <x:c r="P109" t="str">
        <x:v>factor_report/gtja191_batch/gtja_036/ic_summary.csv</x:v>
      </x:c>
    </x:row>
    <x:row r="110">
      <x:c r="A110" t="str">
        <x:v>gtja_036</x:v>
      </x:c>
      <x:c r="B110" s="50" t="n">
        <x:v>20</x:v>
      </x:c>
      <x:c r="C110" s="30" t="n">
        <x:v>-0.024359467978277344</x:v>
      </x:c>
      <x:c r="D110" s="30" t="n">
        <x:v>0.05490507919581907</x:v>
      </x:c>
      <x:c r="E110" s="30" t="n">
        <x:v>-0.44366510958666056</x:v>
      </x:c>
      <x:c r="F110" s="30" t="n">
        <x:v>-0.048413869320567675</x:v>
      </x:c>
      <x:c r="G110" s="30" t="n">
        <x:v>0.06214973851821023</x:v>
      </x:c>
      <x:c r="H110" s="30" t="n">
        <x:v>-0.7789874981755899</x:v>
      </x:c>
      <x:c r="I110" s="30" t="n">
        <x:v>0.21807168096920748</x:v>
      </x:c>
      <x:c r="J110" s="30" t="n">
        <x:v>0.33266027258960124</x:v>
      </x:c>
      <x:c r="K110" s="19" t="n">
        <x:v>1981</x:v>
      </x:c>
      <x:c r="L110" s="74" t="n">
        <x:v>46210.26318543981</x:v>
      </x:c>
      <x:c r="M110" s="19" t="n">
        <x:v>8902245</x:v>
      </x:c>
      <x:c r="N110" t="str">
        <x:v>40355b29bce094aef0e99358bdfd4011b92e72a54440a67760de4afae4883c33</x:v>
      </x:c>
      <x:c r="O110" t="str">
        <x:v>legacy_common_sample_8902245</x:v>
      </x:c>
      <x:c r="P110" t="str">
        <x:v>factor_report/gtja191_batch/gtja_036/ic_summary.csv</x:v>
      </x:c>
    </x:row>
    <x:row r="111">
      <x:c r="A111" t="str">
        <x:v>gtja_037</x:v>
      </x:c>
      <x:c r="B111" s="50" t="n">
        <x:v>10</x:v>
      </x:c>
      <x:c r="C111" s="30" t="n">
        <x:v>0.009969615850861386</x:v>
      </x:c>
      <x:c r="D111" s="30" t="n">
        <x:v>0.0963964947639737</x:v>
      </x:c>
      <x:c r="E111" s="30" t="n">
        <x:v>0.10342301216731932</x:v>
      </x:c>
      <x:c r="F111" s="30" t="n">
        <x:v>0.014642357715960992</x:v>
      </x:c>
      <x:c r="G111" s="30" t="n">
        <x:v>0.11433613339229906</x:v>
      </x:c>
      <x:c r="H111" s="30" t="n">
        <x:v>0.12806413232220784</x:v>
      </x:c>
      <x:c r="I111" s="30" t="n">
        <x:v>0.5484681064791562</x:v>
      </x:c>
      <x:c r="J111" s="30" t="n">
        <x:v>0.5323957810145655</x:v>
      </x:c>
      <x:c r="K111" s="19" t="n">
        <x:v>1991</x:v>
      </x:c>
      <x:c r="L111" s="74" t="n">
        <x:v>46211.237209722225</x:v>
      </x:c>
      <x:c r="M111" s="19" t="n">
        <x:v>8902245</x:v>
      </x:c>
      <x:c r="N111" t="str">
        <x:v>8f7e606554926462248cbcc654181861438ca768a0063f6b317223ede37d16fb</x:v>
      </x:c>
      <x:c r="O111" t="str">
        <x:v>legacy_common_sample_8902245</x:v>
      </x:c>
      <x:c r="P111" t="str">
        <x:v>factor_report/gtja191_batch/gtja_037/ic_summary.csv</x:v>
      </x:c>
    </x:row>
    <x:row r="112">
      <x:c r="A112" t="str">
        <x:v>gtja_037</x:v>
      </x:c>
      <x:c r="B112" s="50" t="n">
        <x:v>20</x:v>
      </x:c>
      <x:c r="C112" s="30" t="n">
        <x:v>0.012148422109670043</x:v>
      </x:c>
      <x:c r="D112" s="30" t="n">
        <x:v>0.09532203507531951</x:v>
      </x:c>
      <x:c r="E112" s="30" t="n">
        <x:v>0.12744610519562308</x:v>
      </x:c>
      <x:c r="F112" s="30" t="n">
        <x:v>0.0168715826501612</x:v>
      </x:c>
      <x:c r="G112" s="30" t="n">
        <x:v>0.11276766820437169</x:v>
      </x:c>
      <x:c r="H112" s="30" t="n">
        <x:v>0.1496136518455308</x:v>
      </x:c>
      <x:c r="I112" s="30" t="n">
        <x:v>0.5593134780413932</x:v>
      </x:c>
      <x:c r="J112" s="30" t="n">
        <x:v>0.5396264512872286</x:v>
      </x:c>
      <x:c r="K112" s="19" t="n">
        <x:v>1981</x:v>
      </x:c>
      <x:c r="L112" s="74" t="n">
        <x:v>46211.237209722225</x:v>
      </x:c>
      <x:c r="M112" s="19" t="n">
        <x:v>8902245</x:v>
      </x:c>
      <x:c r="N112" t="str">
        <x:v>8f7e606554926462248cbcc654181861438ca768a0063f6b317223ede37d16fb</x:v>
      </x:c>
      <x:c r="O112" t="str">
        <x:v>legacy_common_sample_8902245</x:v>
      </x:c>
      <x:c r="P112" t="str">
        <x:v>factor_report/gtja191_batch/gtja_037/ic_summary.csv</x:v>
      </x:c>
    </x:row>
    <x:row r="113">
      <x:c r="A113" t="str">
        <x:v>gtja_038</x:v>
      </x:c>
      <x:c r="B113" s="50" t="n">
        <x:v>10</x:v>
      </x:c>
      <x:c r="C113" s="30" t="n">
        <x:v>0.01734247186048436</x:v>
      </x:c>
      <x:c r="D113" s="30" t="n">
        <x:v>0.06026189879754654</x:v>
      </x:c>
      <x:c r="E113" s="30" t="n">
        <x:v>0.28778502182195476</x:v>
      </x:c>
      <x:c r="F113" s="30" t="n">
        <x:v>0.022366618714618012</x:v>
      </x:c>
      <x:c r="G113" s="30" t="n">
        <x:v>0.07811720635842967</x:v>
      </x:c>
      <x:c r="H113" s="30" t="n">
        <x:v>0.2863212825608736</x:v>
      </x:c>
      <x:c r="I113" s="30" t="n">
        <x:v>0.6212958312405826</x:v>
      </x:c>
      <x:c r="J113" s="30" t="n">
        <x:v>0.6248116524359618</x:v>
      </x:c>
      <x:c r="K113" s="19" t="n">
        <x:v>1991</x:v>
      </x:c>
      <x:c r="L113" s="74" t="n">
        <x:v>46211.24138539352</x:v>
      </x:c>
      <x:c r="M113" s="19" t="n">
        <x:v>8902245</x:v>
      </x:c>
      <x:c r="N113" t="str">
        <x:v>8f7e606554926462248cbcc654181861438ca768a0063f6b317223ede37d16fb</x:v>
      </x:c>
      <x:c r="O113" t="str">
        <x:v>legacy_common_sample_8902245</x:v>
      </x:c>
      <x:c r="P113" t="str">
        <x:v>factor_report/gtja191_batch/gtja_038/ic_summary.csv</x:v>
      </x:c>
    </x:row>
    <x:row r="114">
      <x:c r="A114" t="str">
        <x:v>gtja_038</x:v>
      </x:c>
      <x:c r="B114" s="50" t="n">
        <x:v>20</x:v>
      </x:c>
      <x:c r="C114" s="30" t="n">
        <x:v>0.019081759383054137</x:v>
      </x:c>
      <x:c r="D114" s="30" t="n">
        <x:v>0.06152597736977495</x:v>
      </x:c>
      <x:c r="E114" s="30" t="n">
        <x:v>0.31014150768173215</x:v>
      </x:c>
      <x:c r="F114" s="30" t="n">
        <x:v>0.024956186800785343</x:v>
      </x:c>
      <x:c r="G114" s="30" t="n">
        <x:v>0.07624253048381201</x:v>
      </x:c>
      <x:c r="H114" s="30" t="n">
        <x:v>0.327326318295326</x:v>
      </x:c>
      <x:c r="I114" s="30" t="n">
        <x:v>0.6375567895002524</x:v>
      </x:c>
      <x:c r="J114" s="30" t="n">
        <x:v>0.6476527006562343</x:v>
      </x:c>
      <x:c r="K114" s="19" t="n">
        <x:v>1981</x:v>
      </x:c>
      <x:c r="L114" s="74" t="n">
        <x:v>46211.24138539352</x:v>
      </x:c>
      <x:c r="M114" s="19" t="n">
        <x:v>8902245</x:v>
      </x:c>
      <x:c r="N114" t="str">
        <x:v>8f7e606554926462248cbcc654181861438ca768a0063f6b317223ede37d16fb</x:v>
      </x:c>
      <x:c r="O114" t="str">
        <x:v>legacy_common_sample_8902245</x:v>
      </x:c>
      <x:c r="P114" t="str">
        <x:v>factor_report/gtja191_batch/gtja_038/ic_summary.csv</x:v>
      </x:c>
    </x:row>
    <x:row r="115">
      <x:c r="A115" t="str">
        <x:v>gtja_039</x:v>
      </x:c>
      <x:c r="B115" s="50" t="n">
        <x:v>10</x:v>
      </x:c>
      <x:c r="C115" s="30" t="n">
        <x:v>0.004573957166691885</x:v>
      </x:c>
      <x:c r="D115" s="30" t="n">
        <x:v>0.08140453242673998</x:v>
      </x:c>
      <x:c r="E115" s="30" t="n">
        <x:v>0.0561879913849787</x:v>
      </x:c>
      <x:c r="F115" s="30" t="n">
        <x:v>0.012210149620699561</x:v>
      </x:c>
      <x:c r="G115" s="30" t="n">
        <x:v>0.09738862275595522</x:v>
      </x:c>
      <x:c r="H115" s="30" t="n">
        <x:v>0.125375524113292</x:v>
      </x:c>
      <x:c r="I115" s="30" t="n">
        <x:v>0.5524861878453039</x:v>
      </x:c>
      <x:c r="J115" s="30" t="n">
        <x:v>0.5226519337016574</x:v>
      </x:c>
      <x:c r="K115" s="19" t="n">
        <x:v>1810</x:v>
      </x:c>
      <x:c r="L115" s="74" t="n">
        <x:v>46211.24500390046</x:v>
      </x:c>
      <x:c r="M115" s="19" t="n">
        <x:v>8902245</x:v>
      </x:c>
      <x:c r="N115" t="str">
        <x:v>8f7e606554926462248cbcc654181861438ca768a0063f6b317223ede37d16fb</x:v>
      </x:c>
      <x:c r="O115" t="str">
        <x:v>legacy_common_sample_8902245</x:v>
      </x:c>
      <x:c r="P115" t="str">
        <x:v>factor_report/gtja191_batch/gtja_039/ic_summary.csv</x:v>
      </x:c>
    </x:row>
    <x:row r="116">
      <x:c r="A116" t="str">
        <x:v>gtja_039</x:v>
      </x:c>
      <x:c r="B116" s="50" t="n">
        <x:v>20</x:v>
      </x:c>
      <x:c r="C116" s="30" t="n">
        <x:v>0.005345582597590549</x:v>
      </x:c>
      <x:c r="D116" s="30" t="n">
        <x:v>0.07981223700625466</x:v>
      </x:c>
      <x:c r="E116" s="30" t="n">
        <x:v>0.0669769799482206</x:v>
      </x:c>
      <x:c r="F116" s="30" t="n">
        <x:v>0.013172002972081018</x:v>
      </x:c>
      <x:c r="G116" s="30" t="n">
        <x:v>0.09479783289928263</x:v>
      </x:c>
      <x:c r="H116" s="30" t="n">
        <x:v>0.13894835534980562</x:v>
      </x:c>
      <x:c r="I116" s="30" t="n">
        <x:v>0.545</x:v>
      </x:c>
      <x:c r="J116" s="30" t="n">
        <x:v>0.515</x:v>
      </x:c>
      <x:c r="K116" s="19" t="n">
        <x:v>1800</x:v>
      </x:c>
      <x:c r="L116" s="74" t="n">
        <x:v>46211.24500390046</x:v>
      </x:c>
      <x:c r="M116" s="19" t="n">
        <x:v>8902245</x:v>
      </x:c>
      <x:c r="N116" t="str">
        <x:v>8f7e606554926462248cbcc654181861438ca768a0063f6b317223ede37d16fb</x:v>
      </x:c>
      <x:c r="O116" t="str">
        <x:v>legacy_common_sample_8902245</x:v>
      </x:c>
      <x:c r="P116" t="str">
        <x:v>factor_report/gtja191_batch/gtja_039/ic_summary.csv</x:v>
      </x:c>
    </x:row>
    <x:row r="117">
      <x:c r="A117" t="str">
        <x:v>gtja_040</x:v>
      </x:c>
      <x:c r="B117" s="50" t="n">
        <x:v>1</x:v>
      </x:c>
      <x:c r="C117" s="30" t="n">
        <x:v>-0.010494424652590978</x:v>
      </x:c>
      <x:c r="D117" s="30" t="n">
        <x:v>0.10215432041120234</x:v>
      </x:c>
      <x:c r="E117" s="30" t="n">
        <x:v>-0.10273108969202392</x:v>
      </x:c>
      <x:c r="F117" s="30" t="n">
        <x:v>-0.02654794058961285</x:v>
      </x:c>
      <x:c r="G117" s="30" t="n">
        <x:v>0.11509597492556027</x:v>
      </x:c>
      <x:c r="H117" s="30" t="n">
        <x:v>-0.23065915734049827</x:v>
      </x:c>
      <x:c r="I117" s="30" t="n">
        <x:v>0.4045</x:v>
      </x:c>
      <x:c r="J117" s="30" t="n">
        <x:v>0.46</x:v>
      </x:c>
      <x:c r="K117" s="19" t="n">
        <x:v>2000</x:v>
      </x:c>
      <x:c r="L117" s="74" t="n">
        <x:v>46210.279919872686</x:v>
      </x:c>
      <x:c r="M117" s="19" t="n">
        <x:v>8902245</x:v>
      </x:c>
      <x:c r="N117" t="str">
        <x:v>40355b29bce094aef0e99358bdfd4011b92e72a54440a67760de4afae4883c33</x:v>
      </x:c>
      <x:c r="O117" t="str">
        <x:v>legacy_common_sample_8902245</x:v>
      </x:c>
      <x:c r="P117" t="str">
        <x:v>factor_report/gtja191_batch/gtja_040/ic_summary.csv</x:v>
      </x:c>
    </x:row>
    <x:row r="118">
      <x:c r="A118" t="str">
        <x:v>gtja_040</x:v>
      </x:c>
      <x:c r="B118" s="50" t="n">
        <x:v>5</x:v>
      </x:c>
      <x:c r="C118" s="30" t="n">
        <x:v>-0.020198525613578315</x:v>
      </x:c>
      <x:c r="D118" s="30" t="n">
        <x:v>0.094462744613697</x:v>
      </x:c>
      <x:c r="E118" s="30" t="n">
        <x:v>-0.21382530960940924</x:v>
      </x:c>
      <x:c r="F118" s="30" t="n">
        <x:v>-0.03642274414130226</x:v>
      </x:c>
      <x:c r="G118" s="30" t="n">
        <x:v>0.10560166620648556</x:v>
      </x:c>
      <x:c r="H118" s="30" t="n">
        <x:v>-0.3449069077194669</x:v>
      </x:c>
      <x:c r="I118" s="30" t="n">
        <x:v>0.3717434869739479</x:v>
      </x:c>
      <x:c r="J118" s="30" t="n">
        <x:v>0.4213426853707415</x:v>
      </x:c>
      <x:c r="K118" s="19" t="n">
        <x:v>1996</x:v>
      </x:c>
      <x:c r="L118" s="74" t="n">
        <x:v>46210.279919872686</x:v>
      </x:c>
      <x:c r="M118" s="19" t="n">
        <x:v>8902245</x:v>
      </x:c>
      <x:c r="N118" t="str">
        <x:v>40355b29bce094aef0e99358bdfd4011b92e72a54440a67760de4afae4883c33</x:v>
      </x:c>
      <x:c r="O118" t="str">
        <x:v>legacy_common_sample_8902245</x:v>
      </x:c>
      <x:c r="P118" t="str">
        <x:v>factor_report/gtja191_batch/gtja_040/ic_summary.csv</x:v>
      </x:c>
    </x:row>
    <x:row r="119">
      <x:c r="A119" t="str">
        <x:v>gtja_040</x:v>
      </x:c>
      <x:c r="B119" s="50" t="n">
        <x:v>10</x:v>
      </x:c>
      <x:c r="C119" s="30" t="n">
        <x:v>-0.024001199448682814</x:v>
      </x:c>
      <x:c r="D119" s="30" t="n">
        <x:v>0.09168428556836217</x:v>
      </x:c>
      <x:c r="E119" s="30" t="n">
        <x:v>-0.26178095079103714</x:v>
      </x:c>
      <x:c r="F119" s="30" t="n">
        <x:v>-0.04229069341419118</x:v>
      </x:c>
      <x:c r="G119" s="30" t="n">
        <x:v>0.10258293408074737</x:v>
      </x:c>
      <x:c r="H119" s="30" t="n">
        <x:v>-0.41225856711119596</x:v>
      </x:c>
      <x:c r="I119" s="30" t="n">
        <x:v>0.34555499748869917</x:v>
      </x:c>
      <x:c r="J119" s="30" t="n">
        <x:v>0.3962832747363134</x:v>
      </x:c>
      <x:c r="K119" s="19" t="n">
        <x:v>1991</x:v>
      </x:c>
      <x:c r="L119" s="74" t="n">
        <x:v>46210.279919872686</x:v>
      </x:c>
      <x:c r="M119" s="19" t="n">
        <x:v>8902245</x:v>
      </x:c>
      <x:c r="N119" t="str">
        <x:v>40355b29bce094aef0e99358bdfd4011b92e72a54440a67760de4afae4883c33</x:v>
      </x:c>
      <x:c r="O119" t="str">
        <x:v>legacy_common_sample_8902245</x:v>
      </x:c>
      <x:c r="P119" t="str">
        <x:v>factor_report/gtja191_batch/gtja_040/ic_summary.csv</x:v>
      </x:c>
    </x:row>
    <x:row r="120">
      <x:c r="A120" t="str">
        <x:v>gtja_040</x:v>
      </x:c>
      <x:c r="B120" s="50" t="n">
        <x:v>20</x:v>
      </x:c>
      <x:c r="C120" s="30" t="n">
        <x:v>-0.02946455039592815</x:v>
      </x:c>
      <x:c r="D120" s="30" t="n">
        <x:v>0.09337759903882475</x:v>
      </x:c>
      <x:c r="E120" s="30" t="n">
        <x:v>-0.31554195759174863</x:v>
      </x:c>
      <x:c r="F120" s="30" t="n">
        <x:v>-0.05245285807447165</x:v>
      </x:c>
      <x:c r="G120" s="30" t="n">
        <x:v>0.10780712886785893</x:v>
      </x:c>
      <x:c r="H120" s="30" t="n">
        <x:v>-0.48654350250588746</x:v>
      </x:c>
      <x:c r="I120" s="30" t="n">
        <x:v>0.3392226148409894</x:v>
      </x:c>
      <x:c r="J120" s="30" t="n">
        <x:v>0.38768298838970217</x:v>
      </x:c>
      <x:c r="K120" s="19" t="n">
        <x:v>1981</x:v>
      </x:c>
      <x:c r="L120" s="74" t="n">
        <x:v>46210.279919872686</x:v>
      </x:c>
      <x:c r="M120" s="19" t="n">
        <x:v>8902245</x:v>
      </x:c>
      <x:c r="N120" t="str">
        <x:v>40355b29bce094aef0e99358bdfd4011b92e72a54440a67760de4afae4883c33</x:v>
      </x:c>
      <x:c r="O120" t="str">
        <x:v>legacy_common_sample_8902245</x:v>
      </x:c>
      <x:c r="P120" t="str">
        <x:v>factor_report/gtja191_batch/gtja_040/ic_summary.csv</x:v>
      </x:c>
    </x:row>
    <x:row r="121">
      <x:c r="A121" t="str">
        <x:v>gtja_041</x:v>
      </x:c>
      <x:c r="B121" s="50" t="n">
        <x:v>10</x:v>
      </x:c>
      <x:c r="C121" s="30" t="n">
        <x:v>0.031138918476144552</x:v>
      </x:c>
      <x:c r="D121" s="30" t="n">
        <x:v>0.12068526242914376</x:v>
      </x:c>
      <x:c r="E121" s="30" t="n">
        <x:v>0.2580175727291201</x:v>
      </x:c>
      <x:c r="F121" s="30" t="n">
        <x:v>0.06323420874741587</x:v>
      </x:c>
      <x:c r="G121" s="30" t="n">
        <x:v>0.13706596470219592</x:v>
      </x:c>
      <x:c r="H121" s="30" t="n">
        <x:v>0.4613414342853474</x:v>
      </x:c>
      <x:c r="I121" s="30" t="n">
        <x:v>0.676544450025113</x:v>
      </x:c>
      <x:c r="J121" s="30" t="n">
        <x:v>0.6082370668006027</x:v>
      </x:c>
      <x:c r="K121" s="19" t="n">
        <x:v>1991</x:v>
      </x:c>
      <x:c r="L121" s="74" t="n">
        <x:v>46211.24883207176</x:v>
      </x:c>
      <x:c r="M121" s="19" t="n">
        <x:v>8902245</x:v>
      </x:c>
      <x:c r="N121" t="str">
        <x:v>8f7e606554926462248cbcc654181861438ca768a0063f6b317223ede37d16fb</x:v>
      </x:c>
      <x:c r="O121" t="str">
        <x:v>legacy_common_sample_8902245</x:v>
      </x:c>
      <x:c r="P121" t="str">
        <x:v>factor_report/gtja191_batch/gtja_041/ic_summary.csv</x:v>
      </x:c>
    </x:row>
    <x:row r="122">
      <x:c r="A122" t="str">
        <x:v>gtja_041</x:v>
      </x:c>
      <x:c r="B122" s="50" t="n">
        <x:v>20</x:v>
      </x:c>
      <x:c r="C122" s="30" t="n">
        <x:v>0.040161665025499886</x:v>
      </x:c>
      <x:c r="D122" s="30" t="n">
        <x:v>0.12870766117068508</x:v>
      </x:c>
      <x:c r="E122" s="30" t="n">
        <x:v>0.3120378745150196</x:v>
      </x:c>
      <x:c r="F122" s="30" t="n">
        <x:v>0.07454857927237946</x:v>
      </x:c>
      <x:c r="G122" s="30" t="n">
        <x:v>0.14327787214005627</x:v>
      </x:c>
      <x:c r="H122" s="30" t="n">
        <x:v>0.5203076941253504</x:v>
      </x:c>
      <x:c r="I122" s="30" t="n">
        <x:v>0.6956082786471479</x:v>
      </x:c>
      <x:c r="J122" s="30" t="n">
        <x:v>0.6208985360928824</x:v>
      </x:c>
      <x:c r="K122" s="19" t="n">
        <x:v>1981</x:v>
      </x:c>
      <x:c r="L122" s="74" t="n">
        <x:v>46211.24883207176</x:v>
      </x:c>
      <x:c r="M122" s="19" t="n">
        <x:v>8902245</x:v>
      </x:c>
      <x:c r="N122" t="str">
        <x:v>8f7e606554926462248cbcc654181861438ca768a0063f6b317223ede37d16fb</x:v>
      </x:c>
      <x:c r="O122" t="str">
        <x:v>legacy_common_sample_8902245</x:v>
      </x:c>
      <x:c r="P122" t="str">
        <x:v>factor_report/gtja191_batch/gtja_041/ic_summary.csv</x:v>
      </x:c>
    </x:row>
    <x:row r="123">
      <x:c r="A123" t="str">
        <x:v>gtja_042</x:v>
      </x:c>
      <x:c r="B123" s="50" t="n">
        <x:v>10</x:v>
      </x:c>
      <x:c r="C123" s="30" t="n">
        <x:v>0.04060270690263696</x:v>
      </x:c>
      <x:c r="D123" s="30" t="n">
        <x:v>0.10209871543604958</x:v>
      </x:c>
      <x:c r="E123" s="30" t="n">
        <x:v>0.3976808790319093</x:v>
      </x:c>
      <x:c r="F123" s="30" t="n">
        <x:v>0.07709133095133304</x:v>
      </x:c>
      <x:c r="G123" s="30" t="n">
        <x:v>0.12015691389450874</x:v>
      </x:c>
      <x:c r="H123" s="30" t="n">
        <x:v>0.6415888062755595</x:v>
      </x:c>
      <x:c r="I123" s="30" t="n">
        <x:v>0.7363134103465595</x:v>
      </x:c>
      <x:c r="J123" s="30" t="n">
        <x:v>0.6514314414866901</x:v>
      </x:c>
      <x:c r="K123" s="19" t="n">
        <x:v>1991</x:v>
      </x:c>
      <x:c r="L123" s="74" t="n">
        <x:v>46211.25270762732</x:v>
      </x:c>
      <x:c r="M123" s="19" t="n">
        <x:v>8902245</x:v>
      </x:c>
      <x:c r="N123" t="str">
        <x:v>8f7e606554926462248cbcc654181861438ca768a0063f6b317223ede37d16fb</x:v>
      </x:c>
      <x:c r="O123" t="str">
        <x:v>legacy_common_sample_8902245</x:v>
      </x:c>
      <x:c r="P123" t="str">
        <x:v>factor_report/gtja191_batch/gtja_042/ic_summary.csv</x:v>
      </x:c>
    </x:row>
    <x:row r="124">
      <x:c r="A124" t="str">
        <x:v>gtja_042</x:v>
      </x:c>
      <x:c r="B124" s="50" t="n">
        <x:v>20</x:v>
      </x:c>
      <x:c r="C124" s="30" t="n">
        <x:v>0.049373657319128746</x:v>
      </x:c>
      <x:c r="D124" s="30" t="n">
        <x:v>0.10572983222544478</x:v>
      </x:c>
      <x:c r="E124" s="30" t="n">
        <x:v>0.46697943503637335</x:v>
      </x:c>
      <x:c r="F124" s="30" t="n">
        <x:v>0.08864795979424941</x:v>
      </x:c>
      <x:c r="G124" s="30" t="n">
        <x:v>0.124498312567154</x:v>
      </x:c>
      <x:c r="H124" s="30" t="n">
        <x:v>0.7120414563565508</x:v>
      </x:c>
      <x:c r="I124" s="30" t="n">
        <x:v>0.7491166077738516</x:v>
      </x:c>
      <x:c r="J124" s="30" t="n">
        <x:v>0.679959616355376</x:v>
      </x:c>
      <x:c r="K124" s="19" t="n">
        <x:v>1981</x:v>
      </x:c>
      <x:c r="L124" s="74" t="n">
        <x:v>46211.25270762732</x:v>
      </x:c>
      <x:c r="M124" s="19" t="n">
        <x:v>8902245</x:v>
      </x:c>
      <x:c r="N124" t="str">
        <x:v>8f7e606554926462248cbcc654181861438ca768a0063f6b317223ede37d16fb</x:v>
      </x:c>
      <x:c r="O124" t="str">
        <x:v>legacy_common_sample_8902245</x:v>
      </x:c>
      <x:c r="P124" t="str">
        <x:v>factor_report/gtja191_batch/gtja_042/ic_summary.csv</x:v>
      </x:c>
    </x:row>
    <x:row r="125">
      <x:c r="A125" t="str">
        <x:v>gtja_043</x:v>
      </x:c>
      <x:c r="B125" s="50" t="n">
        <x:v>1</x:v>
      </x:c>
      <x:c r="C125" s="30" t="n">
        <x:v>-0.007031632168815888</x:v>
      </x:c>
      <x:c r="D125" s="30" t="n">
        <x:v>0.06603311387537263</x:v>
      </x:c>
      <x:c r="E125" s="30" t="n">
        <x:v>-0.10648645438843025</x:v>
      </x:c>
      <x:c r="F125" s="30" t="n">
        <x:v>-0.02166618342519954</x:v>
      </x:c>
      <x:c r="G125" s="30" t="n">
        <x:v>0.10211711171542187</x:v>
      </x:c>
      <x:c r="H125" s="30" t="n">
        <x:v>-0.21216995918939102</x:v>
      </x:c>
      <x:c r="I125" s="30" t="n">
        <x:v>0.3975</x:v>
      </x:c>
      <x:c r="J125" s="30" t="n">
        <x:v>0.445</x:v>
      </x:c>
      <x:c r="K125" s="19" t="n">
        <x:v>2000</x:v>
      </x:c>
      <x:c r="L125" s="74" t="n">
        <x:v>46210.29250166666</x:v>
      </x:c>
      <x:c r="M125" s="19" t="n">
        <x:v>8902245</x:v>
      </x:c>
      <x:c r="N125" t="str">
        <x:v>40355b29bce094aef0e99358bdfd4011b92e72a54440a67760de4afae4883c33</x:v>
      </x:c>
      <x:c r="O125" t="str">
        <x:v>legacy_common_sample_8902245</x:v>
      </x:c>
      <x:c r="P125" t="str">
        <x:v>factor_report/gtja191_batch/gtja_043/ic_summary.csv</x:v>
      </x:c>
    </x:row>
    <x:row r="126">
      <x:c r="A126" t="str">
        <x:v>gtja_043</x:v>
      </x:c>
      <x:c r="B126" s="50" t="n">
        <x:v>5</x:v>
      </x:c>
      <x:c r="C126" s="30" t="n">
        <x:v>-0.012012497847316988</x:v>
      </x:c>
      <x:c r="D126" s="30" t="n">
        <x:v>0.05955603505424657</x:v>
      </x:c>
      <x:c r="E126" s="30" t="n">
        <x:v>-0.20170076527719505</x:v>
      </x:c>
      <x:c r="F126" s="30" t="n">
        <x:v>-0.024491701496502382</x:v>
      </x:c>
      <x:c r="G126" s="30" t="n">
        <x:v>0.09367134727069783</x:v>
      </x:c>
      <x:c r="H126" s="30" t="n">
        <x:v>-0.2614641745861154</x:v>
      </x:c>
      <x:c r="I126" s="30" t="n">
        <x:v>0.39028056112224446</x:v>
      </x:c>
      <x:c r="J126" s="30" t="n">
        <x:v>0.39478957915831664</x:v>
      </x:c>
      <x:c r="K126" s="19" t="n">
        <x:v>1996</x:v>
      </x:c>
      <x:c r="L126" s="74" t="n">
        <x:v>46210.29250166666</x:v>
      </x:c>
      <x:c r="M126" s="19" t="n">
        <x:v>8902245</x:v>
      </x:c>
      <x:c r="N126" t="str">
        <x:v>40355b29bce094aef0e99358bdfd4011b92e72a54440a67760de4afae4883c33</x:v>
      </x:c>
      <x:c r="O126" t="str">
        <x:v>legacy_common_sample_8902245</x:v>
      </x:c>
      <x:c r="P126" t="str">
        <x:v>factor_report/gtja191_batch/gtja_043/ic_summary.csv</x:v>
      </x:c>
    </x:row>
    <x:row r="127">
      <x:c r="A127" t="str">
        <x:v>gtja_043</x:v>
      </x:c>
      <x:c r="B127" s="50" t="n">
        <x:v>10</x:v>
      </x:c>
      <x:c r="C127" s="30" t="n">
        <x:v>-0.01390558776035445</x:v>
      </x:c>
      <x:c r="D127" s="30" t="n">
        <x:v>0.055888714841976585</x:v>
      </x:c>
      <x:c r="E127" s="30" t="n">
        <x:v>-0.24880850811603059</x:v>
      </x:c>
      <x:c r="F127" s="30" t="n">
        <x:v>-0.02657135519980472</x:v>
      </x:c>
      <x:c r="G127" s="30" t="n">
        <x:v>0.08854096997230874</x:v>
      </x:c>
      <x:c r="H127" s="30" t="n">
        <x:v>-0.3001023730383226</x:v>
      </x:c>
      <x:c r="I127" s="30" t="n">
        <x:v>0.3807132094424912</x:v>
      </x:c>
      <x:c r="J127" s="30" t="n">
        <x:v>0.39276745354093423</x:v>
      </x:c>
      <x:c r="K127" s="19" t="n">
        <x:v>1991</x:v>
      </x:c>
      <x:c r="L127" s="74" t="n">
        <x:v>46210.29250166666</x:v>
      </x:c>
      <x:c r="M127" s="19" t="n">
        <x:v>8902245</x:v>
      </x:c>
      <x:c r="N127" t="str">
        <x:v>40355b29bce094aef0e99358bdfd4011b92e72a54440a67760de4afae4883c33</x:v>
      </x:c>
      <x:c r="O127" t="str">
        <x:v>legacy_common_sample_8902245</x:v>
      </x:c>
      <x:c r="P127" t="str">
        <x:v>factor_report/gtja191_batch/gtja_043/ic_summary.csv</x:v>
      </x:c>
    </x:row>
    <x:row r="128">
      <x:c r="A128" t="str">
        <x:v>gtja_043</x:v>
      </x:c>
      <x:c r="B128" s="50" t="n">
        <x:v>20</x:v>
      </x:c>
      <x:c r="C128" s="30" t="n">
        <x:v>-0.01651515444735533</x:v>
      </x:c>
      <x:c r="D128" s="30" t="n">
        <x:v>0.05478613984882685</x:v>
      </x:c>
      <x:c r="E128" s="30" t="n">
        <x:v>-0.3014476744104645</x:v>
      </x:c>
      <x:c r="F128" s="30" t="n">
        <x:v>-0.030147416050492905</x:v>
      </x:c>
      <x:c r="G128" s="30" t="n">
        <x:v>0.08908464092320842</x:v>
      </x:c>
      <x:c r="H128" s="30" t="n">
        <x:v>-0.3384131735624347</x:v>
      </x:c>
      <x:c r="I128" s="30" t="n">
        <x:v>0.3558808682483594</x:v>
      </x:c>
      <x:c r="J128" s="30" t="n">
        <x:v>0.39374053508329127</x:v>
      </x:c>
      <x:c r="K128" s="19" t="n">
        <x:v>1981</x:v>
      </x:c>
      <x:c r="L128" s="74" t="n">
        <x:v>46210.29250166666</x:v>
      </x:c>
      <x:c r="M128" s="19" t="n">
        <x:v>8902245</x:v>
      </x:c>
      <x:c r="N128" t="str">
        <x:v>40355b29bce094aef0e99358bdfd4011b92e72a54440a67760de4afae4883c33</x:v>
      </x:c>
      <x:c r="O128" t="str">
        <x:v>legacy_common_sample_8902245</x:v>
      </x:c>
      <x:c r="P128" t="str">
        <x:v>factor_report/gtja191_batch/gtja_043/ic_summary.csv</x:v>
      </x:c>
    </x:row>
    <x:row r="129">
      <x:c r="A129" t="str">
        <x:v>gtja_044</x:v>
      </x:c>
      <x:c r="B129" s="50" t="n">
        <x:v>10</x:v>
      </x:c>
      <x:c r="C129" s="30" t="n">
        <x:v>-0.010949035796900458</x:v>
      </x:c>
      <x:c r="D129" s="30" t="n">
        <x:v>0.06607327105157113</x:v>
      </x:c>
      <x:c r="E129" s="30" t="n">
        <x:v>-0.16571051535127693</x:v>
      </x:c>
      <x:c r="F129" s="30" t="n">
        <x:v>-0.015621451984378426</x:v>
      </x:c>
      <x:c r="G129" s="30" t="n">
        <x:v>0.0787371537606166</x:v>
      </x:c>
      <x:c r="H129" s="30" t="n">
        <x:v>-0.19840000861438417</x:v>
      </x:c>
      <x:c r="I129" s="30" t="n">
        <x:v>0.42340532395781016</x:v>
      </x:c>
      <x:c r="J129" s="30" t="n">
        <x:v>0.4324460070316424</x:v>
      </x:c>
      <x:c r="K129" s="19" t="n">
        <x:v>1991</x:v>
      </x:c>
      <x:c r="L129" s="74" t="n">
        <x:v>46211.262911157406</x:v>
      </x:c>
      <x:c r="M129" s="19" t="n">
        <x:v>8902245</x:v>
      </x:c>
      <x:c r="N129" t="str">
        <x:v>8f7e606554926462248cbcc654181861438ca768a0063f6b317223ede37d16fb</x:v>
      </x:c>
      <x:c r="O129" t="str">
        <x:v>legacy_common_sample_8902245</x:v>
      </x:c>
      <x:c r="P129" t="str">
        <x:v>factor_report/gtja191_batch/gtja_044/ic_summary.csv</x:v>
      </x:c>
    </x:row>
    <x:row r="130">
      <x:c r="A130" t="str">
        <x:v>gtja_044</x:v>
      </x:c>
      <x:c r="B130" s="50" t="n">
        <x:v>20</x:v>
      </x:c>
      <x:c r="C130" s="30" t="n">
        <x:v>-0.011231177464904978</x:v>
      </x:c>
      <x:c r="D130" s="30" t="n">
        <x:v>0.06538862610853054</x:v>
      </x:c>
      <x:c r="E130" s="30" t="n">
        <x:v>-0.1717604135964522</x:v>
      </x:c>
      <x:c r="F130" s="30" t="n">
        <x:v>-0.015000810899272576</x:v>
      </x:c>
      <x:c r="G130" s="30" t="n">
        <x:v>0.07836058647670587</x:v>
      </x:c>
      <x:c r="H130" s="30" t="n">
        <x:v>-0.1914331116412949</x:v>
      </x:c>
      <x:c r="I130" s="30" t="n">
        <x:v>0.41898031297324584</x:v>
      </x:c>
      <x:c r="J130" s="30" t="n">
        <x:v>0.42806663301362946</x:v>
      </x:c>
      <x:c r="K130" s="19" t="n">
        <x:v>1981</x:v>
      </x:c>
      <x:c r="L130" s="74" t="n">
        <x:v>46211.262911157406</x:v>
      </x:c>
      <x:c r="M130" s="19" t="n">
        <x:v>8902245</x:v>
      </x:c>
      <x:c r="N130" t="str">
        <x:v>8f7e606554926462248cbcc654181861438ca768a0063f6b317223ede37d16fb</x:v>
      </x:c>
      <x:c r="O130" t="str">
        <x:v>legacy_common_sample_8902245</x:v>
      </x:c>
      <x:c r="P130" t="str">
        <x:v>factor_report/gtja191_batch/gtja_044/ic_summary.csv</x:v>
      </x:c>
    </x:row>
    <x:row r="131">
      <x:c r="A131" t="str">
        <x:v>gtja_045</x:v>
      </x:c>
      <x:c r="B131" s="50" t="n">
        <x:v>10</x:v>
      </x:c>
      <x:c r="C131" s="30" t="n">
        <x:v>-0.019829653872596262</x:v>
      </x:c>
      <x:c r="D131" s="30" t="n">
        <x:v>0.08255618101650795</x:v>
      </x:c>
      <x:c r="E131" s="30" t="n">
        <x:v>-0.24019587181038715</x:v>
      </x:c>
      <x:c r="F131" s="30" t="n">
        <x:v>-0.015929620972991176</x:v>
      </x:c>
      <x:c r="G131" s="30" t="n">
        <x:v>0.09703041636299428</x:v>
      </x:c>
      <x:c r="H131" s="30" t="n">
        <x:v>-0.16417141727391843</x:v>
      </x:c>
      <x:c r="I131" s="30" t="n">
        <x:v>0.4369034994697773</x:v>
      </x:c>
      <x:c r="J131" s="30" t="n">
        <x:v>0.4093319194061506</x:v>
      </x:c>
      <x:c r="K131" s="19" t="n">
        <x:v>1886</x:v>
      </x:c>
      <x:c r="L131" s="74" t="n">
        <x:v>46211.26636591435</x:v>
      </x:c>
      <x:c r="M131" s="19" t="n">
        <x:v>8902245</x:v>
      </x:c>
      <x:c r="N131" t="str">
        <x:v>8f7e606554926462248cbcc654181861438ca768a0063f6b317223ede37d16fb</x:v>
      </x:c>
      <x:c r="O131" t="str">
        <x:v>legacy_common_sample_8902245</x:v>
      </x:c>
      <x:c r="P131" t="str">
        <x:v>factor_report/gtja191_batch/gtja_045/ic_summary.csv</x:v>
      </x:c>
    </x:row>
    <x:row r="132">
      <x:c r="A132" t="str">
        <x:v>gtja_045</x:v>
      </x:c>
      <x:c r="B132" s="50" t="n">
        <x:v>20</x:v>
      </x:c>
      <x:c r="C132" s="30" t="n">
        <x:v>-0.021087466652125558</x:v>
      </x:c>
      <x:c r="D132" s="30" t="n">
        <x:v>0.07952031497892437</x:v>
      </x:c>
      <x:c r="E132" s="30" t="n">
        <x:v>-0.2651833893982244</x:v>
      </x:c>
      <x:c r="F132" s="30" t="n">
        <x:v>-0.017380649409067202</x:v>
      </x:c>
      <x:c r="G132" s="30" t="n">
        <x:v>0.09407688648154605</x:v>
      </x:c>
      <x:c r="H132" s="30" t="n">
        <x:v>-0.1847494114558793</x:v>
      </x:c>
      <x:c r="I132" s="30" t="n">
        <x:v>0.4349680170575693</x:v>
      </x:c>
      <x:c r="J132" s="30" t="n">
        <x:v>0.3843283582089552</x:v>
      </x:c>
      <x:c r="K132" s="19" t="n">
        <x:v>1876</x:v>
      </x:c>
      <x:c r="L132" s="74" t="n">
        <x:v>46211.26636591435</x:v>
      </x:c>
      <x:c r="M132" s="19" t="n">
        <x:v>8902245</x:v>
      </x:c>
      <x:c r="N132" t="str">
        <x:v>8f7e606554926462248cbcc654181861438ca768a0063f6b317223ede37d16fb</x:v>
      </x:c>
      <x:c r="O132" t="str">
        <x:v>legacy_common_sample_8902245</x:v>
      </x:c>
      <x:c r="P132" t="str">
        <x:v>factor_report/gtja191_batch/gtja_045/ic_summary.csv</x:v>
      </x:c>
    </x:row>
    <x:row r="133">
      <x:c r="A133" t="str">
        <x:v>gtja_046</x:v>
      </x:c>
      <x:c r="B133" s="50" t="n">
        <x:v>10</x:v>
      </x:c>
      <x:c r="C133" s="30" t="n">
        <x:v>0.03662436844716769</x:v>
      </x:c>
      <x:c r="D133" s="30" t="n">
        <x:v>0.11665775228582494</x:v>
      </x:c>
      <x:c r="E133" s="30" t="n">
        <x:v>0.3139471464993922</x:v>
      </x:c>
      <x:c r="F133" s="30" t="n">
        <x:v>0.04280589597514839</x:v>
      </x:c>
      <x:c r="G133" s="30" t="n">
        <x:v>0.13582111413615888</x:v>
      </x:c>
      <x:c r="H133" s="30" t="n">
        <x:v>0.3151637817683931</x:v>
      </x:c>
      <x:c r="I133" s="30" t="n">
        <x:v>0.6122551481667504</x:v>
      </x:c>
      <x:c r="J133" s="30" t="n">
        <x:v>0.623807132094425</x:v>
      </x:c>
      <x:c r="K133" s="19" t="n">
        <x:v>1991</x:v>
      </x:c>
      <x:c r="L133" s="74" t="n">
        <x:v>46211.26878402778</x:v>
      </x:c>
      <x:c r="M133" s="19" t="n">
        <x:v>8902245</x:v>
      </x:c>
      <x:c r="N133" t="str">
        <x:v>8f7e606554926462248cbcc654181861438ca768a0063f6b317223ede37d16fb</x:v>
      </x:c>
      <x:c r="O133" t="str">
        <x:v>legacy_common_sample_8902245</x:v>
      </x:c>
      <x:c r="P133" t="str">
        <x:v>factor_report/gtja191_batch/gtja_046/ic_summary.csv</x:v>
      </x:c>
    </x:row>
    <x:row r="134">
      <x:c r="A134" t="str">
        <x:v>gtja_046</x:v>
      </x:c>
      <x:c r="B134" s="50" t="n">
        <x:v>20</x:v>
      </x:c>
      <x:c r="C134" s="30" t="n">
        <x:v>0.04034314725965842</x:v>
      </x:c>
      <x:c r="D134" s="30" t="n">
        <x:v>0.11295493490338435</x:v>
      </x:c>
      <x:c r="E134" s="30" t="n">
        <x:v>0.35716144048213394</x:v>
      </x:c>
      <x:c r="F134" s="30" t="n">
        <x:v>0.04895945324656493</x:v>
      </x:c>
      <x:c r="G134" s="30" t="n">
        <x:v>0.13112112927469824</x:v>
      </x:c>
      <x:c r="H134" s="30" t="n">
        <x:v>0.37339102795549506</x:v>
      </x:c>
      <x:c r="I134" s="30" t="n">
        <x:v>0.6304896516910651</x:v>
      </x:c>
      <x:c r="J134" s="30" t="n">
        <x:v>0.6476527006562343</x:v>
      </x:c>
      <x:c r="K134" s="19" t="n">
        <x:v>1981</x:v>
      </x:c>
      <x:c r="L134" s="74" t="n">
        <x:v>46211.26878402778</x:v>
      </x:c>
      <x:c r="M134" s="19" t="n">
        <x:v>8902245</x:v>
      </x:c>
      <x:c r="N134" t="str">
        <x:v>8f7e606554926462248cbcc654181861438ca768a0063f6b317223ede37d16fb</x:v>
      </x:c>
      <x:c r="O134" t="str">
        <x:v>legacy_common_sample_8902245</x:v>
      </x:c>
      <x:c r="P134" t="str">
        <x:v>factor_report/gtja191_batch/gtja_046/ic_summary.csv</x:v>
      </x:c>
    </x:row>
    <x:row r="135">
      <x:c r="A135" t="str">
        <x:v>gtja_047</x:v>
      </x:c>
      <x:c r="B135" s="50" t="n">
        <x:v>10</x:v>
      </x:c>
      <x:c r="C135" s="30" t="n">
        <x:v>0.009425735143902462</x:v>
      </x:c>
      <x:c r="D135" s="30" t="n">
        <x:v>0.10996686585671271</x:v>
      </x:c>
      <x:c r="E135" s="30" t="n">
        <x:v>0.08571432013152248</x:v>
      </x:c>
      <x:c r="F135" s="30" t="n">
        <x:v>0.01954156887494311</x:v>
      </x:c>
      <x:c r="G135" s="30" t="n">
        <x:v>0.12771917807536412</x:v>
      </x:c>
      <x:c r="H135" s="30" t="n">
        <x:v>0.1530041859759862</x:v>
      </x:c>
      <x:c r="I135" s="30" t="n">
        <x:v>0.532898041185334</x:v>
      </x:c>
      <x:c r="J135" s="30" t="n">
        <x:v>0.508789552988448</x:v>
      </x:c>
      <x:c r="K135" s="19" t="n">
        <x:v>1991</x:v>
      </x:c>
      <x:c r="L135" s="74" t="n">
        <x:v>46211.27178611111</x:v>
      </x:c>
      <x:c r="M135" s="19" t="n">
        <x:v>8902245</x:v>
      </x:c>
      <x:c r="N135" t="str">
        <x:v>8f7e606554926462248cbcc654181861438ca768a0063f6b317223ede37d16fb</x:v>
      </x:c>
      <x:c r="O135" t="str">
        <x:v>legacy_common_sample_8902245</x:v>
      </x:c>
      <x:c r="P135" t="str">
        <x:v>factor_report/gtja191_batch/gtja_047/ic_summary.csv</x:v>
      </x:c>
    </x:row>
    <x:row r="136">
      <x:c r="A136" t="str">
        <x:v>gtja_047</x:v>
      </x:c>
      <x:c r="B136" s="50" t="n">
        <x:v>20</x:v>
      </x:c>
      <x:c r="C136" s="30" t="n">
        <x:v>0.012795591607391684</x:v>
      </x:c>
      <x:c r="D136" s="30" t="n">
        <x:v>0.11174066496625171</x:v>
      </x:c>
      <x:c r="E136" s="30" t="n">
        <x:v>0.1145115040371046</x:v>
      </x:c>
      <x:c r="F136" s="30" t="n">
        <x:v>0.024927053410138605</x:v>
      </x:c>
      <x:c r="G136" s="30" t="n">
        <x:v>0.12964249137038794</x:v>
      </x:c>
      <x:c r="H136" s="30" t="n">
        <x:v>0.1922753346271489</x:v>
      </x:c>
      <x:c r="I136" s="30" t="n">
        <x:v>0.547198384654215</x:v>
      </x:c>
      <x:c r="J136" s="30" t="n">
        <x:v>0.5073195355880868</x:v>
      </x:c>
      <x:c r="K136" s="19" t="n">
        <x:v>1981</x:v>
      </x:c>
      <x:c r="L136" s="74" t="n">
        <x:v>46211.27178611111</x:v>
      </x:c>
      <x:c r="M136" s="19" t="n">
        <x:v>8902245</x:v>
      </x:c>
      <x:c r="N136" t="str">
        <x:v>8f7e606554926462248cbcc654181861438ca768a0063f6b317223ede37d16fb</x:v>
      </x:c>
      <x:c r="O136" t="str">
        <x:v>legacy_common_sample_8902245</x:v>
      </x:c>
      <x:c r="P136" t="str">
        <x:v>factor_report/gtja191_batch/gtja_047/ic_summary.csv</x:v>
      </x:c>
    </x:row>
    <x:row r="137">
      <x:c r="A137" t="str">
        <x:v>gtja_048</x:v>
      </x:c>
      <x:c r="B137" s="50" t="n">
        <x:v>10</x:v>
      </x:c>
      <x:c r="C137" s="30" t="n">
        <x:v>0.022359262159129728</x:v>
      </x:c>
      <x:c r="D137" s="30" t="n">
        <x:v>0.08504019854386108</x:v>
      </x:c>
      <x:c r="E137" s="30" t="n">
        <x:v>0.26292579911602065</x:v>
      </x:c>
      <x:c r="F137" s="30" t="n">
        <x:v>0.022741292802513278</x:v>
      </x:c>
      <x:c r="G137" s="30" t="n">
        <x:v>0.09853818497318383</x:v>
      </x:c>
      <x:c r="H137" s="30" t="n">
        <x:v>0.23078660124196615</x:v>
      </x:c>
      <x:c r="I137" s="30" t="n">
        <x:v>0.5926670015067805</x:v>
      </x:c>
      <x:c r="J137" s="30" t="n">
        <x:v>0.6057257659467604</x:v>
      </x:c>
      <x:c r="K137" s="19" t="n">
        <x:v>1991</x:v>
      </x:c>
      <x:c r="L137" s="74" t="n">
        <x:v>46211.27421923611</x:v>
      </x:c>
      <x:c r="M137" s="19" t="n">
        <x:v>8902245</x:v>
      </x:c>
      <x:c r="N137" t="str">
        <x:v>8f7e606554926462248cbcc654181861438ca768a0063f6b317223ede37d16fb</x:v>
      </x:c>
      <x:c r="O137" t="str">
        <x:v>legacy_common_sample_8902245</x:v>
      </x:c>
      <x:c r="P137" t="str">
        <x:v>factor_report/gtja191_batch/gtja_048/ic_summary.csv</x:v>
      </x:c>
    </x:row>
    <x:row r="138">
      <x:c r="A138" t="str">
        <x:v>gtja_048</x:v>
      </x:c>
      <x:c r="B138" s="50" t="n">
        <x:v>20</x:v>
      </x:c>
      <x:c r="C138" s="30" t="n">
        <x:v>0.022733401066824567</x:v>
      </x:c>
      <x:c r="D138" s="30" t="n">
        <x:v>0.08225607232462195</x:v>
      </x:c>
      <x:c r="E138" s="30" t="n">
        <x:v>0.2763735299335428</x:v>
      </x:c>
      <x:c r="F138" s="30" t="n">
        <x:v>0.024154346270597194</x:v>
      </x:c>
      <x:c r="G138" s="30" t="n">
        <x:v>0.09718098100648785</x:v>
      </x:c>
      <x:c r="H138" s="30" t="n">
        <x:v>0.2485501383134282</x:v>
      </x:c>
      <x:c r="I138" s="30" t="n">
        <x:v>0.6032306915699142</x:v>
      </x:c>
      <x:c r="J138" s="30" t="n">
        <x:v>0.6113074204946997</x:v>
      </x:c>
      <x:c r="K138" s="19" t="n">
        <x:v>1981</x:v>
      </x:c>
      <x:c r="L138" s="74" t="n">
        <x:v>46211.27421923611</x:v>
      </x:c>
      <x:c r="M138" s="19" t="n">
        <x:v>8902245</x:v>
      </x:c>
      <x:c r="N138" t="str">
        <x:v>8f7e606554926462248cbcc654181861438ca768a0063f6b317223ede37d16fb</x:v>
      </x:c>
      <x:c r="O138" t="str">
        <x:v>legacy_common_sample_8902245</x:v>
      </x:c>
      <x:c r="P138" t="str">
        <x:v>factor_report/gtja191_batch/gtja_048/ic_summary.csv</x:v>
      </x:c>
    </x:row>
    <x:row r="139">
      <x:c r="A139" t="str">
        <x:v>gtja_049</x:v>
      </x:c>
      <x:c r="B139" s="50" t="n">
        <x:v>10</x:v>
      </x:c>
      <x:c r="C139" s="30" t="n">
        <x:v>0.01504067206057546</x:v>
      </x:c>
      <x:c r="D139" s="30" t="n">
        <x:v>0.10298326087252221</x:v>
      </x:c>
      <x:c r="E139" s="30" t="n">
        <x:v>0.14604967771600813</x:v>
      </x:c>
      <x:c r="F139" s="30" t="n">
        <x:v>0.03477123378486243</x:v>
      </x:c>
      <x:c r="G139" s="30" t="n">
        <x:v>0.11981679299964852</x:v>
      </x:c>
      <x:c r="H139" s="30" t="n">
        <x:v>0.29020334223905014</x:v>
      </x:c>
      <x:c r="I139" s="30" t="n">
        <x:v>0.6162732295328981</x:v>
      </x:c>
      <x:c r="J139" s="30" t="n">
        <x:v>0.5544952285283777</x:v>
      </x:c>
      <x:c r="K139" s="19" t="n">
        <x:v>1991</x:v>
      </x:c>
      <x:c r="L139" s="74" t="n">
        <x:v>46211.27667114583</x:v>
      </x:c>
      <x:c r="M139" s="19" t="n">
        <x:v>8902245</x:v>
      </x:c>
      <x:c r="N139" t="str">
        <x:v>8f7e606554926462248cbcc654181861438ca768a0063f6b317223ede37d16fb</x:v>
      </x:c>
      <x:c r="O139" t="str">
        <x:v>legacy_common_sample_8902245</x:v>
      </x:c>
      <x:c r="P139" t="str">
        <x:v>factor_report/gtja191_batch/gtja_049/ic_summary.csv</x:v>
      </x:c>
    </x:row>
    <x:row r="140">
      <x:c r="A140" t="str">
        <x:v>gtja_049</x:v>
      </x:c>
      <x:c r="B140" s="50" t="n">
        <x:v>20</x:v>
      </x:c>
      <x:c r="C140" s="30" t="n">
        <x:v>0.019469537966310825</x:v>
      </x:c>
      <x:c r="D140" s="30" t="n">
        <x:v>0.10466209298325825</x:v>
      </x:c>
      <x:c r="E140" s="30" t="n">
        <x:v>0.18602282269880818</x:v>
      </x:c>
      <x:c r="F140" s="30" t="n">
        <x:v>0.04048704282719138</x:v>
      </x:c>
      <x:c r="G140" s="30" t="n">
        <x:v>0.12070709891165099</x:v>
      </x:c>
      <x:c r="H140" s="30" t="n">
        <x:v>0.3354155902365362</x:v>
      </x:c>
      <x:c r="I140" s="30" t="n">
        <x:v>0.6249369005552751</x:v>
      </x:c>
      <x:c r="J140" s="30" t="n">
        <x:v>0.5552751135790005</x:v>
      </x:c>
      <x:c r="K140" s="19" t="n">
        <x:v>1981</x:v>
      </x:c>
      <x:c r="L140" s="74" t="n">
        <x:v>46211.27667114583</x:v>
      </x:c>
      <x:c r="M140" s="19" t="n">
        <x:v>8902245</x:v>
      </x:c>
      <x:c r="N140" t="str">
        <x:v>8f7e606554926462248cbcc654181861438ca768a0063f6b317223ede37d16fb</x:v>
      </x:c>
      <x:c r="O140" t="str">
        <x:v>legacy_common_sample_8902245</x:v>
      </x:c>
      <x:c r="P140" t="str">
        <x:v>factor_report/gtja191_batch/gtja_049/ic_summary.csv</x:v>
      </x:c>
    </x:row>
    <x:row r="141">
      <x:c r="A141" t="str">
        <x:v>gtja_050</x:v>
      </x:c>
      <x:c r="B141" s="50" t="n">
        <x:v>1</x:v>
      </x:c>
      <x:c r="C141" s="30" t="n">
        <x:v>-0.008180587749831275</x:v>
      </x:c>
      <x:c r="D141" s="30" t="n">
        <x:v>0.11602636863760635</x:v>
      </x:c>
      <x:c r="E141" s="30" t="n">
        <x:v>-0.0705062809936102</x:v>
      </x:c>
      <x:c r="F141" s="30" t="n">
        <x:v>-0.02803707925402884</x:v>
      </x:c>
      <x:c r="G141" s="30" t="n">
        <x:v>0.1316053935240275</x:v>
      </x:c>
      <x:c r="H141" s="30" t="n">
        <x:v>-0.2130389834586076</x:v>
      </x:c>
      <x:c r="I141" s="30" t="n">
        <x:v>0.413</x:v>
      </x:c>
      <x:c r="J141" s="30" t="n">
        <x:v>0.467</x:v>
      </x:c>
      <x:c r="K141" s="19" t="n">
        <x:v>2000</x:v>
      </x:c>
      <x:c r="L141" s="74" t="n">
        <x:v>46210.32673208333</x:v>
      </x:c>
      <x:c r="M141" s="19" t="n">
        <x:v>8902245</x:v>
      </x:c>
      <x:c r="N141" t="str">
        <x:v>40355b29bce094aef0e99358bdfd4011b92e72a54440a67760de4afae4883c33</x:v>
      </x:c>
      <x:c r="O141" t="str">
        <x:v>legacy_common_sample_8902245</x:v>
      </x:c>
      <x:c r="P141" t="str">
        <x:v>factor_report/gtja191_batch/gtja_050/ic_summary.csv</x:v>
      </x:c>
    </x:row>
    <x:row r="142">
      <x:c r="A142" t="str">
        <x:v>gtja_050</x:v>
      </x:c>
      <x:c r="B142" s="50" t="n">
        <x:v>5</x:v>
      </x:c>
      <x:c r="C142" s="30" t="n">
        <x:v>-0.01383949519679582</x:v>
      </x:c>
      <x:c r="D142" s="30" t="n">
        <x:v>0.10634582948591902</x:v>
      </x:c>
      <x:c r="E142" s="30" t="n">
        <x:v>-0.1301366989537495</x:v>
      </x:c>
      <x:c r="F142" s="30" t="n">
        <x:v>-0.0330490573207341</x:v>
      </x:c>
      <x:c r="G142" s="30" t="n">
        <x:v>0.1237697017647765</x:v>
      </x:c>
      <x:c r="H142" s="30" t="n">
        <x:v>-0.2670205781342482</x:v>
      </x:c>
      <x:c r="I142" s="30" t="n">
        <x:v>0.3877755511022044</x:v>
      </x:c>
      <x:c r="J142" s="30" t="n">
        <x:v>0.44288577154308617</x:v>
      </x:c>
      <x:c r="K142" s="19" t="n">
        <x:v>1996</x:v>
      </x:c>
      <x:c r="L142" s="74" t="n">
        <x:v>46210.32673208333</x:v>
      </x:c>
      <x:c r="M142" s="19" t="n">
        <x:v>8902245</x:v>
      </x:c>
      <x:c r="N142" t="str">
        <x:v>40355b29bce094aef0e99358bdfd4011b92e72a54440a67760de4afae4883c33</x:v>
      </x:c>
      <x:c r="O142" t="str">
        <x:v>legacy_common_sample_8902245</x:v>
      </x:c>
      <x:c r="P142" t="str">
        <x:v>factor_report/gtja191_batch/gtja_050/ic_summary.csv</x:v>
      </x:c>
    </x:row>
    <x:row r="143">
      <x:c r="A143" t="str">
        <x:v>gtja_050</x:v>
      </x:c>
      <x:c r="B143" s="50" t="n">
        <x:v>10</x:v>
      </x:c>
      <x:c r="C143" s="30" t="n">
        <x:v>-0.015040672060575456</x:v>
      </x:c>
      <x:c r="D143" s="30" t="n">
        <x:v>0.10298326087252221</x:v>
      </x:c>
      <x:c r="E143" s="30" t="n">
        <x:v>-0.1460496777160081</x:v>
      </x:c>
      <x:c r="F143" s="30" t="n">
        <x:v>-0.03477122181071436</x:v>
      </x:c>
      <x:c r="G143" s="30" t="n">
        <x:v>0.11981674532954434</x:v>
      </x:c>
      <x:c r="H143" s="30" t="n">
        <x:v>-0.2902033577617176</x:v>
      </x:c>
      <x:c r="I143" s="30" t="n">
        <x:v>0.38372677046710196</x:v>
      </x:c>
      <x:c r="J143" s="30" t="n">
        <x:v>0.4455047714716223</x:v>
      </x:c>
      <x:c r="K143" s="19" t="n">
        <x:v>1991</x:v>
      </x:c>
      <x:c r="L143" s="74" t="n">
        <x:v>46210.32673208333</x:v>
      </x:c>
      <x:c r="M143" s="19" t="n">
        <x:v>8902245</x:v>
      </x:c>
      <x:c r="N143" t="str">
        <x:v>40355b29bce094aef0e99358bdfd4011b92e72a54440a67760de4afae4883c33</x:v>
      </x:c>
      <x:c r="O143" t="str">
        <x:v>legacy_common_sample_8902245</x:v>
      </x:c>
      <x:c r="P143" t="str">
        <x:v>factor_report/gtja191_batch/gtja_050/ic_summary.csv</x:v>
      </x:c>
    </x:row>
    <x:row r="144">
      <x:c r="A144" t="str">
        <x:v>gtja_050</x:v>
      </x:c>
      <x:c r="B144" s="50" t="n">
        <x:v>20</x:v>
      </x:c>
      <x:c r="C144" s="30" t="n">
        <x:v>-0.019469537966310825</x:v>
      </x:c>
      <x:c r="D144" s="30" t="n">
        <x:v>0.10466209298325825</x:v>
      </x:c>
      <x:c r="E144" s="30" t="n">
        <x:v>-0.18602282269880818</x:v>
      </x:c>
      <x:c r="F144" s="30" t="n">
        <x:v>-0.04048703310051595</x:v>
      </x:c>
      <x:c r="G144" s="30" t="n">
        <x:v>0.12070708202468723</x:v>
      </x:c>
      <x:c r="H144" s="30" t="n">
        <x:v>-0.33541555658047856</x:v>
      </x:c>
      <x:c r="I144" s="30" t="n">
        <x:v>0.3750630994447249</x:v>
      </x:c>
      <x:c r="J144" s="30" t="n">
        <x:v>0.4447248864209995</x:v>
      </x:c>
      <x:c r="K144" s="19" t="n">
        <x:v>1981</x:v>
      </x:c>
      <x:c r="L144" s="74" t="n">
        <x:v>46210.32673208333</x:v>
      </x:c>
      <x:c r="M144" s="19" t="n">
        <x:v>8902245</x:v>
      </x:c>
      <x:c r="N144" t="str">
        <x:v>40355b29bce094aef0e99358bdfd4011b92e72a54440a67760de4afae4883c33</x:v>
      </x:c>
      <x:c r="O144" t="str">
        <x:v>legacy_common_sample_8902245</x:v>
      </x:c>
      <x:c r="P144" t="str">
        <x:v>factor_report/gtja191_batch/gtja_050/ic_summary.csv</x:v>
      </x:c>
    </x:row>
    <x:row r="145">
      <x:c r="A145" t="str">
        <x:v>gtja_051</x:v>
      </x:c>
      <x:c r="B145" s="50" t="n">
        <x:v>1</x:v>
      </x:c>
      <x:c r="C145" s="30" t="n">
        <x:v>-0.008180587749831277</x:v>
      </x:c>
      <x:c r="D145" s="30" t="n">
        <x:v>0.11602636863760635</x:v>
      </x:c>
      <x:c r="E145" s="30" t="n">
        <x:v>-0.07050628099361021</x:v>
      </x:c>
      <x:c r="F145" s="30" t="n">
        <x:v>-0.028037087515120757</x:v>
      </x:c>
      <x:c r="G145" s="30" t="n">
        <x:v>0.13160540462285888</x:v>
      </x:c>
      <x:c r="H145" s="30" t="n">
        <x:v>-0.21303902826382043</x:v>
      </x:c>
      <x:c r="I145" s="30" t="n">
        <x:v>0.413</x:v>
      </x:c>
      <x:c r="J145" s="30" t="n">
        <x:v>0.467</x:v>
      </x:c>
      <x:c r="K145" s="19" t="n">
        <x:v>2000</x:v>
      </x:c>
      <x:c r="L145" s="74" t="n">
        <x:v>46210.33137918982</x:v>
      </x:c>
      <x:c r="M145" s="19" t="n">
        <x:v>8902245</x:v>
      </x:c>
      <x:c r="N145" t="str">
        <x:v>40355b29bce094aef0e99358bdfd4011b92e72a54440a67760de4afae4883c33</x:v>
      </x:c>
      <x:c r="O145" t="str">
        <x:v>legacy_common_sample_8902245</x:v>
      </x:c>
      <x:c r="P145" t="str">
        <x:v>factor_report/gtja191_batch/gtja_051/ic_summary.csv</x:v>
      </x:c>
    </x:row>
    <x:row r="146">
      <x:c r="A146" t="str">
        <x:v>gtja_051</x:v>
      </x:c>
      <x:c r="B146" s="50" t="n">
        <x:v>5</x:v>
      </x:c>
      <x:c r="C146" s="30" t="n">
        <x:v>-0.01383949519679582</x:v>
      </x:c>
      <x:c r="D146" s="30" t="n">
        <x:v>0.10634582948591902</x:v>
      </x:c>
      <x:c r="E146" s="30" t="n">
        <x:v>-0.1301366989537495</x:v>
      </x:c>
      <x:c r="F146" s="30" t="n">
        <x:v>-0.03304907547879243</x:v>
      </x:c>
      <x:c r="G146" s="30" t="n">
        <x:v>0.12376971467721183</x:v>
      </x:c>
      <x:c r="H146" s="30" t="n">
        <x:v>-0.2670206969853938</x:v>
      </x:c>
      <x:c r="I146" s="30" t="n">
        <x:v>0.3877755511022044</x:v>
      </x:c>
      <x:c r="J146" s="30" t="n">
        <x:v>0.44288577154308617</x:v>
      </x:c>
      <x:c r="K146" s="19" t="n">
        <x:v>1996</x:v>
      </x:c>
      <x:c r="L146" s="74" t="n">
        <x:v>46210.33137918982</x:v>
      </x:c>
      <x:c r="M146" s="19" t="n">
        <x:v>8902245</x:v>
      </x:c>
      <x:c r="N146" t="str">
        <x:v>40355b29bce094aef0e99358bdfd4011b92e72a54440a67760de4afae4883c33</x:v>
      </x:c>
      <x:c r="O146" t="str">
        <x:v>legacy_common_sample_8902245</x:v>
      </x:c>
      <x:c r="P146" t="str">
        <x:v>factor_report/gtja191_batch/gtja_051/ic_summary.csv</x:v>
      </x:c>
    </x:row>
    <x:row r="147">
      <x:c r="A147" t="str">
        <x:v>gtja_051</x:v>
      </x:c>
      <x:c r="B147" s="50" t="n">
        <x:v>10</x:v>
      </x:c>
      <x:c r="C147" s="30" t="n">
        <x:v>-0.015040672060575458</x:v>
      </x:c>
      <x:c r="D147" s="30" t="n">
        <x:v>0.10298326087252221</x:v>
      </x:c>
      <x:c r="E147" s="30" t="n">
        <x:v>-0.1460496777160081</x:v>
      </x:c>
      <x:c r="F147" s="30" t="n">
        <x:v>-0.03477125480346933</x:v>
      </x:c>
      <x:c r="G147" s="30" t="n">
        <x:v>0.11981678207975749</x:v>
      </x:c>
      <x:c r="H147" s="30" t="n">
        <x:v>-0.2902035441105689</x:v>
      </x:c>
      <x:c r="I147" s="30" t="n">
        <x:v>0.3842290306378704</x:v>
      </x:c>
      <x:c r="J147" s="30" t="n">
        <x:v>0.4455047714716223</x:v>
      </x:c>
      <x:c r="K147" s="19" t="n">
        <x:v>1991</x:v>
      </x:c>
      <x:c r="L147" s="74" t="n">
        <x:v>46210.33137918982</x:v>
      </x:c>
      <x:c r="M147" s="19" t="n">
        <x:v>8902245</x:v>
      </x:c>
      <x:c r="N147" t="str">
        <x:v>40355b29bce094aef0e99358bdfd4011b92e72a54440a67760de4afae4883c33</x:v>
      </x:c>
      <x:c r="O147" t="str">
        <x:v>legacy_common_sample_8902245</x:v>
      </x:c>
      <x:c r="P147" t="str">
        <x:v>factor_report/gtja191_batch/gtja_051/ic_summary.csv</x:v>
      </x:c>
    </x:row>
    <x:row r="148">
      <x:c r="A148" t="str">
        <x:v>gtja_051</x:v>
      </x:c>
      <x:c r="B148" s="50" t="n">
        <x:v>20</x:v>
      </x:c>
      <x:c r="C148" s="30" t="n">
        <x:v>-0.019469537966310825</x:v>
      </x:c>
      <x:c r="D148" s="30" t="n">
        <x:v>0.10466209298325825</x:v>
      </x:c>
      <x:c r="E148" s="30" t="n">
        <x:v>-0.18602282269880818</x:v>
      </x:c>
      <x:c r="F148" s="30" t="n">
        <x:v>-0.040487045047700426</x:v>
      </x:c>
      <x:c r="G148" s="30" t="n">
        <x:v>0.12070707097991402</x:v>
      </x:c>
      <x:c r="H148" s="30" t="n">
        <x:v>-0.3354156862478883</x:v>
      </x:c>
      <x:c r="I148" s="30" t="n">
        <x:v>0.3750630994447249</x:v>
      </x:c>
      <x:c r="J148" s="30" t="n">
        <x:v>0.4447248864209995</x:v>
      </x:c>
      <x:c r="K148" s="19" t="n">
        <x:v>1981</x:v>
      </x:c>
      <x:c r="L148" s="74" t="n">
        <x:v>46210.33137918982</x:v>
      </x:c>
      <x:c r="M148" s="19" t="n">
        <x:v>8902245</x:v>
      </x:c>
      <x:c r="N148" t="str">
        <x:v>40355b29bce094aef0e99358bdfd4011b92e72a54440a67760de4afae4883c33</x:v>
      </x:c>
      <x:c r="O148" t="str">
        <x:v>legacy_common_sample_8902245</x:v>
      </x:c>
      <x:c r="P148" t="str">
        <x:v>factor_report/gtja191_batch/gtja_051/ic_summary.csv</x:v>
      </x:c>
    </x:row>
    <x:row r="149">
      <x:c r="A149" t="str">
        <x:v>gtja_052</x:v>
      </x:c>
      <x:c r="B149" s="50" t="n">
        <x:v>1</x:v>
      </x:c>
      <x:c r="C149" s="30" t="n">
        <x:v>-0.011970176895169264</x:v>
      </x:c>
      <x:c r="D149" s="30" t="n">
        <x:v>0.13274677869214196</x:v>
      </x:c>
      <x:c r="E149" s="30" t="n">
        <x:v>-0.09017301220491196</x:v>
      </x:c>
      <x:c r="F149" s="30" t="n">
        <x:v>-0.034557619492661715</x:v>
      </x:c>
      <x:c r="G149" s="30" t="n">
        <x:v>0.14582751862192847</x:v>
      </x:c>
      <x:c r="H149" s="30" t="n">
        <x:v>-0.2369759824430366</x:v>
      </x:c>
      <x:c r="I149" s="30" t="n">
        <x:v>0.3965</x:v>
      </x:c>
      <x:c r="J149" s="30" t="n">
        <x:v>0.4625</x:v>
      </x:c>
      <x:c r="K149" s="19" t="n">
        <x:v>2000</x:v>
      </x:c>
      <x:c r="L149" s="74" t="n">
        <x:v>46210.3353965162</x:v>
      </x:c>
      <x:c r="M149" s="19" t="n">
        <x:v>8902245</x:v>
      </x:c>
      <x:c r="N149" t="str">
        <x:v>40355b29bce094aef0e99358bdfd4011b92e72a54440a67760de4afae4883c33</x:v>
      </x:c>
      <x:c r="O149" t="str">
        <x:v>legacy_common_sample_8902245</x:v>
      </x:c>
      <x:c r="P149" t="str">
        <x:v>factor_report/gtja191_batch/gtja_052/ic_summary.csv</x:v>
      </x:c>
    </x:row>
    <x:row r="150">
      <x:c r="A150" t="str">
        <x:v>gtja_052</x:v>
      </x:c>
      <x:c r="B150" s="50" t="n">
        <x:v>5</x:v>
      </x:c>
      <x:c r="C150" s="30" t="n">
        <x:v>-0.02253951337386516</x:v>
      </x:c>
      <x:c r="D150" s="30" t="n">
        <x:v>0.12199561343271746</x:v>
      </x:c>
      <x:c r="E150" s="30" t="n">
        <x:v>-0.18475675263763533</x:v>
      </x:c>
      <x:c r="F150" s="30" t="n">
        <x:v>-0.04605223865343787</x:v>
      </x:c>
      <x:c r="G150" s="30" t="n">
        <x:v>0.1346785739853705</x:v>
      </x:c>
      <x:c r="H150" s="30" t="n">
        <x:v>-0.3419418344779943</x:v>
      </x:c>
      <x:c r="I150" s="30" t="n">
        <x:v>0.37324649298597196</x:v>
      </x:c>
      <x:c r="J150" s="30" t="n">
        <x:v>0.4308617234468938</x:v>
      </x:c>
      <x:c r="K150" s="19" t="n">
        <x:v>1996</x:v>
      </x:c>
      <x:c r="L150" s="74" t="n">
        <x:v>46210.3353965162</x:v>
      </x:c>
      <x:c r="M150" s="19" t="n">
        <x:v>8902245</x:v>
      </x:c>
      <x:c r="N150" t="str">
        <x:v>40355b29bce094aef0e99358bdfd4011b92e72a54440a67760de4afae4883c33</x:v>
      </x:c>
      <x:c r="O150" t="str">
        <x:v>legacy_common_sample_8902245</x:v>
      </x:c>
      <x:c r="P150" t="str">
        <x:v>factor_report/gtja191_batch/gtja_052/ic_summary.csv</x:v>
      </x:c>
    </x:row>
    <x:row r="151">
      <x:c r="A151" t="str">
        <x:v>gtja_052</x:v>
      </x:c>
      <x:c r="B151" s="50" t="n">
        <x:v>10</x:v>
      </x:c>
      <x:c r="C151" s="30" t="n">
        <x:v>-0.024715131502511947</x:v>
      </x:c>
      <x:c r="D151" s="30" t="n">
        <x:v>0.118075730238425</x:v>
      </x:c>
      <x:c r="E151" s="30" t="n">
        <x:v>-0.2093159318397252</x:v>
      </x:c>
      <x:c r="F151" s="30" t="n">
        <x:v>-0.050813754781149335</x:v>
      </x:c>
      <x:c r="G151" s="30" t="n">
        <x:v>0.13049459380513437</x:v>
      </x:c>
      <x:c r="H151" s="30" t="n">
        <x:v>-0.3893935625948517</x:v>
      </x:c>
      <x:c r="I151" s="30" t="n">
        <x:v>0.34806629834254144</x:v>
      </x:c>
      <x:c r="J151" s="30" t="n">
        <x:v>0.4178804620793571</x:v>
      </x:c>
      <x:c r="K151" s="19" t="n">
        <x:v>1991</x:v>
      </x:c>
      <x:c r="L151" s="74" t="n">
        <x:v>46210.3353965162</x:v>
      </x:c>
      <x:c r="M151" s="19" t="n">
        <x:v>8902245</x:v>
      </x:c>
      <x:c r="N151" t="str">
        <x:v>40355b29bce094aef0e99358bdfd4011b92e72a54440a67760de4afae4883c33</x:v>
      </x:c>
      <x:c r="O151" t="str">
        <x:v>legacy_common_sample_8902245</x:v>
      </x:c>
      <x:c r="P151" t="str">
        <x:v>factor_report/gtja191_batch/gtja_052/ic_summary.csv</x:v>
      </x:c>
    </x:row>
    <x:row r="152">
      <x:c r="A152" t="str">
        <x:v>gtja_052</x:v>
      </x:c>
      <x:c r="B152" s="50" t="n">
        <x:v>20</x:v>
      </x:c>
      <x:c r="C152" s="30" t="n">
        <x:v>-0.02630236368686134</x:v>
      </x:c>
      <x:c r="D152" s="30" t="n">
        <x:v>0.12025311707096953</x:v>
      </x:c>
      <x:c r="E152" s="30" t="n">
        <x:v>-0.21872500545111467</x:v>
      </x:c>
      <x:c r="F152" s="30" t="n">
        <x:v>-0.05688399120856618</x:v>
      </x:c>
      <x:c r="G152" s="30" t="n">
        <x:v>0.1338864946040737</x:v>
      </x:c>
      <x:c r="H152" s="30" t="n">
        <x:v>-0.4248672831175565</x:v>
      </x:c>
      <x:c r="I152" s="30" t="n">
        <x:v>0.3442705704189803</x:v>
      </x:c>
      <x:c r="J152" s="30" t="n">
        <x:v>0.43109540636042404</x:v>
      </x:c>
      <x:c r="K152" s="19" t="n">
        <x:v>1981</x:v>
      </x:c>
      <x:c r="L152" s="74" t="n">
        <x:v>46210.3353965162</x:v>
      </x:c>
      <x:c r="M152" s="19" t="n">
        <x:v>8902245</x:v>
      </x:c>
      <x:c r="N152" t="str">
        <x:v>40355b29bce094aef0e99358bdfd4011b92e72a54440a67760de4afae4883c33</x:v>
      </x:c>
      <x:c r="O152" t="str">
        <x:v>legacy_common_sample_8902245</x:v>
      </x:c>
      <x:c r="P152" t="str">
        <x:v>factor_report/gtja191_batch/gtja_052/ic_summary.csv</x:v>
      </x:c>
    </x:row>
    <x:row r="153">
      <x:c r="A153" t="str">
        <x:v>gtja_053</x:v>
      </x:c>
      <x:c r="B153" s="50" t="n">
        <x:v>1</x:v>
      </x:c>
      <x:c r="C153" s="30" t="n">
        <x:v>-0.00401454304394823</x:v>
      </x:c>
      <x:c r="D153" s="30" t="n">
        <x:v>0.09303276900368997</x:v>
      </x:c>
      <x:c r="E153" s="30" t="n">
        <x:v>-0.043151924713635055</x:v>
      </x:c>
      <x:c r="F153" s="30" t="n">
        <x:v>-0.016102839965405964</x:v>
      </x:c>
      <x:c r="G153" s="30" t="n">
        <x:v>0.10446396850624658</x:v>
      </x:c>
      <x:c r="H153" s="30" t="n">
        <x:v>-0.1541473121849001</x:v>
      </x:c>
      <x:c r="I153" s="30" t="n">
        <x:v>0.4415</x:v>
      </x:c>
      <x:c r="J153" s="30" t="n">
        <x:v>0.4875</x:v>
      </x:c>
      <x:c r="K153" s="19" t="n">
        <x:v>2000</x:v>
      </x:c>
      <x:c r="L153" s="74" t="n">
        <x:v>46210.33939799768</x:v>
      </x:c>
      <x:c r="M153" s="19" t="n">
        <x:v>8902245</x:v>
      </x:c>
      <x:c r="N153" t="str">
        <x:v>40355b29bce094aef0e99358bdfd4011b92e72a54440a67760de4afae4883c33</x:v>
      </x:c>
      <x:c r="O153" t="str">
        <x:v>legacy_common_sample_8902245</x:v>
      </x:c>
      <x:c r="P153" t="str">
        <x:v>factor_report/gtja191_batch/gtja_053/ic_summary.csv</x:v>
      </x:c>
    </x:row>
    <x:row r="154">
      <x:c r="A154" t="str">
        <x:v>gtja_053</x:v>
      </x:c>
      <x:c r="B154" s="50" t="n">
        <x:v>5</x:v>
      </x:c>
      <x:c r="C154" s="30" t="n">
        <x:v>-0.00781606769170123</x:v>
      </x:c>
      <x:c r="D154" s="30" t="n">
        <x:v>0.08657128986733523</x:v>
      </x:c>
      <x:c r="E154" s="30" t="n">
        <x:v>-0.09028475495373624</x:v>
      </x:c>
      <x:c r="F154" s="30" t="n">
        <x:v>-0.019807683124837255</x:v>
      </x:c>
      <x:c r="G154" s="30" t="n">
        <x:v>0.09811284201034182</x:v>
      </x:c>
      <x:c r="H154" s="30" t="n">
        <x:v>-0.2018867532422451</x:v>
      </x:c>
      <x:c r="I154" s="30" t="n">
        <x:v>0.4123246492985972</x:v>
      </x:c>
      <x:c r="J154" s="30" t="n">
        <x:v>0.4624248496993988</x:v>
      </x:c>
      <x:c r="K154" s="19" t="n">
        <x:v>1996</x:v>
      </x:c>
      <x:c r="L154" s="74" t="n">
        <x:v>46210.33939799768</x:v>
      </x:c>
      <x:c r="M154" s="19" t="n">
        <x:v>8902245</x:v>
      </x:c>
      <x:c r="N154" t="str">
        <x:v>40355b29bce094aef0e99358bdfd4011b92e72a54440a67760de4afae4883c33</x:v>
      </x:c>
      <x:c r="O154" t="str">
        <x:v>legacy_common_sample_8902245</x:v>
      </x:c>
      <x:c r="P154" t="str">
        <x:v>factor_report/gtja191_batch/gtja_053/ic_summary.csv</x:v>
      </x:c>
    </x:row>
    <x:row r="155">
      <x:c r="A155" t="str">
        <x:v>gtja_053</x:v>
      </x:c>
      <x:c r="B155" s="50" t="n">
        <x:v>10</x:v>
      </x:c>
      <x:c r="C155" s="30" t="n">
        <x:v>-0.008607414012613357</x:v>
      </x:c>
      <x:c r="D155" s="30" t="n">
        <x:v>0.08505915073611538</x:v>
      </x:c>
      <x:c r="E155" s="30" t="n">
        <x:v>-0.1011932747755348</x:v>
      </x:c>
      <x:c r="F155" s="30" t="n">
        <x:v>-0.021981401750478545</x:v>
      </x:c>
      <x:c r="G155" s="30" t="n">
        <x:v>0.09762994919688875</x:v>
      </x:c>
      <x:c r="H155" s="30" t="n">
        <x:v>-0.2251501914248568</x:v>
      </x:c>
      <x:c r="I155" s="30" t="n">
        <x:v>0.41637368156705173</x:v>
      </x:c>
      <x:c r="J155" s="30" t="n">
        <x:v>0.4620793571069814</x:v>
      </x:c>
      <x:c r="K155" s="19" t="n">
        <x:v>1991</x:v>
      </x:c>
      <x:c r="L155" s="74" t="n">
        <x:v>46210.33939799768</x:v>
      </x:c>
      <x:c r="M155" s="19" t="n">
        <x:v>8902245</x:v>
      </x:c>
      <x:c r="N155" t="str">
        <x:v>40355b29bce094aef0e99358bdfd4011b92e72a54440a67760de4afae4883c33</x:v>
      </x:c>
      <x:c r="O155" t="str">
        <x:v>legacy_common_sample_8902245</x:v>
      </x:c>
      <x:c r="P155" t="str">
        <x:v>factor_report/gtja191_batch/gtja_053/ic_summary.csv</x:v>
      </x:c>
    </x:row>
    <x:row r="156">
      <x:c r="A156" t="str">
        <x:v>gtja_053</x:v>
      </x:c>
      <x:c r="B156" s="50" t="n">
        <x:v>20</x:v>
      </x:c>
      <x:c r="C156" s="30" t="n">
        <x:v>-0.013327397454991178</x:v>
      </x:c>
      <x:c r="D156" s="30" t="n">
        <x:v>0.08669290001125683</x:v>
      </x:c>
      <x:c r="E156" s="30" t="n">
        <x:v>-0.15373112969182773</x:v>
      </x:c>
      <x:c r="F156" s="30" t="n">
        <x:v>-0.028910114969108554</x:v>
      </x:c>
      <x:c r="G156" s="30" t="n">
        <x:v>0.0986342592933982</x:v>
      </x:c>
      <x:c r="H156" s="30" t="n">
        <x:v>-0.29310419296719525</x:v>
      </x:c>
      <x:c r="I156" s="30" t="n">
        <x:v>0.40686521958606764</x:v>
      </x:c>
      <x:c r="J156" s="30" t="n">
        <x:v>0.4563351842503786</x:v>
      </x:c>
      <x:c r="K156" s="19" t="n">
        <x:v>1981</x:v>
      </x:c>
      <x:c r="L156" s="74" t="n">
        <x:v>46210.33939799768</x:v>
      </x:c>
      <x:c r="M156" s="19" t="n">
        <x:v>8902245</x:v>
      </x:c>
      <x:c r="N156" t="str">
        <x:v>40355b29bce094aef0e99358bdfd4011b92e72a54440a67760de4afae4883c33</x:v>
      </x:c>
      <x:c r="O156" t="str">
        <x:v>legacy_common_sample_8902245</x:v>
      </x:c>
      <x:c r="P156" t="str">
        <x:v>factor_report/gtja191_batch/gtja_053/ic_summary.csv</x:v>
      </x:c>
    </x:row>
    <x:row r="157">
      <x:c r="A157" t="str">
        <x:v>gtja_054</x:v>
      </x:c>
      <x:c r="B157" s="50" t="n">
        <x:v>10</x:v>
      </x:c>
      <x:c r="C157" s="30" t="n">
        <x:v>0.015139462484562929</x:v>
      </x:c>
      <x:c r="D157" s="30" t="n">
        <x:v>0.09819644144991532</x:v>
      </x:c>
      <x:c r="E157" s="30" t="n">
        <x:v>0.1541752660383803</x:v>
      </x:c>
      <x:c r="F157" s="30" t="n">
        <x:v>0.030596478125827956</x:v>
      </x:c>
      <x:c r="G157" s="30" t="n">
        <x:v>0.11460406788306993</x:v>
      </x:c>
      <x:c r="H157" s="30" t="n">
        <x:v>0.26697549826106887</x:v>
      </x:c>
      <x:c r="I157" s="30" t="n">
        <x:v>0.6012054244098443</x:v>
      </x:c>
      <x:c r="J157" s="30" t="n">
        <x:v>0.5620291310899046</x:v>
      </x:c>
      <x:c r="K157" s="19" t="n">
        <x:v>1991</x:v>
      </x:c>
      <x:c r="L157" s="74" t="n">
        <x:v>46211.27909778935</x:v>
      </x:c>
      <x:c r="M157" s="19" t="n">
        <x:v>8902245</x:v>
      </x:c>
      <x:c r="N157" t="str">
        <x:v>8f7e606554926462248cbcc654181861438ca768a0063f6b317223ede37d16fb</x:v>
      </x:c>
      <x:c r="O157" t="str">
        <x:v>legacy_common_sample_8902245</x:v>
      </x:c>
      <x:c r="P157" t="str">
        <x:v>factor_report/gtja191_batch/gtja_054/ic_summary.csv</x:v>
      </x:c>
    </x:row>
    <x:row r="158">
      <x:c r="A158" t="str">
        <x:v>gtja_054</x:v>
      </x:c>
      <x:c r="B158" s="50" t="n">
        <x:v>20</x:v>
      </x:c>
      <x:c r="C158" s="30" t="n">
        <x:v>0.0199915398765741</x:v>
      </x:c>
      <x:c r="D158" s="30" t="n">
        <x:v>0.10049360692215635</x:v>
      </x:c>
      <x:c r="E158" s="30" t="n">
        <x:v>0.19893344948858097</x:v>
      </x:c>
      <x:c r="F158" s="30" t="n">
        <x:v>0.038602647215080194</x:v>
      </x:c>
      <x:c r="G158" s="30" t="n">
        <x:v>0.11603224447110118</x:v>
      </x:c>
      <x:c r="H158" s="30" t="n">
        <x:v>0.33268896409820387</x:v>
      </x:c>
      <x:c r="I158" s="30" t="n">
        <x:v>0.6249369005552751</x:v>
      </x:c>
      <x:c r="J158" s="30" t="n">
        <x:v>0.569409389197375</x:v>
      </x:c>
      <x:c r="K158" s="19" t="n">
        <x:v>1981</x:v>
      </x:c>
      <x:c r="L158" s="74" t="n">
        <x:v>46211.27909778935</x:v>
      </x:c>
      <x:c r="M158" s="19" t="n">
        <x:v>8902245</x:v>
      </x:c>
      <x:c r="N158" t="str">
        <x:v>8f7e606554926462248cbcc654181861438ca768a0063f6b317223ede37d16fb</x:v>
      </x:c>
      <x:c r="O158" t="str">
        <x:v>legacy_common_sample_8902245</x:v>
      </x:c>
      <x:c r="P158" t="str">
        <x:v>factor_report/gtja191_batch/gtja_054/ic_summary.csv</x:v>
      </x:c>
    </x:row>
    <x:row r="159">
      <x:c r="A159" t="str">
        <x:v>gtja_055</x:v>
      </x:c>
      <x:c r="B159" s="50" t="n">
        <x:v>1</x:v>
      </x:c>
      <x:c r="C159" s="30" t="n">
        <x:v>-0.00948599926807126</x:v>
      </x:c>
      <x:c r="D159" s="30" t="n">
        <x:v>0.0956437269047367</x:v>
      </x:c>
      <x:c r="E159" s="30" t="n">
        <x:v>-0.09918056912942684</x:v>
      </x:c>
      <x:c r="F159" s="30" t="n">
        <x:v>-0.031998616247062475</x:v>
      </x:c>
      <x:c r="G159" s="30" t="n">
        <x:v>0.14638556683580708</x:v>
      </x:c>
      <x:c r="H159" s="30" t="n">
        <x:v>-0.21859133341303807</x:v>
      </x:c>
      <x:c r="I159" s="30" t="n">
        <x:v>0.4005</x:v>
      </x:c>
      <x:c r="J159" s="30" t="n">
        <x:v>0.4645</x:v>
      </x:c>
      <x:c r="K159" s="19" t="n">
        <x:v>2000</x:v>
      </x:c>
      <x:c r="L159" s="74" t="n">
        <x:v>46210.34754746528</x:v>
      </x:c>
      <x:c r="M159" s="19" t="n">
        <x:v>8902245</x:v>
      </x:c>
      <x:c r="N159" t="str">
        <x:v>40355b29bce094aef0e99358bdfd4011b92e72a54440a67760de4afae4883c33</x:v>
      </x:c>
      <x:c r="O159" t="str">
        <x:v>legacy_common_sample_8902245</x:v>
      </x:c>
      <x:c r="P159" t="str">
        <x:v>factor_report/gtja191_batch/gtja_055/ic_summary.csv</x:v>
      </x:c>
    </x:row>
    <x:row r="160">
      <x:c r="A160" t="str">
        <x:v>gtja_055</x:v>
      </x:c>
      <x:c r="B160" s="50" t="n">
        <x:v>5</x:v>
      </x:c>
      <x:c r="C160" s="30" t="n">
        <x:v>-0.01715798585399391</x:v>
      </x:c>
      <x:c r="D160" s="30" t="n">
        <x:v>0.08785960537587248</x:v>
      </x:c>
      <x:c r="E160" s="30" t="n">
        <x:v>-0.19528867425013205</x:v>
      </x:c>
      <x:c r="F160" s="30" t="n">
        <x:v>-0.04728572378762499</x:v>
      </x:c>
      <x:c r="G160" s="30" t="n">
        <x:v>0.13826884605174547</x:v>
      </x:c>
      <x:c r="H160" s="30" t="n">
        <x:v>-0.3419839330251506</x:v>
      </x:c>
      <x:c r="I160" s="30" t="n">
        <x:v>0.35470941883767537</x:v>
      </x:c>
      <x:c r="J160" s="30" t="n">
        <x:v>0.4163326653306613</x:v>
      </x:c>
      <x:c r="K160" s="19" t="n">
        <x:v>1996</x:v>
      </x:c>
      <x:c r="L160" s="74" t="n">
        <x:v>46210.34754746528</x:v>
      </x:c>
      <x:c r="M160" s="19" t="n">
        <x:v>8902245</x:v>
      </x:c>
      <x:c r="N160" t="str">
        <x:v>40355b29bce094aef0e99358bdfd4011b92e72a54440a67760de4afae4883c33</x:v>
      </x:c>
      <x:c r="O160" t="str">
        <x:v>legacy_common_sample_8902245</x:v>
      </x:c>
      <x:c r="P160" t="str">
        <x:v>factor_report/gtja191_batch/gtja_055/ic_summary.csv</x:v>
      </x:c>
    </x:row>
    <x:row r="161">
      <x:c r="A161" t="str">
        <x:v>gtja_055</x:v>
      </x:c>
      <x:c r="B161" s="50" t="n">
        <x:v>10</x:v>
      </x:c>
      <x:c r="C161" s="30" t="n">
        <x:v>-0.020264489615112173</x:v>
      </x:c>
      <x:c r="D161" s="30" t="n">
        <x:v>0.08371338359722304</x:v>
      </x:c>
      <x:c r="E161" s="30" t="n">
        <x:v>-0.2420698906713931</x:v>
      </x:c>
      <x:c r="F161" s="30" t="n">
        <x:v>-0.0544410013552593</x:v>
      </x:c>
      <x:c r="G161" s="30" t="n">
        <x:v>0.1334333382876157</x:v>
      </x:c>
      <x:c r="H161" s="30" t="n">
        <x:v>-0.4080014938838723</x:v>
      </x:c>
      <x:c r="I161" s="30" t="n">
        <x:v>0.3214465092918132</x:v>
      </x:c>
      <x:c r="J161" s="30" t="n">
        <x:v>0.4083375188347564</x:v>
      </x:c>
      <x:c r="K161" s="19" t="n">
        <x:v>1991</x:v>
      </x:c>
      <x:c r="L161" s="74" t="n">
        <x:v>46210.34754746528</x:v>
      </x:c>
      <x:c r="M161" s="19" t="n">
        <x:v>8902245</x:v>
      </x:c>
      <x:c r="N161" t="str">
        <x:v>40355b29bce094aef0e99358bdfd4011b92e72a54440a67760de4afae4883c33</x:v>
      </x:c>
      <x:c r="O161" t="str">
        <x:v>legacy_common_sample_8902245</x:v>
      </x:c>
      <x:c r="P161" t="str">
        <x:v>factor_report/gtja191_batch/gtja_055/ic_summary.csv</x:v>
      </x:c>
    </x:row>
    <x:row r="162">
      <x:c r="A162" t="str">
        <x:v>gtja_055</x:v>
      </x:c>
      <x:c r="B162" s="50" t="n">
        <x:v>20</x:v>
      </x:c>
      <x:c r="C162" s="30" t="n">
        <x:v>-0.020635377202574336</x:v>
      </x:c>
      <x:c r="D162" s="30" t="n">
        <x:v>0.08286667795466943</x:v>
      </x:c>
      <x:c r="E162" s="30" t="n">
        <x:v>-0.24901899909469655</x:v>
      </x:c>
      <x:c r="F162" s="30" t="n">
        <x:v>-0.059452727447306446</x:v>
      </x:c>
      <x:c r="G162" s="30" t="n">
        <x:v>0.1300688575858728</x:v>
      </x:c>
      <x:c r="H162" s="30" t="n">
        <x:v>-0.45708656592186286</x:v>
      </x:c>
      <x:c r="I162" s="30" t="n">
        <x:v>0.3250883392226148</x:v>
      </x:c>
      <x:c r="J162" s="30" t="n">
        <x:v>0.4023220595658758</x:v>
      </x:c>
      <x:c r="K162" s="19" t="n">
        <x:v>1981</x:v>
      </x:c>
      <x:c r="L162" s="74" t="n">
        <x:v>46210.34754746528</x:v>
      </x:c>
      <x:c r="M162" s="19" t="n">
        <x:v>8902245</x:v>
      </x:c>
      <x:c r="N162" t="str">
        <x:v>40355b29bce094aef0e99358bdfd4011b92e72a54440a67760de4afae4883c33</x:v>
      </x:c>
      <x:c r="O162" t="str">
        <x:v>legacy_common_sample_8902245</x:v>
      </x:c>
      <x:c r="P162" t="str">
        <x:v>factor_report/gtja191_batch/gtja_055/ic_summary.csv</x:v>
      </x:c>
    </x:row>
    <x:row r="163">
      <x:c r="A163" t="str">
        <x:v>gtja_056</x:v>
      </x:c>
      <x:c r="B163" s="50" t="n">
        <x:v>10</x:v>
      </x:c>
      <x:c r="C163" s="30" t="n">
        <x:v>0.010996001451732415</x:v>
      </x:c>
      <x:c r="D163" s="30" t="n">
        <x:v>0.07298246053581249</x:v>
      </x:c>
      <x:c r="E163" s="30" t="n">
        <x:v>0.1506663569712983</x:v>
      </x:c>
      <x:c r="F163" s="30" t="n">
        <x:v>0.024696541184129516</x:v>
      </x:c>
      <x:c r="G163" s="30" t="n">
        <x:v>0.08441852211642062</x:v>
      </x:c>
      <x:c r="H163" s="30" t="n">
        <x:v>0.2925488455018295</x:v>
      </x:c>
      <x:c r="I163" s="30" t="n">
        <x:v>0.6045454545454545</x:v>
      </x:c>
      <x:c r="J163" s="30" t="n">
        <x:v>0.5601010101010101</x:v>
      </x:c>
      <x:c r="K163" s="19" t="n">
        <x:v>1980</x:v>
      </x:c>
      <x:c r="L163" s="74" t="n">
        <x:v>46211.28159711805</x:v>
      </x:c>
      <x:c r="M163" s="19" t="n">
        <x:v>8902245</x:v>
      </x:c>
      <x:c r="N163" t="str">
        <x:v>8f7e606554926462248cbcc654181861438ca768a0063f6b317223ede37d16fb</x:v>
      </x:c>
      <x:c r="O163" t="str">
        <x:v>legacy_common_sample_8902245</x:v>
      </x:c>
      <x:c r="P163" t="str">
        <x:v>factor_report/gtja191_batch/gtja_056/ic_summary.csv</x:v>
      </x:c>
    </x:row>
    <x:row r="164">
      <x:c r="A164" t="str">
        <x:v>gtja_056</x:v>
      </x:c>
      <x:c r="B164" s="50" t="n">
        <x:v>20</x:v>
      </x:c>
      <x:c r="C164" s="30" t="n">
        <x:v>0.016734842262765923</x:v>
      </x:c>
      <x:c r="D164" s="30" t="n">
        <x:v>0.07768866048536378</x:v>
      </x:c>
      <x:c r="E164" s="30" t="n">
        <x:v>0.21540907203463364</x:v>
      </x:c>
      <x:c r="F164" s="30" t="n">
        <x:v>0.03241313674768896</x:v>
      </x:c>
      <x:c r="G164" s="30" t="n">
        <x:v>0.08848711684236264</x:v>
      </x:c>
      <x:c r="H164" s="30" t="n">
        <x:v>0.3663034564165094</x:v>
      </x:c>
      <x:c r="I164" s="30" t="n">
        <x:v>0.6263959390862944</x:v>
      </x:c>
      <x:c r="J164" s="30" t="n">
        <x:v>0.5675126903553299</x:v>
      </x:c>
      <x:c r="K164" s="19" t="n">
        <x:v>1970</x:v>
      </x:c>
      <x:c r="L164" s="74" t="n">
        <x:v>46211.28159711805</x:v>
      </x:c>
      <x:c r="M164" s="19" t="n">
        <x:v>8902245</x:v>
      </x:c>
      <x:c r="N164" t="str">
        <x:v>8f7e606554926462248cbcc654181861438ca768a0063f6b317223ede37d16fb</x:v>
      </x:c>
      <x:c r="O164" t="str">
        <x:v>legacy_common_sample_8902245</x:v>
      </x:c>
      <x:c r="P164" t="str">
        <x:v>factor_report/gtja191_batch/gtja_056/ic_summary.csv</x:v>
      </x:c>
    </x:row>
    <x:row r="165">
      <x:c r="A165" t="str">
        <x:v>gtja_057</x:v>
      </x:c>
      <x:c r="B165" s="50" t="n">
        <x:v>10</x:v>
      </x:c>
      <x:c r="C165" s="30" t="n">
        <x:v>-0.009437973277801052</x:v>
      </x:c>
      <x:c r="D165" s="30" t="n">
        <x:v>0.10678757882946181</x:v>
      </x:c>
      <x:c r="E165" s="30" t="n">
        <x:v>-0.08838081527134682</x:v>
      </x:c>
      <x:c r="F165" s="30" t="n">
        <x:v>-0.018479898515854735</x:v>
      </x:c>
      <x:c r="G165" s="30" t="n">
        <x:v>0.12573196055618183</x:v>
      </x:c>
      <x:c r="H165" s="30" t="n">
        <x:v>-0.1469785282445923</x:v>
      </x:c>
      <x:c r="I165" s="30" t="n">
        <x:v>0.4480160723254646</x:v>
      </x:c>
      <x:c r="J165" s="30" t="n">
        <x:v>0.4816675037669513</x:v>
      </x:c>
      <x:c r="K165" s="19" t="n">
        <x:v>1991</x:v>
      </x:c>
      <x:c r="L165" s="74" t="n">
        <x:v>46211.28466986111</x:v>
      </x:c>
      <x:c r="M165" s="19" t="n">
        <x:v>8902245</x:v>
      </x:c>
      <x:c r="N165" t="str">
        <x:v>8f7e606554926462248cbcc654181861438ca768a0063f6b317223ede37d16fb</x:v>
      </x:c>
      <x:c r="O165" t="str">
        <x:v>legacy_common_sample_8902245</x:v>
      </x:c>
      <x:c r="P165" t="str">
        <x:v>factor_report/gtja191_batch/gtja_057/ic_summary.csv</x:v>
      </x:c>
    </x:row>
    <x:row r="166">
      <x:c r="A166" t="str">
        <x:v>gtja_057</x:v>
      </x:c>
      <x:c r="B166" s="50" t="n">
        <x:v>20</x:v>
      </x:c>
      <x:c r="C166" s="30" t="n">
        <x:v>-0.01356410918189636</x:v>
      </x:c>
      <x:c r="D166" s="30" t="n">
        <x:v>0.1066426226707313</x:v>
      </x:c>
      <x:c r="E166" s="30" t="n">
        <x:v>-0.12719219428592607</x:v>
      </x:c>
      <x:c r="F166" s="30" t="n">
        <x:v>-0.023146052466604495</x:v>
      </x:c>
      <x:c r="G166" s="30" t="n">
        <x:v>0.12507826248836443</x:v>
      </x:c>
      <x:c r="H166" s="30" t="n">
        <x:v>-0.18505255834328277</x:v>
      </x:c>
      <x:c r="I166" s="30" t="n">
        <x:v>0.4548207975769813</x:v>
      </x:c>
      <x:c r="J166" s="30" t="n">
        <x:v>0.4729934376577486</x:v>
      </x:c>
      <x:c r="K166" s="19" t="n">
        <x:v>1981</x:v>
      </x:c>
      <x:c r="L166" s="74" t="n">
        <x:v>46211.28466986111</x:v>
      </x:c>
      <x:c r="M166" s="19" t="n">
        <x:v>8902245</x:v>
      </x:c>
      <x:c r="N166" t="str">
        <x:v>8f7e606554926462248cbcc654181861438ca768a0063f6b317223ede37d16fb</x:v>
      </x:c>
      <x:c r="O166" t="str">
        <x:v>legacy_common_sample_8902245</x:v>
      </x:c>
      <x:c r="P166" t="str">
        <x:v>factor_report/gtja191_batch/gtja_057/ic_summary.csv</x:v>
      </x:c>
    </x:row>
    <x:row r="167">
      <x:c r="A167" t="str">
        <x:v>gtja_058</x:v>
      </x:c>
      <x:c r="B167" s="50" t="n">
        <x:v>1</x:v>
      </x:c>
      <x:c r="C167" s="30" t="n">
        <x:v>-0.0040216071350172985</x:v>
      </x:c>
      <x:c r="D167" s="30" t="n">
        <x:v>0.09822266935808634</x:v>
      </x:c>
      <x:c r="E167" s="30" t="n">
        <x:v>-0.04094377765641749</x:v>
      </x:c>
      <x:c r="F167" s="30" t="n">
        <x:v>-0.016845757410535775</x:v>
      </x:c>
      <x:c r="G167" s="30" t="n">
        <x:v>0.10993387354475967</x:v>
      </x:c>
      <x:c r="H167" s="30" t="n">
        <x:v>-0.153235366564947</x:v>
      </x:c>
      <x:c r="I167" s="30" t="n">
        <x:v>0.4385</x:v>
      </x:c>
      <x:c r="J167" s="30" t="n">
        <x:v>0.4855</x:v>
      </x:c>
      <x:c r="K167" s="19" t="n">
        <x:v>2000</x:v>
      </x:c>
      <x:c r="L167" s="74" t="n">
        <x:v>46210.36385592593</x:v>
      </x:c>
      <x:c r="M167" s="19" t="n">
        <x:v>8902245</x:v>
      </x:c>
      <x:c r="N167" t="str">
        <x:v>40355b29bce094aef0e99358bdfd4011b92e72a54440a67760de4afae4883c33</x:v>
      </x:c>
      <x:c r="O167" t="str">
        <x:v>legacy_common_sample_8902245</x:v>
      </x:c>
      <x:c r="P167" t="str">
        <x:v>factor_report/gtja191_batch/gtja_058/ic_summary.csv</x:v>
      </x:c>
    </x:row>
    <x:row r="168">
      <x:c r="A168" t="str">
        <x:v>gtja_058</x:v>
      </x:c>
      <x:c r="B168" s="50" t="n">
        <x:v>5</x:v>
      </x:c>
      <x:c r="C168" s="30" t="n">
        <x:v>-0.008415631215240976</x:v>
      </x:c>
      <x:c r="D168" s="30" t="n">
        <x:v>0.09156703889304685</x:v>
      </x:c>
      <x:c r="E168" s="30" t="n">
        <x:v>-0.09190677471912896</x:v>
      </x:c>
      <x:c r="F168" s="30" t="n">
        <x:v>-0.022578085737218086</x:v>
      </x:c>
      <x:c r="G168" s="30" t="n">
        <x:v>0.10219846366877074</x:v>
      </x:c>
      <x:c r="H168" s="30" t="n">
        <x:v>-0.22092392514230502</x:v>
      </x:c>
      <x:c r="I168" s="30" t="n">
        <x:v>0.41583166332665333</x:v>
      </x:c>
      <x:c r="J168" s="30" t="n">
        <x:v>0.4754509018036072</x:v>
      </x:c>
      <x:c r="K168" s="19" t="n">
        <x:v>1996</x:v>
      </x:c>
      <x:c r="L168" s="74" t="n">
        <x:v>46210.36385592593</x:v>
      </x:c>
      <x:c r="M168" s="19" t="n">
        <x:v>8902245</x:v>
      </x:c>
      <x:c r="N168" t="str">
        <x:v>40355b29bce094aef0e99358bdfd4011b92e72a54440a67760de4afae4883c33</x:v>
      </x:c>
      <x:c r="O168" t="str">
        <x:v>legacy_common_sample_8902245</x:v>
      </x:c>
      <x:c r="P168" t="str">
        <x:v>factor_report/gtja191_batch/gtja_058/ic_summary.csv</x:v>
      </x:c>
    </x:row>
    <x:row r="169">
      <x:c r="A169" t="str">
        <x:v>gtja_058</x:v>
      </x:c>
      <x:c r="B169" s="50" t="n">
        <x:v>10</x:v>
      </x:c>
      <x:c r="C169" s="30" t="n">
        <x:v>-0.011066097293152184</x:v>
      </x:c>
      <x:c r="D169" s="30" t="n">
        <x:v>0.08981598608939674</x:v>
      </x:c>
      <x:c r="E169" s="30" t="n">
        <x:v>-0.12320854866680127</x:v>
      </x:c>
      <x:c r="F169" s="30" t="n">
        <x:v>-0.027364265891806076</x:v>
      </x:c>
      <x:c r="G169" s="30" t="n">
        <x:v>0.10033307426134769</x:v>
      </x:c>
      <x:c r="H169" s="30" t="n">
        <x:v>-0.27273425132501783</x:v>
      </x:c>
      <x:c r="I169" s="30" t="n">
        <x:v>0.41587142139628325</x:v>
      </x:c>
      <x:c r="J169" s="30" t="n">
        <x:v>0.472626820693119</x:v>
      </x:c>
      <x:c r="K169" s="19" t="n">
        <x:v>1991</x:v>
      </x:c>
      <x:c r="L169" s="74" t="n">
        <x:v>46210.36385592593</x:v>
      </x:c>
      <x:c r="M169" s="19" t="n">
        <x:v>8902245</x:v>
      </x:c>
      <x:c r="N169" t="str">
        <x:v>40355b29bce094aef0e99358bdfd4011b92e72a54440a67760de4afae4883c33</x:v>
      </x:c>
      <x:c r="O169" t="str">
        <x:v>legacy_common_sample_8902245</x:v>
      </x:c>
      <x:c r="P169" t="str">
        <x:v>factor_report/gtja191_batch/gtja_058/ic_summary.csv</x:v>
      </x:c>
    </x:row>
    <x:row r="170">
      <x:c r="A170" t="str">
        <x:v>gtja_058</x:v>
      </x:c>
      <x:c r="B170" s="50" t="n">
        <x:v>20</x:v>
      </x:c>
      <x:c r="C170" s="30" t="n">
        <x:v>-0.015909565993262417</x:v>
      </x:c>
      <x:c r="D170" s="30" t="n">
        <x:v>0.09242878256488948</x:v>
      </x:c>
      <x:c r="E170" s="30" t="n">
        <x:v>-0.17212783238914925</x:v>
      </x:c>
      <x:c r="F170" s="30" t="n">
        <x:v>-0.035209552716903916</x:v>
      </x:c>
      <x:c r="G170" s="30" t="n">
        <x:v>0.10314637761879196</x:v>
      </x:c>
      <x:c r="H170" s="30" t="n">
        <x:v>-0.3413552034471949</x:v>
      </x:c>
      <x:c r="I170" s="30" t="n">
        <x:v>0.39374053508329127</x:v>
      </x:c>
      <x:c r="J170" s="30" t="n">
        <x:v>0.45532559313478044</x:v>
      </x:c>
      <x:c r="K170" s="19" t="n">
        <x:v>1981</x:v>
      </x:c>
      <x:c r="L170" s="74" t="n">
        <x:v>46210.36385592593</x:v>
      </x:c>
      <x:c r="M170" s="19" t="n">
        <x:v>8902245</x:v>
      </x:c>
      <x:c r="N170" t="str">
        <x:v>40355b29bce094aef0e99358bdfd4011b92e72a54440a67760de4afae4883c33</x:v>
      </x:c>
      <x:c r="O170" t="str">
        <x:v>legacy_common_sample_8902245</x:v>
      </x:c>
      <x:c r="P170" t="str">
        <x:v>factor_report/gtja191_batch/gtja_058/ic_summary.csv</x:v>
      </x:c>
    </x:row>
    <x:row r="171">
      <x:c r="A171" t="str">
        <x:v>gtja_059</x:v>
      </x:c>
      <x:c r="B171" s="50" t="n">
        <x:v>1</x:v>
      </x:c>
      <x:c r="C171" s="30" t="n">
        <x:v>-0.011624692160520268</x:v>
      </x:c>
      <x:c r="D171" s="30" t="n">
        <x:v>0.09358814241368577</x:v>
      </x:c>
      <x:c r="E171" s="30" t="n">
        <x:v>-0.12421116458467438</x:v>
      </x:c>
      <x:c r="F171" s="30" t="n">
        <x:v>-0.03241157048272622</x:v>
      </x:c>
      <x:c r="G171" s="30" t="n">
        <x:v>0.13972536845984782</x:v>
      </x:c>
      <x:c r="H171" s="30" t="n">
        <x:v>-0.2319662552333163</x:v>
      </x:c>
      <x:c r="I171" s="30" t="n">
        <x:v>0.39</x:v>
      </x:c>
      <x:c r="J171" s="30" t="n">
        <x:v>0.446</x:v>
      </x:c>
      <x:c r="K171" s="19" t="n">
        <x:v>2000</x:v>
      </x:c>
      <x:c r="L171" s="74" t="n">
        <x:v>46210.36786096065</x:v>
      </x:c>
      <x:c r="M171" s="19" t="n">
        <x:v>8902245</x:v>
      </x:c>
      <x:c r="N171" t="str">
        <x:v>40355b29bce094aef0e99358bdfd4011b92e72a54440a67760de4afae4883c33</x:v>
      </x:c>
      <x:c r="O171" t="str">
        <x:v>legacy_common_sample_8902245</x:v>
      </x:c>
      <x:c r="P171" t="str">
        <x:v>factor_report/gtja191_batch/gtja_059/ic_summary.csv</x:v>
      </x:c>
    </x:row>
    <x:row r="172">
      <x:c r="A172" t="str">
        <x:v>gtja_059</x:v>
      </x:c>
      <x:c r="B172" s="50" t="n">
        <x:v>5</x:v>
      </x:c>
      <x:c r="C172" s="30" t="n">
        <x:v>-0.02078227807110975</x:v>
      </x:c>
      <x:c r="D172" s="30" t="n">
        <x:v>0.08619568043680646</x:v>
      </x:c>
      <x:c r="E172" s="30" t="n">
        <x:v>-0.24110579516042083</x:v>
      </x:c>
      <x:c r="F172" s="30" t="n">
        <x:v>-0.04765092063494312</x:v>
      </x:c>
      <x:c r="G172" s="30" t="n">
        <x:v>0.13113632070671788</x:v>
      </x:c>
      <x:c r="H172" s="30" t="n">
        <x:v>-0.3633693577655946</x:v>
      </x:c>
      <x:c r="I172" s="30" t="n">
        <x:v>0.3486973947895792</x:v>
      </x:c>
      <x:c r="J172" s="30" t="n">
        <x:v>0.39929859719438876</x:v>
      </x:c>
      <x:c r="K172" s="19" t="n">
        <x:v>1996</x:v>
      </x:c>
      <x:c r="L172" s="74" t="n">
        <x:v>46210.36786096065</x:v>
      </x:c>
      <x:c r="M172" s="19" t="n">
        <x:v>8902245</x:v>
      </x:c>
      <x:c r="N172" t="str">
        <x:v>40355b29bce094aef0e99358bdfd4011b92e72a54440a67760de4afae4883c33</x:v>
      </x:c>
      <x:c r="O172" t="str">
        <x:v>legacy_common_sample_8902245</x:v>
      </x:c>
      <x:c r="P172" t="str">
        <x:v>factor_report/gtja191_batch/gtja_059/ic_summary.csv</x:v>
      </x:c>
    </x:row>
    <x:row r="173">
      <x:c r="A173" t="str">
        <x:v>gtja_059</x:v>
      </x:c>
      <x:c r="B173" s="50" t="n">
        <x:v>10</x:v>
      </x:c>
      <x:c r="C173" s="30" t="n">
        <x:v>-0.024980424792102687</x:v>
      </x:c>
      <x:c r="D173" s="30" t="n">
        <x:v>0.08304157777360704</x:v>
      </x:c>
      <x:c r="E173" s="30" t="n">
        <x:v>-0.30081828238145747</x:v>
      </x:c>
      <x:c r="F173" s="30" t="n">
        <x:v>-0.05652192099592995</x:v>
      </x:c>
      <x:c r="G173" s="30" t="n">
        <x:v>0.12629519790066987</x:v>
      </x:c>
      <x:c r="H173" s="30" t="n">
        <x:v>-0.4475381640431331</x:v>
      </x:c>
      <x:c r="I173" s="30" t="n">
        <x:v>0.32847815168257155</x:v>
      </x:c>
      <x:c r="J173" s="30" t="n">
        <x:v>0.3832245102963335</x:v>
      </x:c>
      <x:c r="K173" s="19" t="n">
        <x:v>1991</x:v>
      </x:c>
      <x:c r="L173" s="74" t="n">
        <x:v>46210.36786096065</x:v>
      </x:c>
      <x:c r="M173" s="19" t="n">
        <x:v>8902245</x:v>
      </x:c>
      <x:c r="N173" t="str">
        <x:v>40355b29bce094aef0e99358bdfd4011b92e72a54440a67760de4afae4883c33</x:v>
      </x:c>
      <x:c r="O173" t="str">
        <x:v>legacy_common_sample_8902245</x:v>
      </x:c>
      <x:c r="P173" t="str">
        <x:v>factor_report/gtja191_batch/gtja_059/ic_summary.csv</x:v>
      </x:c>
    </x:row>
    <x:row r="174">
      <x:c r="A174" t="str">
        <x:v>gtja_059</x:v>
      </x:c>
      <x:c r="B174" s="50" t="n">
        <x:v>20</x:v>
      </x:c>
      <x:c r="C174" s="30" t="n">
        <x:v>-0.026513978588463143</x:v>
      </x:c>
      <x:c r="D174" s="30" t="n">
        <x:v>0.08569526943739215</x:v>
      </x:c>
      <x:c r="E174" s="30" t="n">
        <x:v>-0.3093983922628764</x:v>
      </x:c>
      <x:c r="F174" s="30" t="n">
        <x:v>-0.06446362844496573</x:v>
      </x:c>
      <x:c r="G174" s="30" t="n">
        <x:v>0.1271750999895543</x:v>
      </x:c>
      <x:c r="H174" s="30" t="n">
        <x:v>-0.5068887577069766</x:v>
      </x:c>
      <x:c r="I174" s="30" t="n">
        <x:v>0.30792529025744575</x:v>
      </x:c>
      <x:c r="J174" s="30" t="n">
        <x:v>0.36042402826855124</x:v>
      </x:c>
      <x:c r="K174" s="19" t="n">
        <x:v>1981</x:v>
      </x:c>
      <x:c r="L174" s="74" t="n">
        <x:v>46210.36786096065</x:v>
      </x:c>
      <x:c r="M174" s="19" t="n">
        <x:v>8902245</x:v>
      </x:c>
      <x:c r="N174" t="str">
        <x:v>40355b29bce094aef0e99358bdfd4011b92e72a54440a67760de4afae4883c33</x:v>
      </x:c>
      <x:c r="O174" t="str">
        <x:v>legacy_common_sample_8902245</x:v>
      </x:c>
      <x:c r="P174" t="str">
        <x:v>factor_report/gtja191_batch/gtja_059/ic_summary.csv</x:v>
      </x:c>
    </x:row>
    <x:row r="175">
      <x:c r="A175" t="str">
        <x:v>gtja_060</x:v>
      </x:c>
      <x:c r="B175" s="50" t="n">
        <x:v>1</x:v>
      </x:c>
      <x:c r="C175" s="30" t="n">
        <x:v>-0.005138306780341017</x:v>
      </x:c>
      <x:c r="D175" s="30" t="n">
        <x:v>0.062101623727388686</x:v>
      </x:c>
      <x:c r="E175" s="30" t="n">
        <x:v>-0.0827402968221404</x:v>
      </x:c>
      <x:c r="F175" s="30" t="n">
        <x:v>-0.011815777105240049</x:v>
      </x:c>
      <x:c r="G175" s="30" t="n">
        <x:v>0.10228609687148074</x:v>
      </x:c>
      <x:c r="H175" s="30" t="n">
        <x:v>-0.11551694185854212</x:v>
      </x:c>
      <x:c r="I175" s="30" t="n">
        <x:v>0.4545</x:v>
      </x:c>
      <x:c r="J175" s="30" t="n">
        <x:v>0.467</x:v>
      </x:c>
      <x:c r="K175" s="19" t="n">
        <x:v>2000</x:v>
      </x:c>
      <x:c r="L175" s="74" t="n">
        <x:v>46210.37184259259</x:v>
      </x:c>
      <x:c r="M175" s="19" t="n">
        <x:v>8902245</x:v>
      </x:c>
      <x:c r="N175" t="str">
        <x:v>40355b29bce094aef0e99358bdfd4011b92e72a54440a67760de4afae4883c33</x:v>
      </x:c>
      <x:c r="O175" t="str">
        <x:v>legacy_common_sample_8902245</x:v>
      </x:c>
      <x:c r="P175" t="str">
        <x:v>factor_report/gtja191_batch/gtja_060/ic_summary.csv</x:v>
      </x:c>
    </x:row>
    <x:row r="176">
      <x:c r="A176" t="str">
        <x:v>gtja_060</x:v>
      </x:c>
      <x:c r="B176" s="50" t="n">
        <x:v>5</x:v>
      </x:c>
      <x:c r="C176" s="30" t="n">
        <x:v>-0.009395251418753036</x:v>
      </x:c>
      <x:c r="D176" s="30" t="n">
        <x:v>0.05771770335575995</x:v>
      </x:c>
      <x:c r="E176" s="30" t="n">
        <x:v>-0.16277937049647756</x:v>
      </x:c>
      <x:c r="F176" s="30" t="n">
        <x:v>-0.015488033351198223</x:v>
      </x:c>
      <x:c r="G176" s="30" t="n">
        <x:v>0.0957444504327126</x:v>
      </x:c>
      <x:c r="H176" s="30" t="n">
        <x:v>-0.1617642931908928</x:v>
      </x:c>
      <x:c r="I176" s="30" t="n">
        <x:v>0.42935871743486975</x:v>
      </x:c>
      <x:c r="J176" s="30" t="n">
        <x:v>0.4534068136272545</x:v>
      </x:c>
      <x:c r="K176" s="19" t="n">
        <x:v>1996</x:v>
      </x:c>
      <x:c r="L176" s="74" t="n">
        <x:v>46210.37184259259</x:v>
      </x:c>
      <x:c r="M176" s="19" t="n">
        <x:v>8902245</x:v>
      </x:c>
      <x:c r="N176" t="str">
        <x:v>40355b29bce094aef0e99358bdfd4011b92e72a54440a67760de4afae4883c33</x:v>
      </x:c>
      <x:c r="O176" t="str">
        <x:v>legacy_common_sample_8902245</x:v>
      </x:c>
      <x:c r="P176" t="str">
        <x:v>factor_report/gtja191_batch/gtja_060/ic_summary.csv</x:v>
      </x:c>
    </x:row>
    <x:row r="177">
      <x:c r="A177" t="str">
        <x:v>gtja_060</x:v>
      </x:c>
      <x:c r="B177" s="50" t="n">
        <x:v>10</x:v>
      </x:c>
      <x:c r="C177" s="30" t="n">
        <x:v>-0.012458570156869525</x:v>
      </x:c>
      <x:c r="D177" s="30" t="n">
        <x:v>0.05536851562362017</x:v>
      </x:c>
      <x:c r="E177" s="30" t="n">
        <x:v>-0.22501181432349449</x:v>
      </x:c>
      <x:c r="F177" s="30" t="n">
        <x:v>-0.02001290122792241</x:v>
      </x:c>
      <x:c r="G177" s="30" t="n">
        <x:v>0.09228894636118828</x:v>
      </x:c>
      <x:c r="H177" s="30" t="n">
        <x:v>-0.21685046819798506</x:v>
      </x:c>
      <x:c r="I177" s="30" t="n">
        <x:v>0.4178804620793571</x:v>
      </x:c>
      <x:c r="J177" s="30" t="n">
        <x:v>0.413360120542441</x:v>
      </x:c>
      <x:c r="K177" s="19" t="n">
        <x:v>1991</x:v>
      </x:c>
      <x:c r="L177" s="74" t="n">
        <x:v>46210.37184259259</x:v>
      </x:c>
      <x:c r="M177" s="19" t="n">
        <x:v>8902245</x:v>
      </x:c>
      <x:c r="N177" t="str">
        <x:v>40355b29bce094aef0e99358bdfd4011b92e72a54440a67760de4afae4883c33</x:v>
      </x:c>
      <x:c r="O177" t="str">
        <x:v>legacy_common_sample_8902245</x:v>
      </x:c>
      <x:c r="P177" t="str">
        <x:v>factor_report/gtja191_batch/gtja_060/ic_summary.csv</x:v>
      </x:c>
    </x:row>
    <x:row r="178">
      <x:c r="A178" t="str">
        <x:v>gtja_060</x:v>
      </x:c>
      <x:c r="B178" s="50" t="n">
        <x:v>20</x:v>
      </x:c>
      <x:c r="C178" s="30" t="n">
        <x:v>-0.016329541257783086</x:v>
      </x:c>
      <x:c r="D178" s="30" t="n">
        <x:v>0.05479090547849752</x:v>
      </x:c>
      <x:c r="E178" s="30" t="n">
        <x:v>-0.29803379073907715</x:v>
      </x:c>
      <x:c r="F178" s="30" t="n">
        <x:v>-0.027584066159598453</x:v>
      </x:c>
      <x:c r="G178" s="30" t="n">
        <x:v>0.09365968639086392</x:v>
      </x:c>
      <x:c r="H178" s="30" t="n">
        <x:v>-0.2945137574397127</x:v>
      </x:c>
      <x:c r="I178" s="30" t="n">
        <x:v>0.39979808177688037</x:v>
      </x:c>
      <x:c r="J178" s="30" t="n">
        <x:v>0.3902069661786976</x:v>
      </x:c>
      <x:c r="K178" s="19" t="n">
        <x:v>1981</x:v>
      </x:c>
      <x:c r="L178" s="74" t="n">
        <x:v>46210.37184259259</x:v>
      </x:c>
      <x:c r="M178" s="19" t="n">
        <x:v>8902245</x:v>
      </x:c>
      <x:c r="N178" t="str">
        <x:v>40355b29bce094aef0e99358bdfd4011b92e72a54440a67760de4afae4883c33</x:v>
      </x:c>
      <x:c r="O178" t="str">
        <x:v>legacy_common_sample_8902245</x:v>
      </x:c>
      <x:c r="P178" t="str">
        <x:v>factor_report/gtja191_batch/gtja_060/ic_summary.csv</x:v>
      </x:c>
    </x:row>
    <x:row r="179">
      <x:c r="A179" t="str">
        <x:v>gtja_061</x:v>
      </x:c>
      <x:c r="B179" s="50" t="n">
        <x:v>10</x:v>
      </x:c>
      <x:c r="C179" s="30" t="n">
        <x:v>0.02281897648035449</x:v>
      </x:c>
      <x:c r="D179" s="30" t="n">
        <x:v>0.07915748094964975</x:v>
      </x:c>
      <x:c r="E179" s="30" t="n">
        <x:v>0.2882731512751033</x:v>
      </x:c>
      <x:c r="F179" s="30" t="n">
        <x:v>0.0476882830147672</x:v>
      </x:c>
      <x:c r="G179" s="30" t="n">
        <x:v>0.0920964784862326</x:v>
      </x:c>
      <x:c r="H179" s="30" t="n">
        <x:v>0.5178078879736543</x:v>
      </x:c>
      <x:c r="I179" s="30" t="n">
        <x:v>0.7087827426810478</x:v>
      </x:c>
      <x:c r="J179" s="30" t="n">
        <x:v>0.6086286594761171</x:v>
      </x:c>
      <x:c r="K179" s="19" t="n">
        <x:v>1947</x:v>
      </x:c>
      <x:c r="L179" s="74" t="n">
        <x:v>46211.287648680554</x:v>
      </x:c>
      <x:c r="M179" s="19" t="n">
        <x:v>8902245</x:v>
      </x:c>
      <x:c r="N179" t="str">
        <x:v>8f7e606554926462248cbcc654181861438ca768a0063f6b317223ede37d16fb</x:v>
      </x:c>
      <x:c r="O179" t="str">
        <x:v>legacy_common_sample_8902245</x:v>
      </x:c>
      <x:c r="P179" t="str">
        <x:v>factor_report/gtja191_batch/gtja_061/ic_summary.csv</x:v>
      </x:c>
    </x:row>
    <x:row r="180">
      <x:c r="A180" t="str">
        <x:v>gtja_061</x:v>
      </x:c>
      <x:c r="B180" s="50" t="n">
        <x:v>20</x:v>
      </x:c>
      <x:c r="C180" s="30" t="n">
        <x:v>0.024912745428397262</x:v>
      </x:c>
      <x:c r="D180" s="30" t="n">
        <x:v>0.07963040978518868</x:v>
      </x:c>
      <x:c r="E180" s="30" t="n">
        <x:v>0.31285466815506774</x:v>
      </x:c>
      <x:c r="F180" s="30" t="n">
        <x:v>0.0524166661641735</x:v>
      </x:c>
      <x:c r="G180" s="30" t="n">
        <x:v>0.09336431784432507</x:v>
      </x:c>
      <x:c r="H180" s="30" t="n">
        <x:v>0.5614207587482473</x:v>
      </x:c>
      <x:c r="I180" s="30" t="n">
        <x:v>0.7243159525038719</x:v>
      </x:c>
      <x:c r="J180" s="30" t="n">
        <x:v>0.628291171915333</x:v>
      </x:c>
      <x:c r="K180" s="19" t="n">
        <x:v>1937</x:v>
      </x:c>
      <x:c r="L180" s="74" t="n">
        <x:v>46211.287648680554</x:v>
      </x:c>
      <x:c r="M180" s="19" t="n">
        <x:v>8902245</x:v>
      </x:c>
      <x:c r="N180" t="str">
        <x:v>8f7e606554926462248cbcc654181861438ca768a0063f6b317223ede37d16fb</x:v>
      </x:c>
      <x:c r="O180" t="str">
        <x:v>legacy_common_sample_8902245</x:v>
      </x:c>
      <x:c r="P180" t="str">
        <x:v>factor_report/gtja191_batch/gtja_061/ic_summary.csv</x:v>
      </x:c>
    </x:row>
    <x:row r="181">
      <x:c r="A181" t="str">
        <x:v>gtja_062</x:v>
      </x:c>
      <x:c r="B181" s="50" t="n">
        <x:v>10</x:v>
      </x:c>
      <x:c r="C181" s="30" t="n">
        <x:v>0.020164188112098073</x:v>
      </x:c>
      <x:c r="D181" s="30" t="n">
        <x:v>0.053673980031854106</x:v>
      </x:c>
      <x:c r="E181" s="30" t="n">
        <x:v>0.37567901802942794</x:v>
      </x:c>
      <x:c r="F181" s="30" t="n">
        <x:v>0.045392270522241325</x:v>
      </x:c>
      <x:c r="G181" s="30" t="n">
        <x:v>0.06397345193807814</x:v>
      </x:c>
      <x:c r="H181" s="30" t="n">
        <x:v>0.7095485572074162</x:v>
      </x:c>
      <x:c r="I181" s="30" t="n">
        <x:v>0.7709693621295831</x:v>
      </x:c>
      <x:c r="J181" s="30" t="n">
        <x:v>0.6609743847312908</x:v>
      </x:c>
      <x:c r="K181" s="19" t="n">
        <x:v>1991</x:v>
      </x:c>
      <x:c r="L181" s="74" t="n">
        <x:v>46211.290294004626</x:v>
      </x:c>
      <x:c r="M181" s="19" t="n">
        <x:v>8902245</x:v>
      </x:c>
      <x:c r="N181" t="str">
        <x:v>8f7e606554926462248cbcc654181861438ca768a0063f6b317223ede37d16fb</x:v>
      </x:c>
      <x:c r="O181" t="str">
        <x:v>legacy_common_sample_8902245</x:v>
      </x:c>
      <x:c r="P181" t="str">
        <x:v>factor_report/gtja191_batch/gtja_062/ic_summary.csv</x:v>
      </x:c>
    </x:row>
    <x:row r="182">
      <x:c r="A182" t="str">
        <x:v>gtja_062</x:v>
      </x:c>
      <x:c r="B182" s="50" t="n">
        <x:v>20</x:v>
      </x:c>
      <x:c r="C182" s="30" t="n">
        <x:v>0.024972285268116227</x:v>
      </x:c>
      <x:c r="D182" s="30" t="n">
        <x:v>0.0504249658369514</x:v>
      </x:c>
      <x:c r="E182" s="30" t="n">
        <x:v>0.4952365332058697</x:v>
      </x:c>
      <x:c r="F182" s="30" t="n">
        <x:v>0.04954705953979472</x:v>
      </x:c>
      <x:c r="G182" s="30" t="n">
        <x:v>0.05959154420453773</x:v>
      </x:c>
      <x:c r="H182" s="30" t="n">
        <x:v>0.8314444641631195</x:v>
      </x:c>
      <x:c r="I182" s="30" t="n">
        <x:v>0.8101968702675416</x:v>
      </x:c>
      <x:c r="J182" s="30" t="n">
        <x:v>0.6986370519939424</x:v>
      </x:c>
      <x:c r="K182" s="19" t="n">
        <x:v>1981</x:v>
      </x:c>
      <x:c r="L182" s="74" t="n">
        <x:v>46211.290294004626</x:v>
      </x:c>
      <x:c r="M182" s="19" t="n">
        <x:v>8902245</x:v>
      </x:c>
      <x:c r="N182" t="str">
        <x:v>8f7e606554926462248cbcc654181861438ca768a0063f6b317223ede37d16fb</x:v>
      </x:c>
      <x:c r="O182" t="str">
        <x:v>legacy_common_sample_8902245</x:v>
      </x:c>
      <x:c r="P182" t="str">
        <x:v>factor_report/gtja191_batch/gtja_062/ic_summary.csv</x:v>
      </x:c>
    </x:row>
    <x:row r="183">
      <x:c r="A183" t="str">
        <x:v>gtja_063</x:v>
      </x:c>
      <x:c r="B183" s="50" t="n">
        <x:v>1</x:v>
      </x:c>
      <x:c r="C183" s="30" t="n">
        <x:v>-0.009435163934570688</x:v>
      </x:c>
      <x:c r="D183" s="30" t="n">
        <x:v>0.12533825411782226</x:v>
      </x:c>
      <x:c r="E183" s="30" t="n">
        <x:v>-0.07527760779004716</x:v>
      </x:c>
      <x:c r="F183" s="30" t="n">
        <x:v>-0.029626434173609568</x:v>
      </x:c>
      <x:c r="G183" s="30" t="n">
        <x:v>0.14490637499146805</x:v>
      </x:c>
      <x:c r="H183" s="30" t="n">
        <x:v>-0.2044522483938608</x:v>
      </x:c>
      <x:c r="I183" s="30" t="n">
        <x:v>0.417</x:v>
      </x:c>
      <x:c r="J183" s="30" t="n">
        <x:v>0.4765</x:v>
      </x:c>
      <x:c r="K183" s="19" t="n">
        <x:v>2000</x:v>
      </x:c>
      <x:c r="L183" s="74" t="n">
        <x:v>46210.385858483794</x:v>
      </x:c>
      <x:c r="M183" s="19" t="n">
        <x:v>8902245</x:v>
      </x:c>
      <x:c r="N183" t="str">
        <x:v>40355b29bce094aef0e99358bdfd4011b92e72a54440a67760de4afae4883c33</x:v>
      </x:c>
      <x:c r="O183" t="str">
        <x:v>legacy_common_sample_8902245</x:v>
      </x:c>
      <x:c r="P183" t="str">
        <x:v>factor_report/gtja191_batch/gtja_063/ic_summary.csv</x:v>
      </x:c>
    </x:row>
    <x:row r="184">
      <x:c r="A184" t="str">
        <x:v>gtja_063</x:v>
      </x:c>
      <x:c r="B184" s="50" t="n">
        <x:v>5</x:v>
      </x:c>
      <x:c r="C184" s="30" t="n">
        <x:v>-0.01573562574316474</x:v>
      </x:c>
      <x:c r="D184" s="30" t="n">
        <x:v>0.1127696740176673</x:v>
      </x:c>
      <x:c r="E184" s="30" t="n">
        <x:v>-0.13953774257341106</x:v>
      </x:c>
      <x:c r="F184" s="30" t="n">
        <x:v>-0.03165498417135638</x:v>
      </x:c>
      <x:c r="G184" s="30" t="n">
        <x:v>0.13122461240273733</x:v>
      </x:c>
      <x:c r="H184" s="30" t="n">
        <x:v>-0.2412274922497394</x:v>
      </x:c>
      <x:c r="I184" s="30" t="n">
        <x:v>0.39929859719438876</x:v>
      </x:c>
      <x:c r="J184" s="30" t="n">
        <x:v>0.437374749498998</x:v>
      </x:c>
      <x:c r="K184" s="19" t="n">
        <x:v>1996</x:v>
      </x:c>
      <x:c r="L184" s="74" t="n">
        <x:v>46210.385858483794</x:v>
      </x:c>
      <x:c r="M184" s="19" t="n">
        <x:v>8902245</x:v>
      </x:c>
      <x:c r="N184" t="str">
        <x:v>40355b29bce094aef0e99358bdfd4011b92e72a54440a67760de4afae4883c33</x:v>
      </x:c>
      <x:c r="O184" t="str">
        <x:v>legacy_common_sample_8902245</x:v>
      </x:c>
      <x:c r="P184" t="str">
        <x:v>factor_report/gtja191_batch/gtja_063/ic_summary.csv</x:v>
      </x:c>
    </x:row>
    <x:row r="185">
      <x:c r="A185" t="str">
        <x:v>gtja_063</x:v>
      </x:c>
      <x:c r="B185" s="50" t="n">
        <x:v>10</x:v>
      </x:c>
      <x:c r="C185" s="30" t="n">
        <x:v>-0.015548512248533087</x:v>
      </x:c>
      <x:c r="D185" s="30" t="n">
        <x:v>0.10923444997405644</x:v>
      </x:c>
      <x:c r="E185" s="30" t="n">
        <x:v>-0.1423407382215584</x:v>
      </x:c>
      <x:c r="F185" s="30" t="n">
        <x:v>-0.03214577550026036</x:v>
      </x:c>
      <x:c r="G185" s="30" t="n">
        <x:v>0.127850657984467</x:v>
      </x:c>
      <x:c r="H185" s="30" t="n">
        <x:v>-0.25143222574705765</x:v>
      </x:c>
      <x:c r="I185" s="30" t="n">
        <x:v>0.40733299849321947</x:v>
      </x:c>
      <x:c r="J185" s="30" t="n">
        <x:v>0.45605223505775994</x:v>
      </x:c>
      <x:c r="K185" s="19" t="n">
        <x:v>1991</x:v>
      </x:c>
      <x:c r="L185" s="74" t="n">
        <x:v>46210.385858483794</x:v>
      </x:c>
      <x:c r="M185" s="19" t="n">
        <x:v>8902245</x:v>
      </x:c>
      <x:c r="N185" t="str">
        <x:v>40355b29bce094aef0e99358bdfd4011b92e72a54440a67760de4afae4883c33</x:v>
      </x:c>
      <x:c r="O185" t="str">
        <x:v>legacy_common_sample_8902245</x:v>
      </x:c>
      <x:c r="P185" t="str">
        <x:v>factor_report/gtja191_batch/gtja_063/ic_summary.csv</x:v>
      </x:c>
    </x:row>
    <x:row r="186">
      <x:c r="A186" t="str">
        <x:v>gtja_063</x:v>
      </x:c>
      <x:c r="B186" s="50" t="n">
        <x:v>20</x:v>
      </x:c>
      <x:c r="C186" s="30" t="n">
        <x:v>-0.01891576978835062</x:v>
      </x:c>
      <x:c r="D186" s="30" t="n">
        <x:v>0.10738919649063214</x:v>
      </x:c>
      <x:c r="E186" s="30" t="n">
        <x:v>-0.17614220430451488</x:v>
      </x:c>
      <x:c r="F186" s="30" t="n">
        <x:v>-0.03637963851538203</x:v>
      </x:c>
      <x:c r="G186" s="30" t="n">
        <x:v>0.12510748148979678</x:v>
      </x:c>
      <x:c r="H186" s="30" t="n">
        <x:v>-0.29078707429938144</x:v>
      </x:c>
      <x:c r="I186" s="30" t="n">
        <x:v>0.39121655729429583</x:v>
      </x:c>
      <x:c r="J186" s="30" t="n">
        <x:v>0.4482584553255931</x:v>
      </x:c>
      <x:c r="K186" s="19" t="n">
        <x:v>1981</x:v>
      </x:c>
      <x:c r="L186" s="74" t="n">
        <x:v>46210.385858483794</x:v>
      </x:c>
      <x:c r="M186" s="19" t="n">
        <x:v>8902245</x:v>
      </x:c>
      <x:c r="N186" t="str">
        <x:v>40355b29bce094aef0e99358bdfd4011b92e72a54440a67760de4afae4883c33</x:v>
      </x:c>
      <x:c r="O186" t="str">
        <x:v>legacy_common_sample_8902245</x:v>
      </x:c>
      <x:c r="P186" t="str">
        <x:v>factor_report/gtja191_batch/gtja_063/ic_summary.csv</x:v>
      </x:c>
    </x:row>
    <x:row r="187">
      <x:c r="A187" t="str">
        <x:v>gtja_064</x:v>
      </x:c>
      <x:c r="B187" s="50" t="n">
        <x:v>10</x:v>
      </x:c>
      <x:c r="C187" s="30" t="n">
        <x:v>0.014668652507403995</x:v>
      </x:c>
      <x:c r="D187" s="30" t="n">
        <x:v>0.04602849211685684</x:v>
      </x:c>
      <x:c r="E187" s="30" t="n">
        <x:v>0.3186863577925454</x:v>
      </x:c>
      <x:c r="F187" s="30" t="n">
        <x:v>0.035302286603448786</x:v>
      </x:c>
      <x:c r="G187" s="30" t="n">
        <x:v>0.05048674595371734</x:v>
      </x:c>
      <x:c r="H187" s="30" t="n">
        <x:v>0.699238699911684</x:v>
      </x:c>
      <x:c r="I187" s="30" t="n">
        <x:v>0.7660550458715596</x:v>
      </x:c>
      <x:c r="J187" s="30" t="n">
        <x:v>0.6258919469928644</x:v>
      </x:c>
      <x:c r="K187" s="19" t="n">
        <x:v>1962</x:v>
      </x:c>
      <x:c r="L187" s="74" t="n">
        <x:v>46211.2933559838</x:v>
      </x:c>
      <x:c r="M187" s="19" t="n">
        <x:v>8902245</x:v>
      </x:c>
      <x:c r="N187" t="str">
        <x:v>8f7e606554926462248cbcc654181861438ca768a0063f6b317223ede37d16fb</x:v>
      </x:c>
      <x:c r="O187" t="str">
        <x:v>legacy_common_sample_8902245</x:v>
      </x:c>
      <x:c r="P187" t="str">
        <x:v>factor_report/gtja191_batch/gtja_064/ic_summary.csv</x:v>
      </x:c>
    </x:row>
    <x:row r="188">
      <x:c r="A188" t="str">
        <x:v>gtja_064</x:v>
      </x:c>
      <x:c r="B188" s="50" t="n">
        <x:v>20</x:v>
      </x:c>
      <x:c r="C188" s="30" t="n">
        <x:v>0.016671270189241895</x:v>
      </x:c>
      <x:c r="D188" s="30" t="n">
        <x:v>0.044844396552467886</x:v>
      </x:c>
      <x:c r="E188" s="30" t="n">
        <x:v>0.3717581564451766</x:v>
      </x:c>
      <x:c r="F188" s="30" t="n">
        <x:v>0.03708133958236362</x:v>
      </x:c>
      <x:c r="G188" s="30" t="n">
        <x:v>0.049170969307831436</x:v>
      </x:c>
      <x:c r="H188" s="30" t="n">
        <x:v>0.7541307422723045</x:v>
      </x:c>
      <x:c r="I188" s="30" t="n">
        <x:v>0.7745901639344263</x:v>
      </x:c>
      <x:c r="J188" s="30" t="n">
        <x:v>0.6424180327868853</x:v>
      </x:c>
      <x:c r="K188" s="19" t="n">
        <x:v>1952</x:v>
      </x:c>
      <x:c r="L188" s="74" t="n">
        <x:v>46211.2933559838</x:v>
      </x:c>
      <x:c r="M188" s="19" t="n">
        <x:v>8902245</x:v>
      </x:c>
      <x:c r="N188" t="str">
        <x:v>8f7e606554926462248cbcc654181861438ca768a0063f6b317223ede37d16fb</x:v>
      </x:c>
      <x:c r="O188" t="str">
        <x:v>legacy_common_sample_8902245</x:v>
      </x:c>
      <x:c r="P188" t="str">
        <x:v>factor_report/gtja191_batch/gtja_064/ic_summary.csv</x:v>
      </x:c>
    </x:row>
    <x:row r="189">
      <x:c r="A189" t="str">
        <x:v>gtja_065</x:v>
      </x:c>
      <x:c r="B189" s="50" t="n">
        <x:v>10</x:v>
      </x:c>
      <x:c r="C189" s="30" t="n">
        <x:v>0.026098821070297987</x:v>
      </x:c>
      <x:c r="D189" s="30" t="n">
        <x:v>0.10607792822377445</x:v>
      </x:c>
      <x:c r="E189" s="30" t="n">
        <x:v>0.24603441552178293</x:v>
      </x:c>
      <x:c r="F189" s="30" t="n">
        <x:v>0.025976389900272553</x:v>
      </x:c>
      <x:c r="G189" s="30" t="n">
        <x:v>0.12824361310834087</x:v>
      </x:c>
      <x:c r="H189" s="30" t="n">
        <x:v>0.2025550377961323</x:v>
      </x:c>
      <x:c r="I189" s="30" t="n">
        <x:v>0.5735811150175791</x:v>
      </x:c>
      <x:c r="J189" s="30" t="n">
        <x:v>0.5936715218483174</x:v>
      </x:c>
      <x:c r="K189" s="19" t="n">
        <x:v>1991</x:v>
      </x:c>
      <x:c r="L189" s="74" t="n">
        <x:v>46211.29584099537</x:v>
      </x:c>
      <x:c r="M189" s="19" t="n">
        <x:v>8902245</x:v>
      </x:c>
      <x:c r="N189" t="str">
        <x:v>8f7e606554926462248cbcc654181861438ca768a0063f6b317223ede37d16fb</x:v>
      </x:c>
      <x:c r="O189" t="str">
        <x:v>legacy_common_sample_8902245</x:v>
      </x:c>
      <x:c r="P189" t="str">
        <x:v>factor_report/gtja191_batch/gtja_065/ic_summary.csv</x:v>
      </x:c>
    </x:row>
    <x:row r="190">
      <x:c r="A190" t="str">
        <x:v>gtja_065</x:v>
      </x:c>
      <x:c r="B190" s="50" t="n">
        <x:v>20</x:v>
      </x:c>
      <x:c r="C190" s="30" t="n">
        <x:v>0.02795981854984866</x:v>
      </x:c>
      <x:c r="D190" s="30" t="n">
        <x:v>0.10322223358264652</x:v>
      </x:c>
      <x:c r="E190" s="30" t="n">
        <x:v>0.2708701176037059</x:v>
      </x:c>
      <x:c r="F190" s="30" t="n">
        <x:v>0.028293083254012495</x:v>
      </x:c>
      <x:c r="G190" s="30" t="n">
        <x:v>0.12588998121335337</x:v>
      </x:c>
      <x:c r="H190" s="30" t="n">
        <x:v>0.22474451883555766</x:v>
      </x:c>
      <x:c r="I190" s="30" t="n">
        <x:v>0.5901060070671378</x:v>
      </x:c>
      <x:c r="J190" s="30" t="n">
        <x:v>0.6128218071680969</x:v>
      </x:c>
      <x:c r="K190" s="19" t="n">
        <x:v>1981</x:v>
      </x:c>
      <x:c r="L190" s="74" t="n">
        <x:v>46211.29584099537</x:v>
      </x:c>
      <x:c r="M190" s="19" t="n">
        <x:v>8902245</x:v>
      </x:c>
      <x:c r="N190" t="str">
        <x:v>8f7e606554926462248cbcc654181861438ca768a0063f6b317223ede37d16fb</x:v>
      </x:c>
      <x:c r="O190" t="str">
        <x:v>legacy_common_sample_8902245</x:v>
      </x:c>
      <x:c r="P190" t="str">
        <x:v>factor_report/gtja191_batch/gtja_065/ic_summary.csv</x:v>
      </x:c>
    </x:row>
    <x:row r="191">
      <x:c r="A191" t="str">
        <x:v>gtja_066</x:v>
      </x:c>
      <x:c r="B191" s="50" t="n">
        <x:v>1</x:v>
      </x:c>
      <x:c r="C191" s="30" t="n">
        <x:v>-0.013059498833943809</x:v>
      </x:c>
      <x:c r="D191" s="30" t="n">
        <x:v>0.12706555909279635</x:v>
      </x:c>
      <x:c r="E191" s="30" t="n">
        <x:v>-0.10277764428995602</x:v>
      </x:c>
      <x:c r="F191" s="30" t="n">
        <x:v>-0.026107823787031158</x:v>
      </x:c>
      <x:c r="G191" s="30" t="n">
        <x:v>0.1500755418417888</x:v>
      </x:c>
      <x:c r="H191" s="30" t="n">
        <x:v>-0.17396454789784666</x:v>
      </x:c>
      <x:c r="I191" s="30" t="n">
        <x:v>0.4245</x:v>
      </x:c>
      <x:c r="J191" s="30" t="n">
        <x:v>0.456</x:v>
      </x:c>
      <x:c r="K191" s="19" t="n">
        <x:v>2000</x:v>
      </x:c>
      <x:c r="L191" s="74" t="n">
        <x:v>46210.39822400463</x:v>
      </x:c>
      <x:c r="M191" s="19" t="n">
        <x:v>8902245</x:v>
      </x:c>
      <x:c r="N191" t="str">
        <x:v>40355b29bce094aef0e99358bdfd4011b92e72a54440a67760de4afae4883c33</x:v>
      </x:c>
      <x:c r="O191" t="str">
        <x:v>legacy_common_sample_8902245</x:v>
      </x:c>
      <x:c r="P191" t="str">
        <x:v>factor_report/gtja191_batch/gtja_066/ic_summary.csv</x:v>
      </x:c>
    </x:row>
    <x:row r="192">
      <x:c r="A192" t="str">
        <x:v>gtja_066</x:v>
      </x:c>
      <x:c r="B192" s="50" t="n">
        <x:v>5</x:v>
      </x:c>
      <x:c r="C192" s="30" t="n">
        <x:v>-0.02866433514459878</x:v>
      </x:c>
      <x:c r="D192" s="30" t="n">
        <x:v>0.11221902372247392</x:v>
      </x:c>
      <x:c r="E192" s="30" t="n">
        <x:v>-0.25543204880740933</x:v>
      </x:c>
      <x:c r="F192" s="30" t="n">
        <x:v>-0.02789052771250005</x:v>
      </x:c>
      <x:c r="G192" s="30" t="n">
        <x:v>0.1338052820023897</x:v>
      </x:c>
      <x:c r="H192" s="30" t="n">
        <x:v>-0.20844115639621716</x:v>
      </x:c>
      <x:c r="I192" s="30" t="n">
        <x:v>0.4288577154308617</x:v>
      </x:c>
      <x:c r="J192" s="30" t="n">
        <x:v>0.3972945891783567</x:v>
      </x:c>
      <x:c r="K192" s="19" t="n">
        <x:v>1996</x:v>
      </x:c>
      <x:c r="L192" s="74" t="n">
        <x:v>46210.39822400463</x:v>
      </x:c>
      <x:c r="M192" s="19" t="n">
        <x:v>8902245</x:v>
      </x:c>
      <x:c r="N192" t="str">
        <x:v>40355b29bce094aef0e99358bdfd4011b92e72a54440a67760de4afae4883c33</x:v>
      </x:c>
      <x:c r="O192" t="str">
        <x:v>legacy_common_sample_8902245</x:v>
      </x:c>
      <x:c r="P192" t="str">
        <x:v>factor_report/gtja191_batch/gtja_066/ic_summary.csv</x:v>
      </x:c>
    </x:row>
    <x:row r="193">
      <x:c r="A193" t="str">
        <x:v>gtja_066</x:v>
      </x:c>
      <x:c r="B193" s="50" t="n">
        <x:v>10</x:v>
      </x:c>
      <x:c r="C193" s="30" t="n">
        <x:v>-0.029477626836718486</x:v>
      </x:c>
      <x:c r="D193" s="30" t="n">
        <x:v>0.10588004165736421</x:v>
      </x:c>
      <x:c r="E193" s="30" t="n">
        <x:v>-0.27840588627751306</x:v>
      </x:c>
      <x:c r="F193" s="30" t="n">
        <x:v>-0.025976368214410687</x:v>
      </x:c>
      <x:c r="G193" s="30" t="n">
        <x:v>0.1282435887952384</x:v>
      </x:c>
      <x:c r="H193" s="30" t="n">
        <x:v>-0.20255490709860088</x:v>
      </x:c>
      <x:c r="I193" s="30" t="n">
        <x:v>0.4264188849824209</x:v>
      </x:c>
      <x:c r="J193" s="30" t="n">
        <x:v>0.39326971371170266</x:v>
      </x:c>
      <x:c r="K193" s="19" t="n">
        <x:v>1991</x:v>
      </x:c>
      <x:c r="L193" s="74" t="n">
        <x:v>46210.39822400463</x:v>
      </x:c>
      <x:c r="M193" s="19" t="n">
        <x:v>8902245</x:v>
      </x:c>
      <x:c r="N193" t="str">
        <x:v>40355b29bce094aef0e99358bdfd4011b92e72a54440a67760de4afae4883c33</x:v>
      </x:c>
      <x:c r="O193" t="str">
        <x:v>legacy_common_sample_8902245</x:v>
      </x:c>
      <x:c r="P193" t="str">
        <x:v>factor_report/gtja191_batch/gtja_066/ic_summary.csv</x:v>
      </x:c>
    </x:row>
    <x:row r="194">
      <x:c r="A194" t="str">
        <x:v>gtja_066</x:v>
      </x:c>
      <x:c r="B194" s="50" t="n">
        <x:v>20</x:v>
      </x:c>
      <x:c r="C194" s="30" t="n">
        <x:v>-0.03136988320470684</x:v>
      </x:c>
      <x:c r="D194" s="30" t="n">
        <x:v>0.1027480519196281</x:v>
      </x:c>
      <x:c r="E194" s="30" t="n">
        <x:v>-0.3053087880366344</x:v>
      </x:c>
      <x:c r="F194" s="30" t="n">
        <x:v>-0.028293036013445596</x:v>
      </x:c>
      <x:c r="G194" s="30" t="n">
        <x:v>0.12588995471110107</x:v>
      </x:c>
      <x:c r="H194" s="30" t="n">
        <x:v>-0.2247441908957228</x:v>
      </x:c>
      <x:c r="I194" s="30" t="n">
        <x:v>0.4098939929328622</x:v>
      </x:c>
      <x:c r="J194" s="30" t="n">
        <x:v>0.37051993942453304</x:v>
      </x:c>
      <x:c r="K194" s="19" t="n">
        <x:v>1981</x:v>
      </x:c>
      <x:c r="L194" s="74" t="n">
        <x:v>46210.39822400463</x:v>
      </x:c>
      <x:c r="M194" s="19" t="n">
        <x:v>8902245</x:v>
      </x:c>
      <x:c r="N194" t="str">
        <x:v>40355b29bce094aef0e99358bdfd4011b92e72a54440a67760de4afae4883c33</x:v>
      </x:c>
      <x:c r="O194" t="str">
        <x:v>legacy_common_sample_8902245</x:v>
      </x:c>
      <x:c r="P194" t="str">
        <x:v>factor_report/gtja191_batch/gtja_066/ic_summary.csv</x:v>
      </x:c>
    </x:row>
    <x:row r="195">
      <x:c r="A195" t="str">
        <x:v>gtja_067</x:v>
      </x:c>
      <x:c r="B195" s="50" t="n">
        <x:v>1</x:v>
      </x:c>
      <x:c r="C195" s="30" t="n">
        <x:v>-0.009099926710409718</x:v>
      </x:c>
      <x:c r="D195" s="30" t="n">
        <x:v>0.12566322517426765</x:v>
      </x:c>
      <x:c r="E195" s="30" t="n">
        <x:v>-0.07241519305103059</x:v>
      </x:c>
      <x:c r="F195" s="30" t="n">
        <x:v>-0.035647739055671576</x:v>
      </x:c>
      <x:c r="G195" s="30" t="n">
        <x:v>0.14958333458616965</x:v>
      </x:c>
      <x:c r="H195" s="30" t="n">
        <x:v>-0.23831357386364574</x:v>
      </x:c>
      <x:c r="I195" s="30" t="n">
        <x:v>0.3945</x:v>
      </x:c>
      <x:c r="J195" s="30" t="n">
        <x:v>0.4785</x:v>
      </x:c>
      <x:c r="K195" s="19" t="n">
        <x:v>2000</x:v>
      </x:c>
      <x:c r="L195" s="74" t="n">
        <x:v>46210.40343721065</x:v>
      </x:c>
      <x:c r="M195" s="19" t="n">
        <x:v>8902245</x:v>
      </x:c>
      <x:c r="N195" t="str">
        <x:v>40355b29bce094aef0e99358bdfd4011b92e72a54440a67760de4afae4883c33</x:v>
      </x:c>
      <x:c r="O195" t="str">
        <x:v>legacy_common_sample_8902245</x:v>
      </x:c>
      <x:c r="P195" t="str">
        <x:v>factor_report/gtja191_batch/gtja_067/ic_summary.csv</x:v>
      </x:c>
    </x:row>
    <x:row r="196">
      <x:c r="A196" t="str">
        <x:v>gtja_067</x:v>
      </x:c>
      <x:c r="B196" s="50" t="n">
        <x:v>5</x:v>
      </x:c>
      <x:c r="C196" s="30" t="n">
        <x:v>-0.019188153260497744</x:v>
      </x:c>
      <x:c r="D196" s="30" t="n">
        <x:v>0.11545797541278138</x:v>
      </x:c>
      <x:c r="E196" s="30" t="n">
        <x:v>-0.16619166577186997</x:v>
      </x:c>
      <x:c r="F196" s="30" t="n">
        <x:v>-0.04705781725656033</x:v>
      </x:c>
      <x:c r="G196" s="30" t="n">
        <x:v>0.13790718960376744</x:v>
      </x:c>
      <x:c r="H196" s="30" t="n">
        <x:v>-0.34122816505626746</x:v>
      </x:c>
      <x:c r="I196" s="30" t="n">
        <x:v>0.36472945891783565</x:v>
      </x:c>
      <x:c r="J196" s="30" t="n">
        <x:v>0.44639278557114226</x:v>
      </x:c>
      <x:c r="K196" s="19" t="n">
        <x:v>1996</x:v>
      </x:c>
      <x:c r="L196" s="74" t="n">
        <x:v>46210.40343721065</x:v>
      </x:c>
      <x:c r="M196" s="19" t="n">
        <x:v>8902245</x:v>
      </x:c>
      <x:c r="N196" t="str">
        <x:v>40355b29bce094aef0e99358bdfd4011b92e72a54440a67760de4afae4883c33</x:v>
      </x:c>
      <x:c r="O196" t="str">
        <x:v>legacy_common_sample_8902245</x:v>
      </x:c>
      <x:c r="P196" t="str">
        <x:v>factor_report/gtja191_batch/gtja_067/ic_summary.csv</x:v>
      </x:c>
    </x:row>
    <x:row r="197">
      <x:c r="A197" t="str">
        <x:v>gtja_067</x:v>
      </x:c>
      <x:c r="B197" s="50" t="n">
        <x:v>10</x:v>
      </x:c>
      <x:c r="C197" s="30" t="n">
        <x:v>-0.021921576768299488</x:v>
      </x:c>
      <x:c r="D197" s="30" t="n">
        <x:v>0.11113092942503225</x:v>
      </x:c>
      <x:c r="E197" s="30" t="n">
        <x:v>-0.1972590068464023</x:v>
      </x:c>
      <x:c r="F197" s="30" t="n">
        <x:v>-0.05255950591082112</x:v>
      </x:c>
      <x:c r="G197" s="30" t="n">
        <x:v>0.13232449388155</x:v>
      </x:c>
      <x:c r="H197" s="30" t="n">
        <x:v>-0.3972016394626807</x:v>
      </x:c>
      <x:c r="I197" s="30" t="n">
        <x:v>0.3460572576594676</x:v>
      </x:c>
      <x:c r="J197" s="30" t="n">
        <x:v>0.4334505273731793</x:v>
      </x:c>
      <x:c r="K197" s="19" t="n">
        <x:v>1991</x:v>
      </x:c>
      <x:c r="L197" s="74" t="n">
        <x:v>46210.40343721065</x:v>
      </x:c>
      <x:c r="M197" s="19" t="n">
        <x:v>8902245</x:v>
      </x:c>
      <x:c r="N197" t="str">
        <x:v>40355b29bce094aef0e99358bdfd4011b92e72a54440a67760de4afae4883c33</x:v>
      </x:c>
      <x:c r="O197" t="str">
        <x:v>legacy_common_sample_8902245</x:v>
      </x:c>
      <x:c r="P197" t="str">
        <x:v>factor_report/gtja191_batch/gtja_067/ic_summary.csv</x:v>
      </x:c>
    </x:row>
    <x:row r="198">
      <x:c r="A198" t="str">
        <x:v>gtja_067</x:v>
      </x:c>
      <x:c r="B198" s="50" t="n">
        <x:v>20</x:v>
      </x:c>
      <x:c r="C198" s="30" t="n">
        <x:v>-0.02584965149307855</x:v>
      </x:c>
      <x:c r="D198" s="30" t="n">
        <x:v>0.11310398167333066</x:v>
      </x:c>
      <x:c r="E198" s="30" t="n">
        <x:v>-0.22854767012303837</x:v>
      </x:c>
      <x:c r="F198" s="30" t="n">
        <x:v>-0.059236911325706305</x:v>
      </x:c>
      <x:c r="G198" s="30" t="n">
        <x:v>0.13472224165511823</x:v>
      </x:c>
      <x:c r="H198" s="30" t="n">
        <x:v>-0.43969659796301225</x:v>
      </x:c>
      <x:c r="I198" s="30" t="n">
        <x:v>0.33568904593639576</x:v>
      </x:c>
      <x:c r="J198" s="30" t="n">
        <x:v>0.42251388187783945</x:v>
      </x:c>
      <x:c r="K198" s="19" t="n">
        <x:v>1981</x:v>
      </x:c>
      <x:c r="L198" s="74" t="n">
        <x:v>46210.40343721065</x:v>
      </x:c>
      <x:c r="M198" s="19" t="n">
        <x:v>8902245</x:v>
      </x:c>
      <x:c r="N198" t="str">
        <x:v>40355b29bce094aef0e99358bdfd4011b92e72a54440a67760de4afae4883c33</x:v>
      </x:c>
      <x:c r="O198" t="str">
        <x:v>legacy_common_sample_8902245</x:v>
      </x:c>
      <x:c r="P198" t="str">
        <x:v>factor_report/gtja191_batch/gtja_067/ic_summary.csv</x:v>
      </x:c>
    </x:row>
    <x:row r="199">
      <x:c r="A199" t="str">
        <x:v>gtja_068</x:v>
      </x:c>
      <x:c r="B199" s="50" t="n">
        <x:v>1</x:v>
      </x:c>
      <x:c r="C199" s="30" t="n">
        <x:v>-0.002217208791808858</x:v>
      </x:c>
      <x:c r="D199" s="30" t="n">
        <x:v>0.03237663752401852</x:v>
      </x:c>
      <x:c r="E199" s="30" t="n">
        <x:v>-0.06848174984706264</x:v>
      </x:c>
      <x:c r="F199" s="30" t="n">
        <x:v>-0.027386691033633535</x:v>
      </x:c>
      <x:c r="G199" s="30" t="n">
        <x:v>0.13534298374103762</x:v>
      </x:c>
      <x:c r="H199" s="30" t="n">
        <x:v>-0.20235028278994238</x:v>
      </x:c>
      <x:c r="I199" s="30" t="n">
        <x:v>0.4095</x:v>
      </x:c>
      <x:c r="J199" s="30" t="n">
        <x:v>0.481</x:v>
      </x:c>
      <x:c r="K199" s="19" t="n">
        <x:v>2000</x:v>
      </x:c>
      <x:c r="L199" s="74" t="n">
        <x:v>46210.407986018516</x:v>
      </x:c>
      <x:c r="M199" s="19" t="n">
        <x:v>8902245</x:v>
      </x:c>
      <x:c r="N199" t="str">
        <x:v>40355b29bce094aef0e99358bdfd4011b92e72a54440a67760de4afae4883c33</x:v>
      </x:c>
      <x:c r="O199" t="str">
        <x:v>legacy_common_sample_8902245</x:v>
      </x:c>
      <x:c r="P199" t="str">
        <x:v>factor_report/gtja191_batch/gtja_068/ic_summary.csv</x:v>
      </x:c>
    </x:row>
    <x:row r="200">
      <x:c r="A200" t="str">
        <x:v>gtja_068</x:v>
      </x:c>
      <x:c r="B200" s="50" t="n">
        <x:v>5</x:v>
      </x:c>
      <x:c r="C200" s="30" t="n">
        <x:v>-0.0032553915390374686</x:v>
      </x:c>
      <x:c r="D200" s="30" t="n">
        <x:v>0.03010921842853729</x:v>
      </x:c>
      <x:c r="E200" s="30" t="n">
        <x:v>-0.1081194301593705</x:v>
      </x:c>
      <x:c r="F200" s="30" t="n">
        <x:v>-0.03204459119223425</x:v>
      </x:c>
      <x:c r="G200" s="30" t="n">
        <x:v>0.12882212497196566</x:v>
      </x:c>
      <x:c r="H200" s="30" t="n">
        <x:v>-0.24875068004978035</x:v>
      </x:c>
      <x:c r="I200" s="30" t="n">
        <x:v>0.39529058116232463</x:v>
      </x:c>
      <x:c r="J200" s="30" t="n">
        <x:v>0.44438877755511025</x:v>
      </x:c>
      <x:c r="K200" s="19" t="n">
        <x:v>1996</x:v>
      </x:c>
      <x:c r="L200" s="74" t="n">
        <x:v>46210.407986018516</x:v>
      </x:c>
      <x:c r="M200" s="19" t="n">
        <x:v>8902245</x:v>
      </x:c>
      <x:c r="N200" t="str">
        <x:v>40355b29bce094aef0e99358bdfd4011b92e72a54440a67760de4afae4883c33</x:v>
      </x:c>
      <x:c r="O200" t="str">
        <x:v>legacy_common_sample_8902245</x:v>
      </x:c>
      <x:c r="P200" t="str">
        <x:v>factor_report/gtja191_batch/gtja_068/ic_summary.csv</x:v>
      </x:c>
    </x:row>
    <x:row r="201">
      <x:c r="A201" t="str">
        <x:v>gtja_068</x:v>
      </x:c>
      <x:c r="B201" s="50" t="n">
        <x:v>10</x:v>
      </x:c>
      <x:c r="C201" s="30" t="n">
        <x:v>-0.0030821408368721065</x:v>
      </x:c>
      <x:c r="D201" s="30" t="n">
        <x:v>0.02887684188704426</x:v>
      </x:c>
      <x:c r="E201" s="30" t="n">
        <x:v>-0.10673399982339912</x:v>
      </x:c>
      <x:c r="F201" s="30" t="n">
        <x:v>-0.034587875926085955</x:v>
      </x:c>
      <x:c r="G201" s="30" t="n">
        <x:v>0.12286666440775093</x:v>
      </x:c>
      <x:c r="H201" s="30" t="n">
        <x:v>-0.2815074055506305</x:v>
      </x:c>
      <x:c r="I201" s="30" t="n">
        <x:v>0.39578101456554493</x:v>
      </x:c>
      <x:c r="J201" s="30" t="n">
        <x:v>0.4540431943746861</x:v>
      </x:c>
      <x:c r="K201" s="19" t="n">
        <x:v>1991</x:v>
      </x:c>
      <x:c r="L201" s="74" t="n">
        <x:v>46210.407986018516</x:v>
      </x:c>
      <x:c r="M201" s="19" t="n">
        <x:v>8902245</x:v>
      </x:c>
      <x:c r="N201" t="str">
        <x:v>40355b29bce094aef0e99358bdfd4011b92e72a54440a67760de4afae4883c33</x:v>
      </x:c>
      <x:c r="O201" t="str">
        <x:v>legacy_common_sample_8902245</x:v>
      </x:c>
      <x:c r="P201" t="str">
        <x:v>factor_report/gtja191_batch/gtja_068/ic_summary.csv</x:v>
      </x:c>
    </x:row>
    <x:row r="202">
      <x:c r="A202" t="str">
        <x:v>gtja_068</x:v>
      </x:c>
      <x:c r="B202" s="50" t="n">
        <x:v>20</x:v>
      </x:c>
      <x:c r="C202" s="30" t="n">
        <x:v>-0.001780433931252119</x:v>
      </x:c>
      <x:c r="D202" s="30" t="n">
        <x:v>0.02796514717747448</x:v>
      </x:c>
      <x:c r="E202" s="30" t="n">
        <x:v>-0.06366617418292125</x:v>
      </x:c>
      <x:c r="F202" s="30" t="n">
        <x:v>-0.03782733784595623</x:v>
      </x:c>
      <x:c r="G202" s="30" t="n">
        <x:v>0.12119790291225839</x:v>
      </x:c>
      <x:c r="H202" s="30" t="n">
        <x:v>-0.3121121482880892</x:v>
      </x:c>
      <x:c r="I202" s="30" t="n">
        <x:v>0.386673397274104</x:v>
      </x:c>
      <x:c r="J202" s="30" t="n">
        <x:v>0.4724886420999495</x:v>
      </x:c>
      <x:c r="K202" s="19" t="n">
        <x:v>1981</x:v>
      </x:c>
      <x:c r="L202" s="74" t="n">
        <x:v>46210.407986018516</x:v>
      </x:c>
      <x:c r="M202" s="19" t="n">
        <x:v>8902245</x:v>
      </x:c>
      <x:c r="N202" t="str">
        <x:v>40355b29bce094aef0e99358bdfd4011b92e72a54440a67760de4afae4883c33</x:v>
      </x:c>
      <x:c r="O202" t="str">
        <x:v>legacy_common_sample_8902245</x:v>
      </x:c>
      <x:c r="P202" t="str">
        <x:v>factor_report/gtja191_batch/gtja_068/ic_summary.csv</x:v>
      </x:c>
    </x:row>
    <x:row r="203">
      <x:c r="A203" t="str">
        <x:v>gtja_069</x:v>
      </x:c>
      <x:c r="B203" s="50" t="n">
        <x:v>1</x:v>
      </x:c>
      <x:c r="C203" s="30" t="n">
        <x:v>-0.00688206131399582</x:v>
      </x:c>
      <x:c r="D203" s="30" t="n">
        <x:v>0.10836870935308873</x:v>
      </x:c>
      <x:c r="E203" s="30" t="n">
        <x:v>-0.06350598207802377</x:v>
      </x:c>
      <x:c r="F203" s="30" t="n">
        <x:v>-0.030441659233196375</x:v>
      </x:c>
      <x:c r="G203" s="30" t="n">
        <x:v>0.12512176049267262</x:v>
      </x:c>
      <x:c r="H203" s="30" t="n">
        <x:v>-0.24329628286343605</x:v>
      </x:c>
      <x:c r="I203" s="30" t="n">
        <x:v>0.396</x:v>
      </x:c>
      <x:c r="J203" s="30" t="n">
        <x:v>0.474</x:v>
      </x:c>
      <x:c r="K203" s="19" t="n">
        <x:v>2000</x:v>
      </x:c>
      <x:c r="L203" s="74" t="n">
        <x:v>46210.41218387731</x:v>
      </x:c>
      <x:c r="M203" s="19" t="n">
        <x:v>8902245</x:v>
      </x:c>
      <x:c r="N203" t="str">
        <x:v>40355b29bce094aef0e99358bdfd4011b92e72a54440a67760de4afae4883c33</x:v>
      </x:c>
      <x:c r="O203" t="str">
        <x:v>legacy_common_sample_8902245</x:v>
      </x:c>
      <x:c r="P203" t="str">
        <x:v>factor_report/gtja191_batch/gtja_069/ic_summary.csv</x:v>
      </x:c>
    </x:row>
    <x:row r="204">
      <x:c r="A204" t="str">
        <x:v>gtja_069</x:v>
      </x:c>
      <x:c r="B204" s="50" t="n">
        <x:v>5</x:v>
      </x:c>
      <x:c r="C204" s="30" t="n">
        <x:v>-0.013967111353959118</x:v>
      </x:c>
      <x:c r="D204" s="30" t="n">
        <x:v>0.0999185136213651</x:v>
      </x:c>
      <x:c r="E204" s="30" t="n">
        <x:v>-0.13978501928968445</x:v>
      </x:c>
      <x:c r="F204" s="30" t="n">
        <x:v>-0.04225570397810014</x:v>
      </x:c>
      <x:c r="G204" s="30" t="n">
        <x:v>0.11561111157059835</x:v>
      </x:c>
      <x:c r="H204" s="30" t="n">
        <x:v>-0.36549863939589006</x:v>
      </x:c>
      <x:c r="I204" s="30" t="n">
        <x:v>0.34468937875751504</x:v>
      </x:c>
      <x:c r="J204" s="30" t="n">
        <x:v>0.44589178356713427</x:v>
      </x:c>
      <x:c r="K204" s="19" t="n">
        <x:v>1996</x:v>
      </x:c>
      <x:c r="L204" s="74" t="n">
        <x:v>46210.41218387731</x:v>
      </x:c>
      <x:c r="M204" s="19" t="n">
        <x:v>8902245</x:v>
      </x:c>
      <x:c r="N204" t="str">
        <x:v>40355b29bce094aef0e99358bdfd4011b92e72a54440a67760de4afae4883c33</x:v>
      </x:c>
      <x:c r="O204" t="str">
        <x:v>legacy_common_sample_8902245</x:v>
      </x:c>
      <x:c r="P204" t="str">
        <x:v>factor_report/gtja191_batch/gtja_069/ic_summary.csv</x:v>
      </x:c>
    </x:row>
    <x:row r="205">
      <x:c r="A205" t="str">
        <x:v>gtja_069</x:v>
      </x:c>
      <x:c r="B205" s="50" t="n">
        <x:v>10</x:v>
      </x:c>
      <x:c r="C205" s="30" t="n">
        <x:v>-0.018027459117639106</x:v>
      </x:c>
      <x:c r="D205" s="30" t="n">
        <x:v>0.0973643741015748</x:v>
      </x:c>
      <x:c r="E205" s="30" t="n">
        <x:v>-0.1851545730559729</x:v>
      </x:c>
      <x:c r="F205" s="30" t="n">
        <x:v>-0.04872778130626614</x:v>
      </x:c>
      <x:c r="G205" s="30" t="n">
        <x:v>0.11155156998706732</x:v>
      </x:c>
      <x:c r="H205" s="30" t="n">
        <x:v>-0.4368184267770985</x:v>
      </x:c>
      <x:c r="I205" s="30" t="n">
        <x:v>0.3304871923656454</x:v>
      </x:c>
      <x:c r="J205" s="30" t="n">
        <x:v>0.43144148669010546</x:v>
      </x:c>
      <x:c r="K205" s="19" t="n">
        <x:v>1991</x:v>
      </x:c>
      <x:c r="L205" s="74" t="n">
        <x:v>46210.41218387731</x:v>
      </x:c>
      <x:c r="M205" s="19" t="n">
        <x:v>8902245</x:v>
      </x:c>
      <x:c r="N205" t="str">
        <x:v>40355b29bce094aef0e99358bdfd4011b92e72a54440a67760de4afae4883c33</x:v>
      </x:c>
      <x:c r="O205" t="str">
        <x:v>legacy_common_sample_8902245</x:v>
      </x:c>
      <x:c r="P205" t="str">
        <x:v>factor_report/gtja191_batch/gtja_069/ic_summary.csv</x:v>
      </x:c>
    </x:row>
    <x:row r="206">
      <x:c r="A206" t="str">
        <x:v>gtja_069</x:v>
      </x:c>
      <x:c r="B206" s="50" t="n">
        <x:v>20</x:v>
      </x:c>
      <x:c r="C206" s="30" t="n">
        <x:v>-0.023130159278575816</x:v>
      </x:c>
      <x:c r="D206" s="30" t="n">
        <x:v>0.09944838790536212</x:v>
      </x:c>
      <x:c r="E206" s="30" t="n">
        <x:v>-0.232584557334274</x:v>
      </x:c>
      <x:c r="F206" s="30" t="n">
        <x:v>-0.05650258940319703</x:v>
      </x:c>
      <x:c r="G206" s="30" t="n">
        <x:v>0.11457259771518252</x:v>
      </x:c>
      <x:c r="H206" s="30" t="n">
        <x:v>-0.49315971296782096</x:v>
      </x:c>
      <x:c r="I206" s="30" t="n">
        <x:v>0.303886925795053</x:v>
      </x:c>
      <x:c r="J206" s="30" t="n">
        <x:v>0.4215042907622413</x:v>
      </x:c>
      <x:c r="K206" s="19" t="n">
        <x:v>1981</x:v>
      </x:c>
      <x:c r="L206" s="74" t="n">
        <x:v>46210.41218387731</x:v>
      </x:c>
      <x:c r="M206" s="19" t="n">
        <x:v>8902245</x:v>
      </x:c>
      <x:c r="N206" t="str">
        <x:v>40355b29bce094aef0e99358bdfd4011b92e72a54440a67760de4afae4883c33</x:v>
      </x:c>
      <x:c r="O206" t="str">
        <x:v>legacy_common_sample_8902245</x:v>
      </x:c>
      <x:c r="P206" t="str">
        <x:v>factor_report/gtja191_batch/gtja_069/ic_summary.csv</x:v>
      </x:c>
    </x:row>
    <x:row r="207">
      <x:c r="A207" t="str">
        <x:v>gtja_070</x:v>
      </x:c>
      <x:c r="B207" s="50" t="n">
        <x:v>1</x:v>
      </x:c>
      <x:c r="C207" s="30" t="n">
        <x:v>-0.0138914226237561</x:v>
      </x:c>
      <x:c r="D207" s="30" t="n">
        <x:v>0.08975931788676429</x:v>
      </x:c>
      <x:c r="E207" s="30" t="n">
        <x:v>-0.15476301459065006</x:v>
      </x:c>
      <x:c r="F207" s="30" t="n">
        <x:v>-0.053577432783182125</x:v>
      </x:c>
      <x:c r="G207" s="30" t="n">
        <x:v>0.13653086398955622</x:v>
      </x:c>
      <x:c r="H207" s="30" t="n">
        <x:v>-0.392419935079884</x:v>
      </x:c>
      <x:c r="I207" s="30" t="n">
        <x:v>0.3365</x:v>
      </x:c>
      <x:c r="J207" s="30" t="n">
        <x:v>0.428</x:v>
      </x:c>
      <x:c r="K207" s="19" t="n">
        <x:v>2000</x:v>
      </x:c>
      <x:c r="L207" s="74" t="n">
        <x:v>46210.41622457176</x:v>
      </x:c>
      <x:c r="M207" s="19" t="n">
        <x:v>8902245</x:v>
      </x:c>
      <x:c r="N207" t="str">
        <x:v>40355b29bce094aef0e99358bdfd4011b92e72a54440a67760de4afae4883c33</x:v>
      </x:c>
      <x:c r="O207" t="str">
        <x:v>legacy_common_sample_8902245</x:v>
      </x:c>
      <x:c r="P207" t="str">
        <x:v>factor_report/gtja191_batch/gtja_070/ic_summary.csv</x:v>
      </x:c>
    </x:row>
    <x:row r="208">
      <x:c r="A208" t="str">
        <x:v>gtja_070</x:v>
      </x:c>
      <x:c r="B208" s="50" t="n">
        <x:v>5</x:v>
      </x:c>
      <x:c r="C208" s="30" t="n">
        <x:v>-0.025853280591110018</x:v>
      </x:c>
      <x:c r="D208" s="30" t="n">
        <x:v>0.08929852677991065</x:v>
      </x:c>
      <x:c r="E208" s="30" t="n">
        <x:v>-0.2895151972084515</x:v>
      </x:c>
      <x:c r="F208" s="30" t="n">
        <x:v>-0.07833974128786508</x:v>
      </x:c>
      <x:c r="G208" s="30" t="n">
        <x:v>0.13805810019006223</x:v>
      </x:c>
      <x:c r="H208" s="30" t="n">
        <x:v>-0.5674403832880222</x:v>
      </x:c>
      <x:c r="I208" s="30" t="n">
        <x:v>0.28106212424849697</x:v>
      </x:c>
      <x:c r="J208" s="30" t="n">
        <x:v>0.37374749498997994</x:v>
      </x:c>
      <x:c r="K208" s="19" t="n">
        <x:v>1996</x:v>
      </x:c>
      <x:c r="L208" s="74" t="n">
        <x:v>46210.41622457176</x:v>
      </x:c>
      <x:c r="M208" s="19" t="n">
        <x:v>8902245</x:v>
      </x:c>
      <x:c r="N208" t="str">
        <x:v>40355b29bce094aef0e99358bdfd4011b92e72a54440a67760de4afae4883c33</x:v>
      </x:c>
      <x:c r="O208" t="str">
        <x:v>legacy_common_sample_8902245</x:v>
      </x:c>
      <x:c r="P208" t="str">
        <x:v>factor_report/gtja191_batch/gtja_070/ic_summary.csv</x:v>
      </x:c>
    </x:row>
    <x:row r="209">
      <x:c r="A209" t="str">
        <x:v>gtja_070</x:v>
      </x:c>
      <x:c r="B209" s="50" t="n">
        <x:v>10</x:v>
      </x:c>
      <x:c r="C209" s="30" t="n">
        <x:v>-0.031581860524195884</x:v>
      </x:c>
      <x:c r="D209" s="30" t="n">
        <x:v>0.0899806319809165</x:v>
      </x:c>
      <x:c r="E209" s="30" t="n">
        <x:v>-0.35098509344648643</x:v>
      </x:c>
      <x:c r="F209" s="30" t="n">
        <x:v>-0.09200568839452039</x:v>
      </x:c>
      <x:c r="G209" s="30" t="n">
        <x:v>0.14186656930093233</x:v>
      </x:c>
      <x:c r="H209" s="30" t="n">
        <x:v>-0.648536782470257</x:v>
      </x:c>
      <x:c r="I209" s="30" t="n">
        <x:v>0.25916624811652433</x:v>
      </x:c>
      <x:c r="J209" s="30" t="n">
        <x:v>0.35911602209944754</x:v>
      </x:c>
      <x:c r="K209" s="19" t="n">
        <x:v>1991</x:v>
      </x:c>
      <x:c r="L209" s="74" t="n">
        <x:v>46210.41622457176</x:v>
      </x:c>
      <x:c r="M209" s="19" t="n">
        <x:v>8902245</x:v>
      </x:c>
      <x:c r="N209" t="str">
        <x:v>40355b29bce094aef0e99358bdfd4011b92e72a54440a67760de4afae4883c33</x:v>
      </x:c>
      <x:c r="O209" t="str">
        <x:v>legacy_common_sample_8902245</x:v>
      </x:c>
      <x:c r="P209" t="str">
        <x:v>factor_report/gtja191_batch/gtja_070/ic_summary.csv</x:v>
      </x:c>
    </x:row>
    <x:row r="210">
      <x:c r="A210" t="str">
        <x:v>gtja_070</x:v>
      </x:c>
      <x:c r="B210" s="50" t="n">
        <x:v>20</x:v>
      </x:c>
      <x:c r="C210" s="30" t="n">
        <x:v>-0.038625540799599296</x:v>
      </x:c>
      <x:c r="D210" s="30" t="n">
        <x:v>0.09384012871267026</x:v>
      </x:c>
      <x:c r="E210" s="30" t="n">
        <x:v>-0.41161005775969367</x:v>
      </x:c>
      <x:c r="F210" s="30" t="n">
        <x:v>-0.10876569631565444</x:v>
      </x:c>
      <x:c r="G210" s="30" t="n">
        <x:v>0.14896493416224968</x:v>
      </x:c>
      <x:c r="H210" s="30" t="n">
        <x:v>-0.7301429489250738</x:v>
      </x:c>
      <x:c r="I210" s="30" t="n">
        <x:v>0.2332155477031802</x:v>
      </x:c>
      <x:c r="J210" s="30" t="n">
        <x:v>0.32458354366481573</x:v>
      </x:c>
      <x:c r="K210" s="19" t="n">
        <x:v>1981</x:v>
      </x:c>
      <x:c r="L210" s="74" t="n">
        <x:v>46210.41622457176</x:v>
      </x:c>
      <x:c r="M210" s="19" t="n">
        <x:v>8902245</x:v>
      </x:c>
      <x:c r="N210" t="str">
        <x:v>40355b29bce094aef0e99358bdfd4011b92e72a54440a67760de4afae4883c33</x:v>
      </x:c>
      <x:c r="O210" t="str">
        <x:v>legacy_common_sample_8902245</x:v>
      </x:c>
      <x:c r="P210" t="str">
        <x:v>factor_report/gtja191_batch/gtja_070/ic_summary.csv</x:v>
      </x:c>
    </x:row>
    <x:row r="211">
      <x:c r="A211" t="str">
        <x:v>gtja_071</x:v>
      </x:c>
      <x:c r="B211" s="50" t="n">
        <x:v>1</x:v>
      </x:c>
      <x:c r="C211" s="30" t="n">
        <x:v>-0.020280660976957413</x:v>
      </x:c>
      <x:c r="D211" s="30" t="n">
        <x:v>0.14372768803501776</x:v>
      </x:c>
      <x:c r="E211" s="30" t="n">
        <x:v>-0.14110476035776934</x:v>
      </x:c>
      <x:c r="F211" s="30" t="n">
        <x:v>-0.03785381980874199</x:v>
      </x:c>
      <x:c r="G211" s="30" t="n">
        <x:v>0.15973970365290074</x:v>
      </x:c>
      <x:c r="H211" s="30" t="n">
        <x:v>-0.23697189204128458</x:v>
      </x:c>
      <x:c r="I211" s="30" t="n">
        <x:v>0.3955</x:v>
      </x:c>
      <x:c r="J211" s="30" t="n">
        <x:v>0.4255</x:v>
      </x:c>
      <x:c r="K211" s="19" t="n">
        <x:v>2000</x:v>
      </x:c>
      <x:c r="L211" s="74" t="n">
        <x:v>46210.420358854164</x:v>
      </x:c>
      <x:c r="M211" s="19" t="n">
        <x:v>8902245</x:v>
      </x:c>
      <x:c r="N211" t="str">
        <x:v>40355b29bce094aef0e99358bdfd4011b92e72a54440a67760de4afae4883c33</x:v>
      </x:c>
      <x:c r="O211" t="str">
        <x:v>legacy_common_sample_8902245</x:v>
      </x:c>
      <x:c r="P211" t="str">
        <x:v>factor_report/gtja191_batch/gtja_071/ic_summary.csv</x:v>
      </x:c>
    </x:row>
    <x:row r="212">
      <x:c r="A212" t="str">
        <x:v>gtja_071</x:v>
      </x:c>
      <x:c r="B212" s="50" t="n">
        <x:v>5</x:v>
      </x:c>
      <x:c r="C212" s="30" t="n">
        <x:v>-0.039272895049389</x:v>
      </x:c>
      <x:c r="D212" s="30" t="n">
        <x:v>0.12963757293136494</x:v>
      </x:c>
      <x:c r="E212" s="30" t="n">
        <x:v>-0.3029437697833295</x:v>
      </x:c>
      <x:c r="F212" s="30" t="n">
        <x:v>-0.04854451973527362</x:v>
      </x:c>
      <x:c r="G212" s="30" t="n">
        <x:v>0.14541380560211137</x:v>
      </x:c>
      <x:c r="H212" s="30" t="n">
        <x:v>-0.33383707643346877</x:v>
      </x:c>
      <x:c r="I212" s="30" t="n">
        <x:v>0.36422845691382766</x:v>
      </x:c>
      <x:c r="J212" s="30" t="n">
        <x:v>0.37324649298597196</x:v>
      </x:c>
      <x:c r="K212" s="19" t="n">
        <x:v>1996</x:v>
      </x:c>
      <x:c r="L212" s="74" t="n">
        <x:v>46210.420358854164</x:v>
      </x:c>
      <x:c r="M212" s="19" t="n">
        <x:v>8902245</x:v>
      </x:c>
      <x:c r="N212" t="str">
        <x:v>40355b29bce094aef0e99358bdfd4011b92e72a54440a67760de4afae4883c33</x:v>
      </x:c>
      <x:c r="O212" t="str">
        <x:v>legacy_common_sample_8902245</x:v>
      </x:c>
      <x:c r="P212" t="str">
        <x:v>factor_report/gtja191_batch/gtja_071/ic_summary.csv</x:v>
      </x:c>
    </x:row>
    <x:row r="213">
      <x:c r="A213" t="str">
        <x:v>gtja_071</x:v>
      </x:c>
      <x:c r="B213" s="50" t="n">
        <x:v>10</x:v>
      </x:c>
      <x:c r="C213" s="30" t="n">
        <x:v>-0.044846649613212185</x:v>
      </x:c>
      <x:c r="D213" s="30" t="n">
        <x:v>0.12289158606584978</x:v>
      </x:c>
      <x:c r="E213" s="30" t="n">
        <x:v>-0.364928560602853</x:v>
      </x:c>
      <x:c r="F213" s="30" t="n">
        <x:v>-0.05464484689716381</x:v>
      </x:c>
      <x:c r="G213" s="30" t="n">
        <x:v>0.1388974749681292</x:v>
      </x:c>
      <x:c r="H213" s="30" t="n">
        <x:v>-0.39341857661345087</x:v>
      </x:c>
      <x:c r="I213" s="30" t="n">
        <x:v>0.35258663987945754</x:v>
      </x:c>
      <x:c r="J213" s="30" t="n">
        <x:v>0.3566047212456052</x:v>
      </x:c>
      <x:c r="K213" s="19" t="n">
        <x:v>1991</x:v>
      </x:c>
      <x:c r="L213" s="74" t="n">
        <x:v>46210.420358854164</x:v>
      </x:c>
      <x:c r="M213" s="19" t="n">
        <x:v>8902245</x:v>
      </x:c>
      <x:c r="N213" t="str">
        <x:v>40355b29bce094aef0e99358bdfd4011b92e72a54440a67760de4afae4883c33</x:v>
      </x:c>
      <x:c r="O213" t="str">
        <x:v>legacy_common_sample_8902245</x:v>
      </x:c>
      <x:c r="P213" t="str">
        <x:v>factor_report/gtja191_batch/gtja_071/ic_summary.csv</x:v>
      </x:c>
    </x:row>
    <x:row r="214">
      <x:c r="A214" t="str">
        <x:v>gtja_071</x:v>
      </x:c>
      <x:c r="B214" s="50" t="n">
        <x:v>20</x:v>
      </x:c>
      <x:c r="C214" s="30" t="n">
        <x:v>-0.048953351823171946</x:v>
      </x:c>
      <x:c r="D214" s="30" t="n">
        <x:v>0.12100262033428884</x:v>
      </x:c>
      <x:c r="E214" s="30" t="n">
        <x:v>-0.40456439445633974</x:v>
      </x:c>
      <x:c r="F214" s="30" t="n">
        <x:v>-0.062419890209116154</x:v>
      </x:c>
      <x:c r="G214" s="30" t="n">
        <x:v>0.13693101937173285</x:v>
      </x:c>
      <x:c r="H214" s="30" t="n">
        <x:v>-0.45584916036929546</x:v>
      </x:c>
      <x:c r="I214" s="30" t="n">
        <x:v>0.33064109035840483</x:v>
      </x:c>
      <x:c r="J214" s="30" t="n">
        <x:v>0.33013629480060575</x:v>
      </x:c>
      <x:c r="K214" s="19" t="n">
        <x:v>1981</x:v>
      </x:c>
      <x:c r="L214" s="74" t="n">
        <x:v>46210.420358854164</x:v>
      </x:c>
      <x:c r="M214" s="19" t="n">
        <x:v>8902245</x:v>
      </x:c>
      <x:c r="N214" t="str">
        <x:v>40355b29bce094aef0e99358bdfd4011b92e72a54440a67760de4afae4883c33</x:v>
      </x:c>
      <x:c r="O214" t="str">
        <x:v>legacy_common_sample_8902245</x:v>
      </x:c>
      <x:c r="P214" t="str">
        <x:v>factor_report/gtja191_batch/gtja_071/ic_summary.csv</x:v>
      </x:c>
    </x:row>
    <x:row r="215">
      <x:c r="A215" t="str">
        <x:v>gtja_072</x:v>
      </x:c>
      <x:c r="B215" s="50" t="n">
        <x:v>10</x:v>
      </x:c>
      <x:c r="C215" s="30" t="n">
        <x:v>0.009118173136864938</x:v>
      </x:c>
      <x:c r="D215" s="30" t="n">
        <x:v>0.11316297979101511</x:v>
      </x:c>
      <x:c r="E215" s="30" t="n">
        <x:v>0.08057558358487923</x:v>
      </x:c>
      <x:c r="F215" s="30" t="n">
        <x:v>0.020469736367572655</x:v>
      </x:c>
      <x:c r="G215" s="30" t="n">
        <x:v>0.13068413116098807</x:v>
      </x:c>
      <x:c r="H215" s="30" t="n">
        <x:v>0.1566352103022842</x:v>
      </x:c>
      <x:c r="I215" s="30" t="n">
        <x:v>0.5308890005022602</x:v>
      </x:c>
      <x:c r="J215" s="30" t="n">
        <x:v>0.5027624309392266</x:v>
      </x:c>
      <x:c r="K215" s="19" t="n">
        <x:v>1991</x:v>
      </x:c>
      <x:c r="L215" s="74" t="n">
        <x:v>46211.29907770833</x:v>
      </x:c>
      <x:c r="M215" s="19" t="n">
        <x:v>8902245</x:v>
      </x:c>
      <x:c r="N215" t="str">
        <x:v>8f7e606554926462248cbcc654181861438ca768a0063f6b317223ede37d16fb</x:v>
      </x:c>
      <x:c r="O215" t="str">
        <x:v>legacy_common_sample_8902245</x:v>
      </x:c>
      <x:c r="P215" t="str">
        <x:v>factor_report/gtja191_batch/gtja_072/ic_summary.csv</x:v>
      </x:c>
    </x:row>
    <x:row r="216">
      <x:c r="A216" t="str">
        <x:v>gtja_072</x:v>
      </x:c>
      <x:c r="B216" s="50" t="n">
        <x:v>20</x:v>
      </x:c>
      <x:c r="C216" s="30" t="n">
        <x:v>0.012111267451322866</x:v>
      </x:c>
      <x:c r="D216" s="30" t="n">
        <x:v>0.11571790015122774</x:v>
      </x:c>
      <x:c r="E216" s="30" t="n">
        <x:v>0.10466200506140423</x:v>
      </x:c>
      <x:c r="F216" s="30" t="n">
        <x:v>0.0259470444569019</x:v>
      </x:c>
      <x:c r="G216" s="30" t="n">
        <x:v>0.13337445599066247</x:v>
      </x:c>
      <x:c r="H216" s="30" t="n">
        <x:v>0.1945428325399764</x:v>
      </x:c>
      <x:c r="I216" s="30" t="n">
        <x:v>0.5381120646138314</x:v>
      </x:c>
      <x:c r="J216" s="30" t="n">
        <x:v>0.5007571933366987</x:v>
      </x:c>
      <x:c r="K216" s="19" t="n">
        <x:v>1981</x:v>
      </x:c>
      <x:c r="L216" s="74" t="n">
        <x:v>46211.29907770833</x:v>
      </x:c>
      <x:c r="M216" s="19" t="n">
        <x:v>8902245</x:v>
      </x:c>
      <x:c r="N216" t="str">
        <x:v>8f7e606554926462248cbcc654181861438ca768a0063f6b317223ede37d16fb</x:v>
      </x:c>
      <x:c r="O216" t="str">
        <x:v>legacy_common_sample_8902245</x:v>
      </x:c>
      <x:c r="P216" t="str">
        <x:v>factor_report/gtja191_batch/gtja_072/ic_summary.csv</x:v>
      </x:c>
    </x:row>
    <x:row r="217">
      <x:c r="A217" t="str">
        <x:v>gtja_073</x:v>
      </x:c>
      <x:c r="B217" s="50" t="n">
        <x:v>10</x:v>
      </x:c>
      <x:c r="C217" s="30" t="n">
        <x:v>0.00096112388207493</x:v>
      </x:c>
      <x:c r="D217" s="30" t="n">
        <x:v>0.04621047568334837</x:v>
      </x:c>
      <x:c r="E217" s="30" t="n">
        <x:v>0.02079883117111613</x:v>
      </x:c>
      <x:c r="F217" s="30" t="n">
        <x:v>0.0030758054530690684</x:v>
      </x:c>
      <x:c r="G217" s="30" t="n">
        <x:v>0.05679791113395078</x:v>
      </x:c>
      <x:c r="H217" s="30" t="n">
        <x:v>0.05415349599416016</x:v>
      </x:c>
      <x:c r="I217" s="30" t="n">
        <x:v>0.5429432446007032</x:v>
      </x:c>
      <x:c r="J217" s="30" t="n">
        <x:v>0.5203415369161225</x:v>
      </x:c>
      <x:c r="K217" s="19" t="n">
        <x:v>1991</x:v>
      </x:c>
      <x:c r="L217" s="74" t="n">
        <x:v>46211.30391246528</x:v>
      </x:c>
      <x:c r="M217" s="19" t="n">
        <x:v>8902245</x:v>
      </x:c>
      <x:c r="N217" t="str">
        <x:v>8f7e606554926462248cbcc654181861438ca768a0063f6b317223ede37d16fb</x:v>
      </x:c>
      <x:c r="O217" t="str">
        <x:v>legacy_common_sample_8902245</x:v>
      </x:c>
      <x:c r="P217" t="str">
        <x:v>factor_report/gtja191_batch/gtja_073/ic_summary.csv</x:v>
      </x:c>
    </x:row>
    <x:row r="218">
      <x:c r="A218" t="str">
        <x:v>gtja_073</x:v>
      </x:c>
      <x:c r="B218" s="50" t="n">
        <x:v>20</x:v>
      </x:c>
      <x:c r="C218" s="30" t="n">
        <x:v>0.004397039830561217</x:v>
      </x:c>
      <x:c r="D218" s="30" t="n">
        <x:v>0.045099276863108946</x:v>
      </x:c>
      <x:c r="E218" s="30" t="n">
        <x:v>0.09749690319664484</x:v>
      </x:c>
      <x:c r="F218" s="30" t="n">
        <x:v>0.007004128077654323</x:v>
      </x:c>
      <x:c r="G218" s="30" t="n">
        <x:v>0.05508156543705935</x:v>
      </x:c>
      <x:c r="H218" s="30" t="n">
        <x:v>0.12715920511841308</x:v>
      </x:c>
      <x:c r="I218" s="30" t="n">
        <x:v>0.5628470469459869</x:v>
      </x:c>
      <x:c r="J218" s="30" t="n">
        <x:v>0.5557799091367996</x:v>
      </x:c>
      <x:c r="K218" s="19" t="n">
        <x:v>1981</x:v>
      </x:c>
      <x:c r="L218" s="74" t="n">
        <x:v>46211.30391246528</x:v>
      </x:c>
      <x:c r="M218" s="19" t="n">
        <x:v>8902245</x:v>
      </x:c>
      <x:c r="N218" t="str">
        <x:v>8f7e606554926462248cbcc654181861438ca768a0063f6b317223ede37d16fb</x:v>
      </x:c>
      <x:c r="O218" t="str">
        <x:v>legacy_common_sample_8902245</x:v>
      </x:c>
      <x:c r="P218" t="str">
        <x:v>factor_report/gtja191_batch/gtja_073/ic_summary.csv</x:v>
      </x:c>
    </x:row>
    <x:row r="219">
      <x:c r="A219" t="str">
        <x:v>gtja_074</x:v>
      </x:c>
      <x:c r="B219" s="50" t="n">
        <x:v>1</x:v>
      </x:c>
      <x:c r="C219" s="30" t="n">
        <x:v>-0.009777106408496336</x:v>
      </x:c>
      <x:c r="D219" s="30" t="n">
        <x:v>0.06445931399269196</x:v>
      </x:c>
      <x:c r="E219" s="30" t="n">
        <x:v>-0.15167872263742693</x:v>
      </x:c>
      <x:c r="F219" s="30" t="n">
        <x:v>-0.027244210725221606</x:v>
      </x:c>
      <x:c r="G219" s="30" t="n">
        <x:v>0.07249841263289945</x:v>
      </x:c>
      <x:c r="H219" s="30" t="n">
        <x:v>-0.3757904447256588</x:v>
      </x:c>
      <x:c r="I219" s="30" t="n">
        <x:v>0.34453360080240725</x:v>
      </x:c>
      <x:c r="J219" s="30" t="n">
        <x:v>0.4307923771313942</x:v>
      </x:c>
      <x:c r="K219" s="19" t="n">
        <x:v>1994</x:v>
      </x:c>
      <x:c r="L219" s="74" t="n">
        <x:v>46210.45096833333</x:v>
      </x:c>
      <x:c r="M219" s="19" t="n">
        <x:v>8902245</x:v>
      </x:c>
      <x:c r="N219" t="str">
        <x:v>40355b29bce094aef0e99358bdfd4011b92e72a54440a67760de4afae4883c33</x:v>
      </x:c>
      <x:c r="O219" t="str">
        <x:v>legacy_common_sample_8902245</x:v>
      </x:c>
      <x:c r="P219" t="str">
        <x:v>factor_report/gtja191_batch/gtja_074/ic_summary.csv</x:v>
      </x:c>
    </x:row>
    <x:row r="220">
      <x:c r="A220" t="str">
        <x:v>gtja_074</x:v>
      </x:c>
      <x:c r="B220" s="50" t="n">
        <x:v>5</x:v>
      </x:c>
      <x:c r="C220" s="30" t="n">
        <x:v>-0.016991595828513055</x:v>
      </x:c>
      <x:c r="D220" s="30" t="n">
        <x:v>0.06092779771858607</x:v>
      </x:c>
      <x:c r="E220" s="30" t="n">
        <x:v>-0.27888084691644377</x:v>
      </x:c>
      <x:c r="F220" s="30" t="n">
        <x:v>-0.03686528582499111</x:v>
      </x:c>
      <x:c r="G220" s="30" t="n">
        <x:v>0.06930227064258476</x:v>
      </x:c>
      <x:c r="H220" s="30" t="n">
        <x:v>-0.5319491768908676</x:v>
      </x:c>
      <x:c r="I220" s="30" t="n">
        <x:v>0.2914572864321608</x:v>
      </x:c>
      <x:c r="J220" s="30" t="n">
        <x:v>0.385929648241206</x:v>
      </x:c>
      <x:c r="K220" s="19" t="n">
        <x:v>1990</x:v>
      </x:c>
      <x:c r="L220" s="74" t="n">
        <x:v>46210.45096833333</x:v>
      </x:c>
      <x:c r="M220" s="19" t="n">
        <x:v>8902245</x:v>
      </x:c>
      <x:c r="N220" t="str">
        <x:v>40355b29bce094aef0e99358bdfd4011b92e72a54440a67760de4afae4883c33</x:v>
      </x:c>
      <x:c r="O220" t="str">
        <x:v>legacy_common_sample_8902245</x:v>
      </x:c>
      <x:c r="P220" t="str">
        <x:v>factor_report/gtja191_batch/gtja_074/ic_summary.csv</x:v>
      </x:c>
    </x:row>
    <x:row r="221">
      <x:c r="A221" t="str">
        <x:v>gtja_074</x:v>
      </x:c>
      <x:c r="B221" s="50" t="n">
        <x:v>10</x:v>
      </x:c>
      <x:c r="C221" s="30" t="n">
        <x:v>-0.020165381536743503</x:v>
      </x:c>
      <x:c r="D221" s="30" t="n">
        <x:v>0.06013223602080994</x:v>
      </x:c>
      <x:c r="E221" s="30" t="n">
        <x:v>-0.3353506017931027</x:v>
      </x:c>
      <x:c r="F221" s="30" t="n">
        <x:v>-0.04191406627113578</x:v>
      </x:c>
      <x:c r="G221" s="30" t="n">
        <x:v>0.0691685801903373</x:v>
      </x:c>
      <x:c r="H221" s="30" t="n">
        <x:v>-0.6059697359089509</x:v>
      </x:c>
      <x:c r="I221" s="30" t="n">
        <x:v>0.2710327455919396</x:v>
      </x:c>
      <x:c r="J221" s="30" t="n">
        <x:v>0.3677581863979849</x:v>
      </x:c>
      <x:c r="K221" s="19" t="n">
        <x:v>1985</x:v>
      </x:c>
      <x:c r="L221" s="74" t="n">
        <x:v>46210.45096833333</x:v>
      </x:c>
      <x:c r="M221" s="19" t="n">
        <x:v>8902245</x:v>
      </x:c>
      <x:c r="N221" t="str">
        <x:v>40355b29bce094aef0e99358bdfd4011b92e72a54440a67760de4afae4883c33</x:v>
      </x:c>
      <x:c r="O221" t="str">
        <x:v>legacy_common_sample_8902245</x:v>
      </x:c>
      <x:c r="P221" t="str">
        <x:v>factor_report/gtja191_batch/gtja_074/ic_summary.csv</x:v>
      </x:c>
    </x:row>
    <x:row r="222">
      <x:c r="A222" t="str">
        <x:v>gtja_074</x:v>
      </x:c>
      <x:c r="B222" s="50" t="n">
        <x:v>20</x:v>
      </x:c>
      <x:c r="C222" s="30" t="n">
        <x:v>-0.02359735985699223</x:v>
      </x:c>
      <x:c r="D222" s="30" t="n">
        <x:v>0.05933940051690343</x:v>
      </x:c>
      <x:c r="E222" s="30" t="n">
        <x:v>-0.39766764833207713</x:v>
      </x:c>
      <x:c r="F222" s="30" t="n">
        <x:v>-0.04496579321359351</x:v>
      </x:c>
      <x:c r="G222" s="30" t="n">
        <x:v>0.06919798349307602</x:v>
      </x:c>
      <x:c r="H222" s="30" t="n">
        <x:v>-0.6498136353654411</x:v>
      </x:c>
      <x:c r="I222" s="30" t="n">
        <x:v>0.25113924050632913</x:v>
      </x:c>
      <x:c r="J222" s="30" t="n">
        <x:v>0.3291139240506329</x:v>
      </x:c>
      <x:c r="K222" s="19" t="n">
        <x:v>1975</x:v>
      </x:c>
      <x:c r="L222" s="74" t="n">
        <x:v>46210.45096833333</x:v>
      </x:c>
      <x:c r="M222" s="19" t="n">
        <x:v>8902245</x:v>
      </x:c>
      <x:c r="N222" t="str">
        <x:v>40355b29bce094aef0e99358bdfd4011b92e72a54440a67760de4afae4883c33</x:v>
      </x:c>
      <x:c r="O222" t="str">
        <x:v>legacy_common_sample_8902245</x:v>
      </x:c>
      <x:c r="P222" t="str">
        <x:v>factor_report/gtja191_batch/gtja_074/ic_summary.csv</x:v>
      </x:c>
    </x:row>
    <x:row r="223">
      <x:c r="A223" t="str">
        <x:v>gtja_076</x:v>
      </x:c>
      <x:c r="B223" s="50" t="n">
        <x:v>10</x:v>
      </x:c>
      <x:c r="C223" s="30" t="n">
        <x:v>-0.007568381399347116</x:v>
      </x:c>
      <x:c r="D223" s="30" t="n">
        <x:v>0.05440789505290173</x:v>
      </x:c>
      <x:c r="E223" s="30" t="n">
        <x:v>-0.1391044698933537</x:v>
      </x:c>
      <x:c r="F223" s="30" t="n">
        <x:v>-0.004315535410730925</x:v>
      </x:c>
      <x:c r="G223" s="30" t="n">
        <x:v>0.06273108363519536</x:v>
      </x:c>
      <x:c r="H223" s="30" t="n">
        <x:v>-0.0687942111095573</x:v>
      </x:c>
      <x:c r="I223" s="30" t="n">
        <x:v>0.4289301858362632</x:v>
      </x:c>
      <x:c r="J223" s="30" t="n">
        <x:v>0.42692114515318935</x:v>
      </x:c>
      <x:c r="K223" s="19" t="n">
        <x:v>1991</x:v>
      </x:c>
      <x:c r="L223" s="74" t="n">
        <x:v>46211.30655486111</x:v>
      </x:c>
      <x:c r="M223" s="19" t="n">
        <x:v>8902245</x:v>
      </x:c>
      <x:c r="N223" t="str">
        <x:v>8f7e606554926462248cbcc654181861438ca768a0063f6b317223ede37d16fb</x:v>
      </x:c>
      <x:c r="O223" t="str">
        <x:v>legacy_common_sample_8902245</x:v>
      </x:c>
      <x:c r="P223" t="str">
        <x:v>factor_report/gtja191_batch/gtja_076/ic_summary.csv</x:v>
      </x:c>
    </x:row>
    <x:row r="224">
      <x:c r="A224" t="str">
        <x:v>gtja_076</x:v>
      </x:c>
      <x:c r="B224" s="50" t="n">
        <x:v>20</x:v>
      </x:c>
      <x:c r="C224" s="30" t="n">
        <x:v>-0.011159217411926086</x:v>
      </x:c>
      <x:c r="D224" s="30" t="n">
        <x:v>0.05108450292954301</x:v>
      </x:c>
      <x:c r="E224" s="30" t="n">
        <x:v>-0.2184462365684002</x:v>
      </x:c>
      <x:c r="F224" s="30" t="n">
        <x:v>-0.01015491091355887</x:v>
      </x:c>
      <x:c r="G224" s="30" t="n">
        <x:v>0.06031731953262023</x:v>
      </x:c>
      <x:c r="H224" s="30" t="n">
        <x:v>-0.16835812652561574</x:v>
      </x:c>
      <x:c r="I224" s="30" t="n">
        <x:v>0.4093891973750631</x:v>
      </x:c>
      <x:c r="J224" s="30" t="n">
        <x:v>0.39727410398788493</x:v>
      </x:c>
      <x:c r="K224" s="19" t="n">
        <x:v>1981</x:v>
      </x:c>
      <x:c r="L224" s="74" t="n">
        <x:v>46211.30655486111</x:v>
      </x:c>
      <x:c r="M224" s="19" t="n">
        <x:v>8902245</x:v>
      </x:c>
      <x:c r="N224" t="str">
        <x:v>8f7e606554926462248cbcc654181861438ca768a0063f6b317223ede37d16fb</x:v>
      </x:c>
      <x:c r="O224" t="str">
        <x:v>legacy_common_sample_8902245</x:v>
      </x:c>
      <x:c r="P224" t="str">
        <x:v>factor_report/gtja191_batch/gtja_076/ic_summary.csv</x:v>
      </x:c>
    </x:row>
    <x:row r="225">
      <x:c r="A225" t="str">
        <x:v>gtja_077</x:v>
      </x:c>
      <x:c r="B225" s="50" t="n">
        <x:v>10</x:v>
      </x:c>
      <x:c r="C225" s="30" t="n">
        <x:v>0.0217147627826924</x:v>
      </x:c>
      <x:c r="D225" s="30" t="n">
        <x:v>0.07638593943277486</x:v>
      </x:c>
      <x:c r="E225" s="30" t="n">
        <x:v>0.28427696175423695</x:v>
      </x:c>
      <x:c r="F225" s="30" t="n">
        <x:v>0.035037501642073206</x:v>
      </x:c>
      <x:c r="G225" s="30" t="n">
        <x:v>0.08890781930598611</x:v>
      </x:c>
      <x:c r="H225" s="30" t="n">
        <x:v>0.3940879656657393</x:v>
      </x:c>
      <x:c r="I225" s="30" t="n">
        <x:v>0.6659969864389754</x:v>
      </x:c>
      <x:c r="J225" s="30" t="n">
        <x:v>0.6202913108990457</x:v>
      </x:c>
      <x:c r="K225" s="19" t="n">
        <x:v>1991</x:v>
      </x:c>
      <x:c r="L225" s="74" t="n">
        <x:v>46211.309369814815</x:v>
      </x:c>
      <x:c r="M225" s="19" t="n">
        <x:v>8902245</x:v>
      </x:c>
      <x:c r="N225" t="str">
        <x:v>8f7e606554926462248cbcc654181861438ca768a0063f6b317223ede37d16fb</x:v>
      </x:c>
      <x:c r="O225" t="str">
        <x:v>legacy_common_sample_8902245</x:v>
      </x:c>
      <x:c r="P225" t="str">
        <x:v>factor_report/gtja191_batch/gtja_077/ic_summary.csv</x:v>
      </x:c>
    </x:row>
    <x:row r="226">
      <x:c r="A226" t="str">
        <x:v>gtja_077</x:v>
      </x:c>
      <x:c r="B226" s="50" t="n">
        <x:v>20</x:v>
      </x:c>
      <x:c r="C226" s="30" t="n">
        <x:v>0.025830671285083203</x:v>
      </x:c>
      <x:c r="D226" s="30" t="n">
        <x:v>0.07517770378056705</x:v>
      </x:c>
      <x:c r="E226" s="30" t="n">
        <x:v>0.3435948424346563</x:v>
      </x:c>
      <x:c r="F226" s="30" t="n">
        <x:v>0.04287942113184183</x:v>
      </x:c>
      <x:c r="G226" s="30" t="n">
        <x:v>0.08791953664390777</x:v>
      </x:c>
      <x:c r="H226" s="30" t="n">
        <x:v>0.4877120918586311</x:v>
      </x:c>
      <x:c r="I226" s="30" t="n">
        <x:v>0.6855123674911661</x:v>
      </x:c>
      <x:c r="J226" s="30" t="n">
        <x:v>0.6375567895002524</x:v>
      </x:c>
      <x:c r="K226" s="19" t="n">
        <x:v>1981</x:v>
      </x:c>
      <x:c r="L226" s="74" t="n">
        <x:v>46211.309369814815</x:v>
      </x:c>
      <x:c r="M226" s="19" t="n">
        <x:v>8902245</x:v>
      </x:c>
      <x:c r="N226" t="str">
        <x:v>8f7e606554926462248cbcc654181861438ca768a0063f6b317223ede37d16fb</x:v>
      </x:c>
      <x:c r="O226" t="str">
        <x:v>legacy_common_sample_8902245</x:v>
      </x:c>
      <x:c r="P226" t="str">
        <x:v>factor_report/gtja191_batch/gtja_077/ic_summary.csv</x:v>
      </x:c>
    </x:row>
    <x:row r="227">
      <x:c r="A227" t="str">
        <x:v>gtja_078</x:v>
      </x:c>
      <x:c r="B227" s="50" t="n">
        <x:v>1</x:v>
      </x:c>
      <x:c r="C227" s="30" t="n">
        <x:v>-0.010538016046574738</x:v>
      </x:c>
      <x:c r="D227" s="30" t="n">
        <x:v>0.11755904653802146</x:v>
      </x:c>
      <x:c r="E227" s="30" t="n">
        <x:v>-0.08964019662380034</x:v>
      </x:c>
      <x:c r="F227" s="30" t="n">
        <x:v>-0.028550669992315335</x:v>
      </x:c>
      <x:c r="G227" s="30" t="n">
        <x:v>0.13576175175730265</x:v>
      </x:c>
      <x:c r="H227" s="30" t="n">
        <x:v>-0.2102998055251566</x:v>
      </x:c>
      <x:c r="I227" s="30" t="n">
        <x:v>0.4135</x:v>
      </x:c>
      <x:c r="J227" s="30" t="n">
        <x:v>0.464</x:v>
      </x:c>
      <x:c r="K227" s="19" t="n">
        <x:v>2000</x:v>
      </x:c>
      <x:c r="L227" s="74" t="n">
        <x:v>46210.46714320602</x:v>
      </x:c>
      <x:c r="M227" s="19" t="n">
        <x:v>8902245</x:v>
      </x:c>
      <x:c r="N227" t="str">
        <x:v>40355b29bce094aef0e99358bdfd4011b92e72a54440a67760de4afae4883c33</x:v>
      </x:c>
      <x:c r="O227" t="str">
        <x:v>legacy_common_sample_8902245</x:v>
      </x:c>
      <x:c r="P227" t="str">
        <x:v>factor_report/gtja191_batch/gtja_078/ic_summary.csv</x:v>
      </x:c>
    </x:row>
    <x:row r="228">
      <x:c r="A228" t="str">
        <x:v>gtja_078</x:v>
      </x:c>
      <x:c r="B228" s="50" t="n">
        <x:v>5</x:v>
      </x:c>
      <x:c r="C228" s="30" t="n">
        <x:v>-0.019709874112280083</x:v>
      </x:c>
      <x:c r="D228" s="30" t="n">
        <x:v>0.10615338883476444</x:v>
      </x:c>
      <x:c r="E228" s="30" t="n">
        <x:v>-0.1856735270407613</x:v>
      </x:c>
      <x:c r="F228" s="30" t="n">
        <x:v>-0.03206752056763256</x:v>
      </x:c>
      <x:c r="G228" s="30" t="n">
        <x:v>0.12463252011510793</x:v>
      </x:c>
      <x:c r="H228" s="30" t="n">
        <x:v>-0.2572965750673715</x:v>
      </x:c>
      <x:c r="I228" s="30" t="n">
        <x:v>0.3972945891783567</x:v>
      </x:c>
      <x:c r="J228" s="30" t="n">
        <x:v>0.41282565130260523</x:v>
      </x:c>
      <x:c r="K228" s="19" t="n">
        <x:v>1996</x:v>
      </x:c>
      <x:c r="L228" s="74" t="n">
        <x:v>46210.46714320602</x:v>
      </x:c>
      <x:c r="M228" s="19" t="n">
        <x:v>8902245</x:v>
      </x:c>
      <x:c r="N228" t="str">
        <x:v>40355b29bce094aef0e99358bdfd4011b92e72a54440a67760de4afae4883c33</x:v>
      </x:c>
      <x:c r="O228" t="str">
        <x:v>legacy_common_sample_8902245</x:v>
      </x:c>
      <x:c r="P228" t="str">
        <x:v>factor_report/gtja191_batch/gtja_078/ic_summary.csv</x:v>
      </x:c>
    </x:row>
    <x:row r="229">
      <x:c r="A229" t="str">
        <x:v>gtja_078</x:v>
      </x:c>
      <x:c r="B229" s="50" t="n">
        <x:v>10</x:v>
      </x:c>
      <x:c r="C229" s="30" t="n">
        <x:v>-0.021482251485646774</x:v>
      </x:c>
      <x:c r="D229" s="30" t="n">
        <x:v>0.10028820757386009</x:v>
      </x:c>
      <x:c r="E229" s="30" t="n">
        <x:v>-0.2142051593635828</x:v>
      </x:c>
      <x:c r="F229" s="30" t="n">
        <x:v>-0.033764471884845174</x:v>
      </x:c>
      <x:c r="G229" s="30" t="n">
        <x:v>0.11797777440863583</x:v>
      </x:c>
      <x:c r="H229" s="30" t="n">
        <x:v>-0.2861934974963696</x:v>
      </x:c>
      <x:c r="I229" s="30" t="n">
        <x:v>0.38824711200401807</x:v>
      </x:c>
      <x:c r="J229" s="30" t="n">
        <x:v>0.4103465595178302</x:v>
      </x:c>
      <x:c r="K229" s="19" t="n">
        <x:v>1991</x:v>
      </x:c>
      <x:c r="L229" s="74" t="n">
        <x:v>46210.46714320602</x:v>
      </x:c>
      <x:c r="M229" s="19" t="n">
        <x:v>8902245</x:v>
      </x:c>
      <x:c r="N229" t="str">
        <x:v>40355b29bce094aef0e99358bdfd4011b92e72a54440a67760de4afae4883c33</x:v>
      </x:c>
      <x:c r="O229" t="str">
        <x:v>legacy_common_sample_8902245</x:v>
      </x:c>
      <x:c r="P229" t="str">
        <x:v>factor_report/gtja191_batch/gtja_078/ic_summary.csv</x:v>
      </x:c>
    </x:row>
    <x:row r="230">
      <x:c r="A230" t="str">
        <x:v>gtja_078</x:v>
      </x:c>
      <x:c r="B230" s="50" t="n">
        <x:v>20</x:v>
      </x:c>
      <x:c r="C230" s="30" t="n">
        <x:v>-0.025590561493302046</x:v>
      </x:c>
      <x:c r="D230" s="30" t="n">
        <x:v>0.0983075760393944</x:v>
      </x:c>
      <x:c r="E230" s="30" t="n">
        <x:v>-0.2603111837794398</x:v>
      </x:c>
      <x:c r="F230" s="30" t="n">
        <x:v>-0.03871594371270681</x:v>
      </x:c>
      <x:c r="G230" s="30" t="n">
        <x:v>0.1163417199175225</x:v>
      </x:c>
      <x:c r="H230" s="30" t="n">
        <x:v>-0.33277781813912927</x:v>
      </x:c>
      <x:c r="I230" s="30" t="n">
        <x:v>0.3801110550227158</x:v>
      </x:c>
      <x:c r="J230" s="30" t="n">
        <x:v>0.40636042402826855</x:v>
      </x:c>
      <x:c r="K230" s="19" t="n">
        <x:v>1981</x:v>
      </x:c>
      <x:c r="L230" s="74" t="n">
        <x:v>46210.46714320602</x:v>
      </x:c>
      <x:c r="M230" s="19" t="n">
        <x:v>8902245</x:v>
      </x:c>
      <x:c r="N230" t="str">
        <x:v>40355b29bce094aef0e99358bdfd4011b92e72a54440a67760de4afae4883c33</x:v>
      </x:c>
      <x:c r="O230" t="str">
        <x:v>legacy_common_sample_8902245</x:v>
      </x:c>
      <x:c r="P230" t="str">
        <x:v>factor_report/gtja191_batch/gtja_078/ic_summary.csv</x:v>
      </x:c>
    </x:row>
    <x:row r="231">
      <x:c r="A231" t="str">
        <x:v>gtja_079</x:v>
      </x:c>
      <x:c r="B231" s="50" t="n">
        <x:v>1</x:v>
      </x:c>
      <x:c r="C231" s="30" t="n">
        <x:v>-0.009971956033441422</x:v>
      </x:c>
      <x:c r="D231" s="30" t="n">
        <x:v>0.13027784000214834</x:v>
      </x:c>
      <x:c r="E231" s="30" t="n">
        <x:v>-0.0765437624178984</x:v>
      </x:c>
      <x:c r="F231" s="30" t="n">
        <x:v>-0.03433320624149432</x:v>
      </x:c>
      <x:c r="G231" s="30" t="n">
        <x:v>0.14938255095224742</x:v>
      </x:c>
      <x:c r="H231" s="30" t="n">
        <x:v>-0.2298341139753966</x:v>
      </x:c>
      <x:c r="I231" s="30" t="n">
        <x:v>0.398</x:v>
      </x:c>
      <x:c r="J231" s="30" t="n">
        <x:v>0.4675</x:v>
      </x:c>
      <x:c r="K231" s="19" t="n">
        <x:v>2000</x:v>
      </x:c>
      <x:c r="L231" s="74" t="n">
        <x:v>46210.47234655092</x:v>
      </x:c>
      <x:c r="M231" s="19" t="n">
        <x:v>8902245</x:v>
      </x:c>
      <x:c r="N231" t="str">
        <x:v>40355b29bce094aef0e99358bdfd4011b92e72a54440a67760de4afae4883c33</x:v>
      </x:c>
      <x:c r="O231" t="str">
        <x:v>legacy_common_sample_8902245</x:v>
      </x:c>
      <x:c r="P231" t="str">
        <x:v>factor_report/gtja191_batch/gtja_079/ic_summary.csv</x:v>
      </x:c>
    </x:row>
    <x:row r="232">
      <x:c r="A232" t="str">
        <x:v>gtja_079</x:v>
      </x:c>
      <x:c r="B232" s="50" t="n">
        <x:v>5</x:v>
      </x:c>
      <x:c r="C232" s="30" t="n">
        <x:v>-0.019009864498706477</x:v>
      </x:c>
      <x:c r="D232" s="30" t="n">
        <x:v>0.11778525198922145</x:v>
      </x:c>
      <x:c r="E232" s="30" t="n">
        <x:v>-0.16139426776831173</x:v>
      </x:c>
      <x:c r="F232" s="30" t="n">
        <x:v>-0.04118816438031043</x:v>
      </x:c>
      <x:c r="G232" s="30" t="n">
        <x:v>0.13608980568141407</x:v>
      </x:c>
      <x:c r="H232" s="30" t="n">
        <x:v>-0.30265429636024194</x:v>
      </x:c>
      <x:c r="I232" s="30" t="n">
        <x:v>0.3717434869739479</x:v>
      </x:c>
      <x:c r="J232" s="30" t="n">
        <x:v>0.43587174348697394</x:v>
      </x:c>
      <x:c r="K232" s="19" t="n">
        <x:v>1996</x:v>
      </x:c>
      <x:c r="L232" s="74" t="n">
        <x:v>46210.47234655092</x:v>
      </x:c>
      <x:c r="M232" s="19" t="n">
        <x:v>8902245</x:v>
      </x:c>
      <x:c r="N232" t="str">
        <x:v>40355b29bce094aef0e99358bdfd4011b92e72a54440a67760de4afae4883c33</x:v>
      </x:c>
      <x:c r="O232" t="str">
        <x:v>legacy_common_sample_8902245</x:v>
      </x:c>
      <x:c r="P232" t="str">
        <x:v>factor_report/gtja191_batch/gtja_079/ic_summary.csv</x:v>
      </x:c>
    </x:row>
    <x:row r="233">
      <x:c r="A233" t="str">
        <x:v>gtja_079</x:v>
      </x:c>
      <x:c r="B233" s="50" t="n">
        <x:v>10</x:v>
      </x:c>
      <x:c r="C233" s="30" t="n">
        <x:v>-0.020780330830408048</x:v>
      </x:c>
      <x:c r="D233" s="30" t="n">
        <x:v>0.11329964710821985</x:v>
      </x:c>
      <x:c r="E233" s="30" t="n">
        <x:v>-0.18341037559066184</x:v>
      </x:c>
      <x:c r="F233" s="30" t="n">
        <x:v>-0.04441185606748134</x:v>
      </x:c>
      <x:c r="G233" s="30" t="n">
        <x:v>0.13128115904989424</x:v>
      </x:c>
      <x:c r="H233" s="30" t="n">
        <x:v>-0.3382957340481914</x:v>
      </x:c>
      <x:c r="I233" s="30" t="n">
        <x:v>0.37769964841788045</x:v>
      </x:c>
      <x:c r="J233" s="30" t="n">
        <x:v>0.43545956805625313</x:v>
      </x:c>
      <x:c r="K233" s="19" t="n">
        <x:v>1991</x:v>
      </x:c>
      <x:c r="L233" s="74" t="n">
        <x:v>46210.47234655092</x:v>
      </x:c>
      <x:c r="M233" s="19" t="n">
        <x:v>8902245</x:v>
      </x:c>
      <x:c r="N233" t="str">
        <x:v>40355b29bce094aef0e99358bdfd4011b92e72a54440a67760de4afae4883c33</x:v>
      </x:c>
      <x:c r="O233" t="str">
        <x:v>legacy_common_sample_8902245</x:v>
      </x:c>
      <x:c r="P233" t="str">
        <x:v>factor_report/gtja191_batch/gtja_079/ic_summary.csv</x:v>
      </x:c>
    </x:row>
    <x:row r="234">
      <x:c r="A234" t="str">
        <x:v>gtja_079</x:v>
      </x:c>
      <x:c r="B234" s="50" t="n">
        <x:v>20</x:v>
      </x:c>
      <x:c r="C234" s="30" t="n">
        <x:v>-0.024675929984585003</x:v>
      </x:c>
      <x:c r="D234" s="30" t="n">
        <x:v>0.11348785931164036</x:v>
      </x:c>
      <x:c r="E234" s="30" t="n">
        <x:v>-0.21743233271168075</x:v>
      </x:c>
      <x:c r="F234" s="30" t="n">
        <x:v>-0.050061524150600216</x:v>
      </x:c>
      <x:c r="G234" s="30" t="n">
        <x:v>0.13088440444962812</x:v>
      </x:c>
      <x:c r="H234" s="30" t="n">
        <x:v>-0.3824865488070183</x:v>
      </x:c>
      <x:c r="I234" s="30" t="n">
        <x:v>0.3614336193841494</x:v>
      </x:c>
      <x:c r="J234" s="30" t="n">
        <x:v>0.4381625441696113</x:v>
      </x:c>
      <x:c r="K234" s="19" t="n">
        <x:v>1981</x:v>
      </x:c>
      <x:c r="L234" s="74" t="n">
        <x:v>46210.47234655092</x:v>
      </x:c>
      <x:c r="M234" s="19" t="n">
        <x:v>8902245</x:v>
      </x:c>
      <x:c r="N234" t="str">
        <x:v>40355b29bce094aef0e99358bdfd4011b92e72a54440a67760de4afae4883c33</x:v>
      </x:c>
      <x:c r="O234" t="str">
        <x:v>legacy_common_sample_8902245</x:v>
      </x:c>
      <x:c r="P234" t="str">
        <x:v>factor_report/gtja191_batch/gtja_079/ic_summary.csv</x:v>
      </x:c>
    </x:row>
    <x:row r="235">
      <x:c r="A235" t="str">
        <x:v>gtja_080</x:v>
      </x:c>
      <x:c r="B235" s="50" t="n">
        <x:v>10</x:v>
      </x:c>
      <x:c r="C235" s="30" t="n">
        <x:v>-0.023157372604016395</x:v>
      </x:c>
      <x:c r="D235" s="30" t="n">
        <x:v>0.05029714818425402</x:v>
      </x:c>
      <x:c r="E235" s="30" t="n">
        <x:v>-0.4604112447724426</x:v>
      </x:c>
      <x:c r="F235" s="30" t="n">
        <x:v>-0.01708948207940634</x:v>
      </x:c>
      <x:c r="G235" s="30" t="n">
        <x:v>0.0747215615870042</x:v>
      </x:c>
      <x:c r="H235" s="30" t="n">
        <x:v>-0.228708845431552</x:v>
      </x:c>
      <x:c r="I235" s="30" t="n">
        <x:v>0.4008036162732295</x:v>
      </x:c>
      <x:c r="J235" s="30" t="n">
        <x:v>0.2983425414364641</x:v>
      </x:c>
      <x:c r="K235" s="19" t="n">
        <x:v>1991</x:v>
      </x:c>
      <x:c r="L235" s="74" t="n">
        <x:v>46211.31192994213</x:v>
      </x:c>
      <x:c r="M235" s="19" t="n">
        <x:v>8902245</x:v>
      </x:c>
      <x:c r="N235" t="str">
        <x:v>8f7e606554926462248cbcc654181861438ca768a0063f6b317223ede37d16fb</x:v>
      </x:c>
      <x:c r="O235" t="str">
        <x:v>legacy_common_sample_8902245</x:v>
      </x:c>
      <x:c r="P235" t="str">
        <x:v>factor_report/gtja191_batch/gtja_080/ic_summary.csv</x:v>
      </x:c>
    </x:row>
    <x:row r="236">
      <x:c r="A236" t="str">
        <x:v>gtja_080</x:v>
      </x:c>
      <x:c r="B236" s="50" t="n">
        <x:v>20</x:v>
      </x:c>
      <x:c r="C236" s="30" t="n">
        <x:v>-0.023240631757765688</x:v>
      </x:c>
      <x:c r="D236" s="30" t="n">
        <x:v>0.0456996178431198</x:v>
      </x:c>
      <x:c r="E236" s="30" t="n">
        <x:v>-0.5085519935319246</x:v>
      </x:c>
      <x:c r="F236" s="30" t="n">
        <x:v>-0.01710208475329374</x:v>
      </x:c>
      <x:c r="G236" s="30" t="n">
        <x:v>0.07147216658414693</x:v>
      </x:c>
      <x:c r="H236" s="30" t="n">
        <x:v>-0.23928314434345288</x:v>
      </x:c>
      <x:c r="I236" s="30" t="n">
        <x:v>0.40030287733467945</x:v>
      </x:c>
      <x:c r="J236" s="30" t="n">
        <x:v>0.2801615345784957</x:v>
      </x:c>
      <x:c r="K236" s="19" t="n">
        <x:v>1981</x:v>
      </x:c>
      <x:c r="L236" s="74" t="n">
        <x:v>46211.31192994213</x:v>
      </x:c>
      <x:c r="M236" s="19" t="n">
        <x:v>8902245</x:v>
      </x:c>
      <x:c r="N236" t="str">
        <x:v>8f7e606554926462248cbcc654181861438ca768a0063f6b317223ede37d16fb</x:v>
      </x:c>
      <x:c r="O236" t="str">
        <x:v>legacy_common_sample_8902245</x:v>
      </x:c>
      <x:c r="P236" t="str">
        <x:v>factor_report/gtja191_batch/gtja_080/ic_summary.csv</x:v>
      </x:c>
    </x:row>
    <x:row r="237">
      <x:c r="A237" t="str">
        <x:v>gtja_081</x:v>
      </x:c>
      <x:c r="B237" s="50" t="n">
        <x:v>1</x:v>
      </x:c>
      <x:c r="C237" s="30" t="n">
        <x:v>-0.008877443711024611</x:v>
      </x:c>
      <x:c r="D237" s="30" t="n">
        <x:v>0.07454387915640857</x:v>
      </x:c>
      <x:c r="E237" s="30" t="n">
        <x:v>-0.11909017630271007</x:v>
      </x:c>
      <x:c r="F237" s="30" t="n">
        <x:v>-0.025489884293183298</x:v>
      </x:c>
      <x:c r="G237" s="30" t="n">
        <x:v>0.11596689355114129</x:v>
      </x:c>
      <x:c r="H237" s="30" t="n">
        <x:v>-0.2198031137390283</x:v>
      </x:c>
      <x:c r="I237" s="30" t="n">
        <x:v>0.391</x:v>
      </x:c>
      <x:c r="J237" s="30" t="n">
        <x:v>0.4385</x:v>
      </x:c>
      <x:c r="K237" s="19" t="n">
        <x:v>2000</x:v>
      </x:c>
      <x:c r="L237" s="74" t="n">
        <x:v>46210.48091090278</x:v>
      </x:c>
      <x:c r="M237" s="19" t="n">
        <x:v>8902245</x:v>
      </x:c>
      <x:c r="N237" t="str">
        <x:v>40355b29bce094aef0e99358bdfd4011b92e72a54440a67760de4afae4883c33</x:v>
      </x:c>
      <x:c r="O237" t="str">
        <x:v>legacy_common_sample_8902245</x:v>
      </x:c>
      <x:c r="P237" t="str">
        <x:v>factor_report/gtja191_batch/gtja_081/ic_summary.csv</x:v>
      </x:c>
    </x:row>
    <x:row r="238">
      <x:c r="A238" t="str">
        <x:v>gtja_081</x:v>
      </x:c>
      <x:c r="B238" s="50" t="n">
        <x:v>5</x:v>
      </x:c>
      <x:c r="C238" s="30" t="n">
        <x:v>-0.01828061048577746</x:v>
      </x:c>
      <x:c r="D238" s="30" t="n">
        <x:v>0.07594359466060273</x:v>
      </x:c>
      <x:c r="E238" s="30" t="n">
        <x:v>-0.24071299979247485</x:v>
      </x:c>
      <x:c r="F238" s="30" t="n">
        <x:v>-0.04183927953457015</x:v>
      </x:c>
      <x:c r="G238" s="30" t="n">
        <x:v>0.12005694806538143</x:v>
      </x:c>
      <x:c r="H238" s="30" t="n">
        <x:v>-0.3484952783556103</x:v>
      </x:c>
      <x:c r="I238" s="30" t="n">
        <x:v>0.34769539078156314</x:v>
      </x:c>
      <x:c r="J238" s="30" t="n">
        <x:v>0.38877755511022044</x:v>
      </x:c>
      <x:c r="K238" s="19" t="n">
        <x:v>1996</x:v>
      </x:c>
      <x:c r="L238" s="74" t="n">
        <x:v>46210.48091090278</x:v>
      </x:c>
      <x:c r="M238" s="19" t="n">
        <x:v>8902245</x:v>
      </x:c>
      <x:c r="N238" t="str">
        <x:v>40355b29bce094aef0e99358bdfd4011b92e72a54440a67760de4afae4883c33</x:v>
      </x:c>
      <x:c r="O238" t="str">
        <x:v>legacy_common_sample_8902245</x:v>
      </x:c>
      <x:c r="P238" t="str">
        <x:v>factor_report/gtja191_batch/gtja_081/ic_summary.csv</x:v>
      </x:c>
    </x:row>
    <x:row r="239">
      <x:c r="A239" t="str">
        <x:v>gtja_081</x:v>
      </x:c>
      <x:c r="B239" s="50" t="n">
        <x:v>10</x:v>
      </x:c>
      <x:c r="C239" s="30" t="n">
        <x:v>-0.023297164946461797</x:v>
      </x:c>
      <x:c r="D239" s="30" t="n">
        <x:v>0.07538438498620247</x:v>
      </x:c>
      <x:c r="E239" s="30" t="n">
        <x:v>-0.309044969335836</x:v>
      </x:c>
      <x:c r="F239" s="30" t="n">
        <x:v>-0.04996957504108294</x:v>
      </x:c>
      <x:c r="G239" s="30" t="n">
        <x:v>0.11837507641887102</x:v>
      </x:c>
      <x:c r="H239" s="30" t="n">
        <x:v>-0.4221291892920538</x:v>
      </x:c>
      <x:c r="I239" s="30" t="n">
        <x:v>0.316926167754897</x:v>
      </x:c>
      <x:c r="J239" s="30" t="n">
        <x:v>0.35760924158714213</x:v>
      </x:c>
      <x:c r="K239" s="19" t="n">
        <x:v>1991</x:v>
      </x:c>
      <x:c r="L239" s="74" t="n">
        <x:v>46210.48091090278</x:v>
      </x:c>
      <x:c r="M239" s="19" t="n">
        <x:v>8902245</x:v>
      </x:c>
      <x:c r="N239" t="str">
        <x:v>40355b29bce094aef0e99358bdfd4011b92e72a54440a67760de4afae4883c33</x:v>
      </x:c>
      <x:c r="O239" t="str">
        <x:v>legacy_common_sample_8902245</x:v>
      </x:c>
      <x:c r="P239" t="str">
        <x:v>factor_report/gtja191_batch/gtja_081/ic_summary.csv</x:v>
      </x:c>
    </x:row>
    <x:row r="240">
      <x:c r="A240" t="str">
        <x:v>gtja_081</x:v>
      </x:c>
      <x:c r="B240" s="50" t="n">
        <x:v>20</x:v>
      </x:c>
      <x:c r="C240" s="30" t="n">
        <x:v>-0.029405477897469175</x:v>
      </x:c>
      <x:c r="D240" s="30" t="n">
        <x:v>0.07491481197025136</x:v>
      </x:c>
      <x:c r="E240" s="30" t="n">
        <x:v>-0.39251887743035485</x:v>
      </x:c>
      <x:c r="F240" s="30" t="n">
        <x:v>-0.060928068467405144</x:v>
      </x:c>
      <x:c r="G240" s="30" t="n">
        <x:v>0.11564740330344445</x:v>
      </x:c>
      <x:c r="H240" s="30" t="n">
        <x:v>-0.5268433767383212</x:v>
      </x:c>
      <x:c r="I240" s="30" t="n">
        <x:v>0.31246845027763753</x:v>
      </x:c>
      <x:c r="J240" s="30" t="n">
        <x:v>0.3382130237253912</x:v>
      </x:c>
      <x:c r="K240" s="19" t="n">
        <x:v>1981</x:v>
      </x:c>
      <x:c r="L240" s="74" t="n">
        <x:v>46210.48091090278</x:v>
      </x:c>
      <x:c r="M240" s="19" t="n">
        <x:v>8902245</x:v>
      </x:c>
      <x:c r="N240" t="str">
        <x:v>40355b29bce094aef0e99358bdfd4011b92e72a54440a67760de4afae4883c33</x:v>
      </x:c>
      <x:c r="O240" t="str">
        <x:v>legacy_common_sample_8902245</x:v>
      </x:c>
      <x:c r="P240" t="str">
        <x:v>factor_report/gtja191_batch/gtja_081/ic_summary.csv</x:v>
      </x:c>
    </x:row>
    <x:row r="241">
      <x:c r="A241" t="str">
        <x:v>gtja_082</x:v>
      </x:c>
      <x:c r="B241" s="50" t="n">
        <x:v>10</x:v>
      </x:c>
      <x:c r="C241" s="30" t="n">
        <x:v>0.008357386241550111</x:v>
      </x:c>
      <x:c r="D241" s="30" t="n">
        <x:v>0.11410861349243746</x:v>
      </x:c>
      <x:c r="E241" s="30" t="n">
        <x:v>0.07324062562642562</x:v>
      </x:c>
      <x:c r="F241" s="30" t="n">
        <x:v>0.019699206520663495</x:v>
      </x:c>
      <x:c r="G241" s="30" t="n">
        <x:v>0.13194206204058712</x:v>
      </x:c>
      <x:c r="H241" s="30" t="n">
        <x:v>0.14930194523262613</x:v>
      </x:c>
      <x:c r="I241" s="30" t="n">
        <x:v>0.5238573581115018</x:v>
      </x:c>
      <x:c r="J241" s="30" t="n">
        <x:v>0.4972375690607735</x:v>
      </x:c>
      <x:c r="K241" s="19" t="n">
        <x:v>1991</x:v>
      </x:c>
      <x:c r="L241" s="74" t="n">
        <x:v>46211.314943969905</x:v>
      </x:c>
      <x:c r="M241" s="19" t="n">
        <x:v>8902245</x:v>
      </x:c>
      <x:c r="N241" t="str">
        <x:v>8f7e606554926462248cbcc654181861438ca768a0063f6b317223ede37d16fb</x:v>
      </x:c>
      <x:c r="O241" t="str">
        <x:v>legacy_common_sample_8902245</x:v>
      </x:c>
      <x:c r="P241" t="str">
        <x:v>factor_report/gtja191_batch/gtja_082/ic_summary.csv</x:v>
      </x:c>
    </x:row>
    <x:row r="242">
      <x:c r="A242" t="str">
        <x:v>gtja_082</x:v>
      </x:c>
      <x:c r="B242" s="50" t="n">
        <x:v>20</x:v>
      </x:c>
      <x:c r="C242" s="30" t="n">
        <x:v>0.010907924013598478</x:v>
      </x:c>
      <x:c r="D242" s="30" t="n">
        <x:v>0.11711205912461894</x:v>
      </x:c>
      <x:c r="E242" s="30" t="n">
        <x:v>0.09314091217533248</x:v>
      </x:c>
      <x:c r="F242" s="30" t="n">
        <x:v>0.024805974874621117</x:v>
      </x:c>
      <x:c r="G242" s="30" t="n">
        <x:v>0.13499841269894594</x:v>
      </x:c>
      <x:c r="H242" s="30" t="n">
        <x:v>0.1837501225287725</x:v>
      </x:c>
      <x:c r="I242" s="30" t="n">
        <x:v>0.5310449268046441</x:v>
      </x:c>
      <x:c r="J242" s="30" t="n">
        <x:v>0.49217566885411407</x:v>
      </x:c>
      <x:c r="K242" s="19" t="n">
        <x:v>1981</x:v>
      </x:c>
      <x:c r="L242" s="74" t="n">
        <x:v>46211.314943969905</x:v>
      </x:c>
      <x:c r="M242" s="19" t="n">
        <x:v>8902245</x:v>
      </x:c>
      <x:c r="N242" t="str">
        <x:v>8f7e606554926462248cbcc654181861438ca768a0063f6b317223ede37d16fb</x:v>
      </x:c>
      <x:c r="O242" t="str">
        <x:v>legacy_common_sample_8902245</x:v>
      </x:c>
      <x:c r="P242" t="str">
        <x:v>factor_report/gtja191_batch/gtja_082/ic_summary.csv</x:v>
      </x:c>
    </x:row>
    <x:row r="243">
      <x:c r="A243" t="str">
        <x:v>gtja_083</x:v>
      </x:c>
      <x:c r="B243" s="50" t="n">
        <x:v>10</x:v>
      </x:c>
      <x:c r="C243" s="30" t="n">
        <x:v>0.021699233986869893</x:v>
      </x:c>
      <x:c r="D243" s="30" t="n">
        <x:v>0.05702448232717073</x:v>
      </x:c>
      <x:c r="E243" s="30" t="n">
        <x:v>0.3805248746033904</x:v>
      </x:c>
      <x:c r="F243" s="30" t="n">
        <x:v>0.050828634987576136</x:v>
      </x:c>
      <x:c r="G243" s="30" t="n">
        <x:v>0.06367666348899453</x:v>
      </x:c>
      <x:c r="H243" s="30" t="n">
        <x:v>0.7982301867364805</x:v>
      </x:c>
      <x:c r="I243" s="30" t="n">
        <x:v>0.7965846308387745</x:v>
      </x:c>
      <x:c r="J243" s="30" t="n">
        <x:v>0.6288297338021095</x:v>
      </x:c>
      <x:c r="K243" s="19" t="n">
        <x:v>1991</x:v>
      </x:c>
      <x:c r="L243" s="74" t="n">
        <x:v>46211.31746125</x:v>
      </x:c>
      <x:c r="M243" s="19" t="n">
        <x:v>8902245</x:v>
      </x:c>
      <x:c r="N243" t="str">
        <x:v>8f7e606554926462248cbcc654181861438ca768a0063f6b317223ede37d16fb</x:v>
      </x:c>
      <x:c r="O243" t="str">
        <x:v>legacy_common_sample_8902245</x:v>
      </x:c>
      <x:c r="P243" t="str">
        <x:v>factor_report/gtja191_batch/gtja_083/ic_summary.csv</x:v>
      </x:c>
    </x:row>
    <x:row r="244">
      <x:c r="A244" t="str">
        <x:v>gtja_083</x:v>
      </x:c>
      <x:c r="B244" s="50" t="n">
        <x:v>20</x:v>
      </x:c>
      <x:c r="C244" s="30" t="n">
        <x:v>0.02394751067385203</x:v>
      </x:c>
      <x:c r="D244" s="30" t="n">
        <x:v>0.054123776255105005</x:v>
      </x:c>
      <x:c r="E244" s="30" t="n">
        <x:v>0.4424582379651176</x:v>
      </x:c>
      <x:c r="F244" s="30" t="n">
        <x:v>0.05278327687859521</x:v>
      </x:c>
      <x:c r="G244" s="30" t="n">
        <x:v>0.06044424555546098</x:v>
      </x:c>
      <x:c r="H244" s="30" t="n">
        <x:v>0.8732556158743613</x:v>
      </x:c>
      <x:c r="I244" s="30" t="n">
        <x:v>0.8081776880363453</x:v>
      </x:c>
      <x:c r="J244" s="30" t="n">
        <x:v>0.6597677940434125</x:v>
      </x:c>
      <x:c r="K244" s="19" t="n">
        <x:v>1981</x:v>
      </x:c>
      <x:c r="L244" s="74" t="n">
        <x:v>46211.31746125</x:v>
      </x:c>
      <x:c r="M244" s="19" t="n">
        <x:v>8902245</x:v>
      </x:c>
      <x:c r="N244" t="str">
        <x:v>8f7e606554926462248cbcc654181861438ca768a0063f6b317223ede37d16fb</x:v>
      </x:c>
      <x:c r="O244" t="str">
        <x:v>legacy_common_sample_8902245</x:v>
      </x:c>
      <x:c r="P244" t="str">
        <x:v>factor_report/gtja191_batch/gtja_083/ic_summary.csv</x:v>
      </x:c>
    </x:row>
    <x:row r="245">
      <x:c r="A245" t="str">
        <x:v>gtja_084</x:v>
      </x:c>
      <x:c r="B245" s="50" t="n">
        <x:v>1</x:v>
      </x:c>
      <x:c r="C245" s="30" t="n">
        <x:v>-0.007512573786931507</x:v>
      </x:c>
      <x:c r="D245" s="30" t="n">
        <x:v>0.07060312814350451</x:v>
      </x:c>
      <x:c r="E245" s="30" t="n">
        <x:v>-0.10640567896172831</x:v>
      </x:c>
      <x:c r="F245" s="30" t="n">
        <x:v>-0.024888335831821887</x:v>
      </x:c>
      <x:c r="G245" s="30" t="n">
        <x:v>0.10509856385351185</x:v>
      </x:c>
      <x:c r="H245" s="30" t="n">
        <x:v>-0.23680947597449256</x:v>
      </x:c>
      <x:c r="I245" s="30" t="n">
        <x:v>0.397</x:v>
      </x:c>
      <x:c r="J245" s="30" t="n">
        <x:v>0.4335</x:v>
      </x:c>
      <x:c r="K245" s="19" t="n">
        <x:v>2000</x:v>
      </x:c>
      <x:c r="L245" s="74" t="n">
        <x:v>46210.493655</x:v>
      </x:c>
      <x:c r="M245" s="19" t="n">
        <x:v>8902245</x:v>
      </x:c>
      <x:c r="N245" t="str">
        <x:v>40355b29bce094aef0e99358bdfd4011b92e72a54440a67760de4afae4883c33</x:v>
      </x:c>
      <x:c r="O245" t="str">
        <x:v>legacy_common_sample_8902245</x:v>
      </x:c>
      <x:c r="P245" t="str">
        <x:v>factor_report/gtja191_batch/gtja_084/ic_summary.csv</x:v>
      </x:c>
    </x:row>
    <x:row r="246">
      <x:c r="A246" t="str">
        <x:v>gtja_084</x:v>
      </x:c>
      <x:c r="B246" s="50" t="n">
        <x:v>5</x:v>
      </x:c>
      <x:c r="C246" s="30" t="n">
        <x:v>-0.015704180032995146</x:v>
      </x:c>
      <x:c r="D246" s="30" t="n">
        <x:v>0.06667135341926608</x:v>
      </x:c>
      <x:c r="E246" s="30" t="n">
        <x:v>-0.23554614129757706</x:v>
      </x:c>
      <x:c r="F246" s="30" t="n">
        <x:v>-0.03447758590742363</x:v>
      </x:c>
      <x:c r="G246" s="30" t="n">
        <x:v>0.09810025639328906</x:v>
      </x:c>
      <x:c r="H246" s="30" t="n">
        <x:v>-0.3514525565478767</x:v>
      </x:c>
      <x:c r="I246" s="30" t="n">
        <x:v>0.36172344689378755</x:v>
      </x:c>
      <x:c r="J246" s="30" t="n">
        <x:v>0.39178356713426854</x:v>
      </x:c>
      <x:c r="K246" s="19" t="n">
        <x:v>1996</x:v>
      </x:c>
      <x:c r="L246" s="74" t="n">
        <x:v>46210.493655</x:v>
      </x:c>
      <x:c r="M246" s="19" t="n">
        <x:v>8902245</x:v>
      </x:c>
      <x:c r="N246" t="str">
        <x:v>40355b29bce094aef0e99358bdfd4011b92e72a54440a67760de4afae4883c33</x:v>
      </x:c>
      <x:c r="O246" t="str">
        <x:v>legacy_common_sample_8902245</x:v>
      </x:c>
      <x:c r="P246" t="str">
        <x:v>factor_report/gtja191_batch/gtja_084/ic_summary.csv</x:v>
      </x:c>
    </x:row>
    <x:row r="247">
      <x:c r="A247" t="str">
        <x:v>gtja_084</x:v>
      </x:c>
      <x:c r="B247" s="50" t="n">
        <x:v>10</x:v>
      </x:c>
      <x:c r="C247" s="30" t="n">
        <x:v>-0.01947001112328579</x:v>
      </x:c>
      <x:c r="D247" s="30" t="n">
        <x:v>0.06453142832993244</x:v>
      </x:c>
      <x:c r="E247" s="30" t="n">
        <x:v>-0.3017136243093935</x:v>
      </x:c>
      <x:c r="F247" s="30" t="n">
        <x:v>-0.04048932825227205</x:v>
      </x:c>
      <x:c r="G247" s="30" t="n">
        <x:v>0.09624171891250878</x:v>
      </x:c>
      <x:c r="H247" s="30" t="n">
        <x:v>-0.4207045417495089</x:v>
      </x:c>
      <x:c r="I247" s="30" t="n">
        <x:v>0.3324962330487192</x:v>
      </x:c>
      <x:c r="J247" s="30" t="n">
        <x:v>0.3761928679055751</x:v>
      </x:c>
      <x:c r="K247" s="19" t="n">
        <x:v>1991</x:v>
      </x:c>
      <x:c r="L247" s="74" t="n">
        <x:v>46210.493655</x:v>
      </x:c>
      <x:c r="M247" s="19" t="n">
        <x:v>8902245</x:v>
      </x:c>
      <x:c r="N247" t="str">
        <x:v>40355b29bce094aef0e99358bdfd4011b92e72a54440a67760de4afae4883c33</x:v>
      </x:c>
      <x:c r="O247" t="str">
        <x:v>legacy_common_sample_8902245</x:v>
      </x:c>
      <x:c r="P247" t="str">
        <x:v>factor_report/gtja191_batch/gtja_084/ic_summary.csv</x:v>
      </x:c>
    </x:row>
    <x:row r="248">
      <x:c r="A248" t="str">
        <x:v>gtja_084</x:v>
      </x:c>
      <x:c r="B248" s="50" t="n">
        <x:v>20</x:v>
      </x:c>
      <x:c r="C248" s="30" t="n">
        <x:v>-0.024568103480382575</x:v>
      </x:c>
      <x:c r="D248" s="30" t="n">
        <x:v>0.06345520808340936</x:v>
      </x:c>
      <x:c r="E248" s="30" t="n">
        <x:v>-0.38717237280332883</x:v>
      </x:c>
      <x:c r="F248" s="30" t="n">
        <x:v>-0.05088072449977146</x:v>
      </x:c>
      <x:c r="G248" s="30" t="n">
        <x:v>0.09690800661187607</x:v>
      </x:c>
      <x:c r="H248" s="30" t="n">
        <x:v>-0.5250414932540366</x:v>
      </x:c>
      <x:c r="I248" s="30" t="n">
        <x:v>0.28975265017667845</x:v>
      </x:c>
      <x:c r="J248" s="30" t="n">
        <x:v>0.3397274103987885</x:v>
      </x:c>
      <x:c r="K248" s="19" t="n">
        <x:v>1981</x:v>
      </x:c>
      <x:c r="L248" s="74" t="n">
        <x:v>46210.493655</x:v>
      </x:c>
      <x:c r="M248" s="19" t="n">
        <x:v>8902245</x:v>
      </x:c>
      <x:c r="N248" t="str">
        <x:v>40355b29bce094aef0e99358bdfd4011b92e72a54440a67760de4afae4883c33</x:v>
      </x:c>
      <x:c r="O248" t="str">
        <x:v>legacy_common_sample_8902245</x:v>
      </x:c>
      <x:c r="P248" t="str">
        <x:v>factor_report/gtja191_batch/gtja_084/ic_summary.csv</x:v>
      </x:c>
    </x:row>
    <x:row r="249">
      <x:c r="A249" t="str">
        <x:v>gtja_085</x:v>
      </x:c>
      <x:c r="B249" s="50" t="n">
        <x:v>10</x:v>
      </x:c>
      <x:c r="C249" s="30" t="n">
        <x:v>0.00531977173288779</x:v>
      </x:c>
      <x:c r="D249" s="30" t="n">
        <x:v>0.06378038222464388</x:v>
      </x:c>
      <x:c r="E249" s="30" t="n">
        <x:v>0.08340764898759577</x:v>
      </x:c>
      <x:c r="F249" s="30" t="n">
        <x:v>0.009101116867026332</x:v>
      </x:c>
      <x:c r="G249" s="30" t="n">
        <x:v>0.08057092252195697</x:v>
      </x:c>
      <x:c r="H249" s="30" t="n">
        <x:v>0.11295783369671758</x:v>
      </x:c>
      <x:c r="I249" s="30" t="n">
        <x:v>0.531893520843797</x:v>
      </x:c>
      <x:c r="J249" s="30" t="n">
        <x:v>0.5193370165745856</x:v>
      </x:c>
      <x:c r="K249" s="19" t="n">
        <x:v>1991</x:v>
      </x:c>
      <x:c r="L249" s="74" t="n">
        <x:v>46211.32386585648</x:v>
      </x:c>
      <x:c r="M249" s="19" t="n">
        <x:v>8902245</x:v>
      </x:c>
      <x:c r="N249" t="str">
        <x:v>8f7e606554926462248cbcc654181861438ca768a0063f6b317223ede37d16fb</x:v>
      </x:c>
      <x:c r="O249" t="str">
        <x:v>legacy_common_sample_8902245</x:v>
      </x:c>
      <x:c r="P249" t="str">
        <x:v>factor_report/gtja191_batch/gtja_085/ic_summary.csv</x:v>
      </x:c>
    </x:row>
    <x:row r="250">
      <x:c r="A250" t="str">
        <x:v>gtja_085</x:v>
      </x:c>
      <x:c r="B250" s="50" t="n">
        <x:v>20</x:v>
      </x:c>
      <x:c r="C250" s="30" t="n">
        <x:v>0.0038886499252636037</x:v>
      </x:c>
      <x:c r="D250" s="30" t="n">
        <x:v>0.06462405171593506</x:v>
      </x:c>
      <x:c r="E250" s="30" t="n">
        <x:v>0.06017341565578031</x:v>
      </x:c>
      <x:c r="F250" s="30" t="n">
        <x:v>0.008351333931381075</x:v>
      </x:c>
      <x:c r="G250" s="30" t="n">
        <x:v>0.08216370751033718</x:v>
      </x:c>
      <x:c r="H250" s="30" t="n">
        <x:v>0.10164261307622198</x:v>
      </x:c>
      <x:c r="I250" s="30" t="n">
        <x:v>0.5350832912670368</x:v>
      </x:c>
      <x:c r="J250" s="30" t="n">
        <x:v>0.5063099444724887</x:v>
      </x:c>
      <x:c r="K250" s="19" t="n">
        <x:v>1981</x:v>
      </x:c>
      <x:c r="L250" s="74" t="n">
        <x:v>46211.32386585648</x:v>
      </x:c>
      <x:c r="M250" s="19" t="n">
        <x:v>8902245</x:v>
      </x:c>
      <x:c r="N250" t="str">
        <x:v>8f7e606554926462248cbcc654181861438ca768a0063f6b317223ede37d16fb</x:v>
      </x:c>
      <x:c r="O250" t="str">
        <x:v>legacy_common_sample_8902245</x:v>
      </x:c>
      <x:c r="P250" t="str">
        <x:v>factor_report/gtja191_batch/gtja_085/ic_summary.csv</x:v>
      </x:c>
    </x:row>
    <x:row r="251">
      <x:c r="A251" t="str">
        <x:v>gtja_086</x:v>
      </x:c>
      <x:c r="B251" s="50" t="n">
        <x:v>10</x:v>
      </x:c>
      <x:c r="C251" s="30" t="n">
        <x:v>0.017918035488940574</x:v>
      </x:c>
      <x:c r="D251" s="30" t="n">
        <x:v>0.07899597802136771</x:v>
      </x:c>
      <x:c r="E251" s="30" t="n">
        <x:v>0.22682212357816375</x:v>
      </x:c>
      <x:c r="F251" s="30" t="n">
        <x:v>0.025539523204946915</x:v>
      </x:c>
      <x:c r="G251" s="30" t="n">
        <x:v>0.09729114568561431</x:v>
      </x:c>
      <x:c r="H251" s="30" t="n">
        <x:v>0.2625061409747922</x:v>
      </x:c>
      <x:c r="I251" s="30" t="n">
        <x:v>0.6092415871421396</x:v>
      </x:c>
      <x:c r="J251" s="30" t="n">
        <x:v>0.5966850828729282</x:v>
      </x:c>
      <x:c r="K251" s="19" t="n">
        <x:v>1991</x:v>
      </x:c>
      <x:c r="L251" s="74" t="n">
        <x:v>46211.32645658565</x:v>
      </x:c>
      <x:c r="M251" s="19" t="n">
        <x:v>8902245</x:v>
      </x:c>
      <x:c r="N251" t="str">
        <x:v>8f7e606554926462248cbcc654181861438ca768a0063f6b317223ede37d16fb</x:v>
      </x:c>
      <x:c r="O251" t="str">
        <x:v>legacy_common_sample_8902245</x:v>
      </x:c>
      <x:c r="P251" t="str">
        <x:v>factor_report/gtja191_batch/gtja_086/ic_summary.csv</x:v>
      </x:c>
    </x:row>
    <x:row r="252">
      <x:c r="A252" t="str">
        <x:v>gtja_086</x:v>
      </x:c>
      <x:c r="B252" s="50" t="n">
        <x:v>20</x:v>
      </x:c>
      <x:c r="C252" s="30" t="n">
        <x:v>0.022154758663680312</x:v>
      </x:c>
      <x:c r="D252" s="30" t="n">
        <x:v>0.07970867817197884</x:v>
      </x:c>
      <x:c r="E252" s="30" t="n">
        <x:v>0.27794663230871014</x:v>
      </x:c>
      <x:c r="F252" s="30" t="n">
        <x:v>0.031187852970758673</x:v>
      </x:c>
      <x:c r="G252" s="30" t="n">
        <x:v>0.09537633457491719</x:v>
      </x:c>
      <x:c r="H252" s="30" t="n">
        <x:v>0.3269978146021214</x:v>
      </x:c>
      <x:c r="I252" s="30" t="n">
        <x:v>0.6451287228672388</x:v>
      </x:c>
      <x:c r="J252" s="30" t="n">
        <x:v>0.6173649671882887</x:v>
      </x:c>
      <x:c r="K252" s="19" t="n">
        <x:v>1981</x:v>
      </x:c>
      <x:c r="L252" s="74" t="n">
        <x:v>46211.32645658565</x:v>
      </x:c>
      <x:c r="M252" s="19" t="n">
        <x:v>8902245</x:v>
      </x:c>
      <x:c r="N252" t="str">
        <x:v>8f7e606554926462248cbcc654181861438ca768a0063f6b317223ede37d16fb</x:v>
      </x:c>
      <x:c r="O252" t="str">
        <x:v>legacy_common_sample_8902245</x:v>
      </x:c>
      <x:c r="P252" t="str">
        <x:v>factor_report/gtja191_batch/gtja_086/ic_summary.csv</x:v>
      </x:c>
    </x:row>
    <x:row r="253">
      <x:c r="A253" t="str">
        <x:v>gtja_087</x:v>
      </x:c>
      <x:c r="B253" s="50" t="n">
        <x:v>10</x:v>
      </x:c>
      <x:c r="C253" s="30" t="n">
        <x:v>0.014354629131697558</x:v>
      </x:c>
      <x:c r="D253" s="30" t="n">
        <x:v>0.0785518287495882</x:v>
      </x:c>
      <x:c r="E253" s="30" t="n">
        <x:v>0.18274086498301684</x:v>
      </x:c>
      <x:c r="F253" s="30" t="n">
        <x:v>0.025257446979528055</x:v>
      </x:c>
      <x:c r="G253" s="30" t="n">
        <x:v>0.08909173682014304</x:v>
      </x:c>
      <x:c r="H253" s="30" t="n">
        <x:v>0.28349932194629207</x:v>
      </x:c>
      <x:c r="I253" s="30" t="n">
        <x:v>0.6012054244098443</x:v>
      </x:c>
      <x:c r="J253" s="30" t="n">
        <x:v>0.5645404319437468</x:v>
      </x:c>
      <x:c r="K253" s="19" t="n">
        <x:v>1991</x:v>
      </x:c>
      <x:c r="L253" s="74" t="n">
        <x:v>46211.33017637731</x:v>
      </x:c>
      <x:c r="M253" s="19" t="n">
        <x:v>8902245</x:v>
      </x:c>
      <x:c r="N253" t="str">
        <x:v>8f7e606554926462248cbcc654181861438ca768a0063f6b317223ede37d16fb</x:v>
      </x:c>
      <x:c r="O253" t="str">
        <x:v>legacy_common_sample_8902245</x:v>
      </x:c>
      <x:c r="P253" t="str">
        <x:v>factor_report/gtja191_batch/gtja_087/ic_summary.csv</x:v>
      </x:c>
    </x:row>
    <x:row r="254">
      <x:c r="A254" t="str">
        <x:v>gtja_087</x:v>
      </x:c>
      <x:c r="B254" s="50" t="n">
        <x:v>20</x:v>
      </x:c>
      <x:c r="C254" s="30" t="n">
        <x:v>0.017477897423344373</x:v>
      </x:c>
      <x:c r="D254" s="30" t="n">
        <x:v>0.07790998594879987</x:v>
      </x:c>
      <x:c r="E254" s="30" t="n">
        <x:v>0.2243344958992847</x:v>
      </x:c>
      <x:c r="F254" s="30" t="n">
        <x:v>0.028545089065096254</x:v>
      </x:c>
      <x:c r="G254" s="30" t="n">
        <x:v>0.08815126591871315</x:v>
      </x:c>
      <x:c r="H254" s="30" t="n">
        <x:v>0.3238193889514702</x:v>
      </x:c>
      <x:c r="I254" s="30" t="n">
        <x:v>0.6214033316506815</x:v>
      </x:c>
      <x:c r="J254" s="30" t="n">
        <x:v>0.5810196870267542</x:v>
      </x:c>
      <x:c r="K254" s="19" t="n">
        <x:v>1981</x:v>
      </x:c>
      <x:c r="L254" s="74" t="n">
        <x:v>46211.33017637731</x:v>
      </x:c>
      <x:c r="M254" s="19" t="n">
        <x:v>8902245</x:v>
      </x:c>
      <x:c r="N254" t="str">
        <x:v>8f7e606554926462248cbcc654181861438ca768a0063f6b317223ede37d16fb</x:v>
      </x:c>
      <x:c r="O254" t="str">
        <x:v>legacy_common_sample_8902245</x:v>
      </x:c>
      <x:c r="P254" t="str">
        <x:v>factor_report/gtja191_batch/gtja_087/ic_summary.csv</x:v>
      </x:c>
    </x:row>
    <x:row r="255">
      <x:c r="A255" t="str">
        <x:v>gtja_088</x:v>
      </x:c>
      <x:c r="B255" s="50" t="n">
        <x:v>1</x:v>
      </x:c>
      <x:c r="C255" s="30" t="n">
        <x:v>-0.018325328660000823</x:v>
      </x:c>
      <x:c r="D255" s="30" t="n">
        <x:v>0.13998143835245622</x:v>
      </x:c>
      <x:c r="E255" s="30" t="n">
        <x:v>-0.13091256152019154</x:v>
      </x:c>
      <x:c r="F255" s="30" t="n">
        <x:v>-0.03630489752719529</x:v>
      </x:c>
      <x:c r="G255" s="30" t="n">
        <x:v>0.15507562969934033</x:v>
      </x:c>
      <x:c r="H255" s="30" t="n">
        <x:v>-0.23411091476838108</x:v>
      </x:c>
      <x:c r="I255" s="30" t="n">
        <x:v>0.385</x:v>
      </x:c>
      <x:c r="J255" s="30" t="n">
        <x:v>0.438</x:v>
      </x:c>
      <x:c r="K255" s="19" t="n">
        <x:v>2000</x:v>
      </x:c>
      <x:c r="L255" s="74" t="n">
        <x:v>46210.51801505787</x:v>
      </x:c>
      <x:c r="M255" s="19" t="n">
        <x:v>8902245</x:v>
      </x:c>
      <x:c r="N255" t="str">
        <x:v>40355b29bce094aef0e99358bdfd4011b92e72a54440a67760de4afae4883c33</x:v>
      </x:c>
      <x:c r="O255" t="str">
        <x:v>legacy_common_sample_8902245</x:v>
      </x:c>
      <x:c r="P255" t="str">
        <x:v>factor_report/gtja191_batch/gtja_088/ic_summary.csv</x:v>
      </x:c>
    </x:row>
    <x:row r="256">
      <x:c r="A256" t="str">
        <x:v>gtja_088</x:v>
      </x:c>
      <x:c r="B256" s="50" t="n">
        <x:v>5</x:v>
      </x:c>
      <x:c r="C256" s="30" t="n">
        <x:v>-0.036258365917317195</x:v>
      </x:c>
      <x:c r="D256" s="30" t="n">
        <x:v>0.12933516846014223</x:v>
      </x:c>
      <x:c r="E256" s="30" t="n">
        <x:v>-0.2803442122433319</x:v>
      </x:c>
      <x:c r="F256" s="30" t="n">
        <x:v>-0.05050240146215423</x:v>
      </x:c>
      <x:c r="G256" s="30" t="n">
        <x:v>0.14482287381422465</x:v>
      </x:c>
      <x:c r="H256" s="30" t="n">
        <x:v>-0.3487184042966687</x:v>
      </x:c>
      <x:c r="I256" s="30" t="n">
        <x:v>0.3627254509018036</x:v>
      </x:c>
      <x:c r="J256" s="30" t="n">
        <x:v>0.39879759519038077</x:v>
      </x:c>
      <x:c r="K256" s="19" t="n">
        <x:v>1996</x:v>
      </x:c>
      <x:c r="L256" s="74" t="n">
        <x:v>46210.51801505787</x:v>
      </x:c>
      <x:c r="M256" s="19" t="n">
        <x:v>8902245</x:v>
      </x:c>
      <x:c r="N256" t="str">
        <x:v>40355b29bce094aef0e99358bdfd4011b92e72a54440a67760de4afae4883c33</x:v>
      </x:c>
      <x:c r="O256" t="str">
        <x:v>legacy_common_sample_8902245</x:v>
      </x:c>
      <x:c r="P256" t="str">
        <x:v>factor_report/gtja191_batch/gtja_088/ic_summary.csv</x:v>
      </x:c>
    </x:row>
    <x:row r="257">
      <x:c r="A257" t="str">
        <x:v>gtja_088</x:v>
      </x:c>
      <x:c r="B257" s="50" t="n">
        <x:v>10</x:v>
      </x:c>
      <x:c r="C257" s="30" t="n">
        <x:v>-0.04304453947300464</x:v>
      </x:c>
      <x:c r="D257" s="30" t="n">
        <x:v>0.12309394944953227</x:v>
      </x:c>
      <x:c r="E257" s="30" t="n">
        <x:v>-0.34968850756269404</x:v>
      </x:c>
      <x:c r="F257" s="30" t="n">
        <x:v>-0.058667124438381554</x:v>
      </x:c>
      <x:c r="G257" s="30" t="n">
        <x:v>0.13800065886726753</x:v>
      </x:c>
      <x:c r="H257" s="30" t="n">
        <x:v>-0.4251220604302263</x:v>
      </x:c>
      <x:c r="I257" s="30" t="n">
        <x:v>0.34455047714716225</x:v>
      </x:c>
      <x:c r="J257" s="30" t="n">
        <x:v>0.3545956805625314</x:v>
      </x:c>
      <x:c r="K257" s="19" t="n">
        <x:v>1991</x:v>
      </x:c>
      <x:c r="L257" s="74" t="n">
        <x:v>46210.51801505787</x:v>
      </x:c>
      <x:c r="M257" s="19" t="n">
        <x:v>8902245</x:v>
      </x:c>
      <x:c r="N257" t="str">
        <x:v>40355b29bce094aef0e99358bdfd4011b92e72a54440a67760de4afae4883c33</x:v>
      </x:c>
      <x:c r="O257" t="str">
        <x:v>legacy_common_sample_8902245</x:v>
      </x:c>
      <x:c r="P257" t="str">
        <x:v>factor_report/gtja191_batch/gtja_088/ic_summary.csv</x:v>
      </x:c>
    </x:row>
    <x:row r="258">
      <x:c r="A258" t="str">
        <x:v>gtja_088</x:v>
      </x:c>
      <x:c r="B258" s="50" t="n">
        <x:v>20</x:v>
      </x:c>
      <x:c r="C258" s="30" t="n">
        <x:v>-0.047169359571124864</x:v>
      </x:c>
      <x:c r="D258" s="30" t="n">
        <x:v>0.12281389618382205</x:v>
      </x:c>
      <x:c r="E258" s="30" t="n">
        <x:v>-0.38407184395912325</x:v>
      </x:c>
      <x:c r="F258" s="30" t="n">
        <x:v>-0.06656092574999298</x:v>
      </x:c>
      <x:c r="G258" s="30" t="n">
        <x:v>0.13839445903150374</x:v>
      </x:c>
      <x:c r="H258" s="30" t="n">
        <x:v>-0.480950799734267</x:v>
      </x:c>
      <x:c r="I258" s="30" t="n">
        <x:v>0.31246845027763753</x:v>
      </x:c>
      <x:c r="J258" s="30" t="n">
        <x:v>0.33669863705199393</x:v>
      </x:c>
      <x:c r="K258" s="19" t="n">
        <x:v>1981</x:v>
      </x:c>
      <x:c r="L258" s="74" t="n">
        <x:v>46210.51801505787</x:v>
      </x:c>
      <x:c r="M258" s="19" t="n">
        <x:v>8902245</x:v>
      </x:c>
      <x:c r="N258" t="str">
        <x:v>40355b29bce094aef0e99358bdfd4011b92e72a54440a67760de4afae4883c33</x:v>
      </x:c>
      <x:c r="O258" t="str">
        <x:v>legacy_common_sample_8902245</x:v>
      </x:c>
      <x:c r="P258" t="str">
        <x:v>factor_report/gtja191_batch/gtja_088/ic_summary.csv</x:v>
      </x:c>
    </x:row>
    <x:row r="259">
      <x:c r="A259" t="str">
        <x:v>gtja_089</x:v>
      </x:c>
      <x:c r="B259" s="50" t="n">
        <x:v>1</x:v>
      </x:c>
      <x:c r="C259" s="30" t="n">
        <x:v>-0.008172551028029468</x:v>
      </x:c>
      <x:c r="D259" s="30" t="n">
        <x:v>0.08476591849356878</x:v>
      </x:c>
      <x:c r="E259" s="30" t="n">
        <x:v>-0.09641317139328258</x:v>
      </x:c>
      <x:c r="F259" s="30" t="n">
        <x:v>-0.023661438522447634</x:v>
      </x:c>
      <x:c r="G259" s="30" t="n">
        <x:v>0.13354054267280258</x:v>
      </x:c>
      <x:c r="H259" s="30" t="n">
        <x:v>-0.17718543034846165</x:v>
      </x:c>
      <x:c r="I259" s="30" t="n">
        <x:v>0.429</x:v>
      </x:c>
      <x:c r="J259" s="30" t="n">
        <x:v>0.46</x:v>
      </x:c>
      <x:c r="K259" s="19" t="n">
        <x:v>2000</x:v>
      </x:c>
      <x:c r="L259" s="74" t="n">
        <x:v>46210.52408989584</x:v>
      </x:c>
      <x:c r="M259" s="19" t="n">
        <x:v>8902245</x:v>
      </x:c>
      <x:c r="N259" t="str">
        <x:v>40355b29bce094aef0e99358bdfd4011b92e72a54440a67760de4afae4883c33</x:v>
      </x:c>
      <x:c r="O259" t="str">
        <x:v>legacy_common_sample_8902245</x:v>
      </x:c>
      <x:c r="P259" t="str">
        <x:v>factor_report/gtja191_batch/gtja_089/ic_summary.csv</x:v>
      </x:c>
    </x:row>
    <x:row r="260">
      <x:c r="A260" t="str">
        <x:v>gtja_089</x:v>
      </x:c>
      <x:c r="B260" s="50" t="n">
        <x:v>5</x:v>
      </x:c>
      <x:c r="C260" s="30" t="n">
        <x:v>-0.014321294870440152</x:v>
      </x:c>
      <x:c r="D260" s="30" t="n">
        <x:v>0.07810107459950266</x:v>
      </x:c>
      <x:c r="E260" s="30" t="n">
        <x:v>-0.18336873012156157</x:v>
      </x:c>
      <x:c r="F260" s="30" t="n">
        <x:v>-0.028234129735906065</x:v>
      </x:c>
      <x:c r="G260" s="30" t="n">
        <x:v>0.1256898690360199</x:v>
      </x:c>
      <x:c r="H260" s="30" t="n">
        <x:v>-0.22463329743636537</x:v>
      </x:c>
      <x:c r="I260" s="30" t="n">
        <x:v>0.406312625250501</x:v>
      </x:c>
      <x:c r="J260" s="30" t="n">
        <x:v>0.4228456913827655</x:v>
      </x:c>
      <x:c r="K260" s="19" t="n">
        <x:v>1996</x:v>
      </x:c>
      <x:c r="L260" s="74" t="n">
        <x:v>46210.52408989584</x:v>
      </x:c>
      <x:c r="M260" s="19" t="n">
        <x:v>8902245</x:v>
      </x:c>
      <x:c r="N260" t="str">
        <x:v>40355b29bce094aef0e99358bdfd4011b92e72a54440a67760de4afae4883c33</x:v>
      </x:c>
      <x:c r="O260" t="str">
        <x:v>legacy_common_sample_8902245</x:v>
      </x:c>
      <x:c r="P260" t="str">
        <x:v>factor_report/gtja191_batch/gtja_089/ic_summary.csv</x:v>
      </x:c>
    </x:row>
    <x:row r="261">
      <x:c r="A261" t="str">
        <x:v>gtja_089</x:v>
      </x:c>
      <x:c r="B261" s="50" t="n">
        <x:v>10</x:v>
      </x:c>
      <x:c r="C261" s="30" t="n">
        <x:v>-0.017942828700761672</x:v>
      </x:c>
      <x:c r="D261" s="30" t="n">
        <x:v>0.07512215701666276</x:v>
      </x:c>
      <x:c r="E261" s="30" t="n">
        <x:v>-0.23884868876677479</x:v>
      </x:c>
      <x:c r="F261" s="30" t="n">
        <x:v>-0.03330943745475121</x:v>
      </x:c>
      <x:c r="G261" s="30" t="n">
        <x:v>0.12099497138113786</x:v>
      </x:c>
      <x:c r="H261" s="30" t="n">
        <x:v>-0.27529604804670327</x:v>
      </x:c>
      <x:c r="I261" s="30" t="n">
        <x:v>0.4098442993470618</x:v>
      </x:c>
      <x:c r="J261" s="30" t="n">
        <x:v>0.4098442993470618</x:v>
      </x:c>
      <x:c r="K261" s="19" t="n">
        <x:v>1991</x:v>
      </x:c>
      <x:c r="L261" s="74" t="n">
        <x:v>46210.52408989584</x:v>
      </x:c>
      <x:c r="M261" s="19" t="n">
        <x:v>8902245</x:v>
      </x:c>
      <x:c r="N261" t="str">
        <x:v>40355b29bce094aef0e99358bdfd4011b92e72a54440a67760de4afae4883c33</x:v>
      </x:c>
      <x:c r="O261" t="str">
        <x:v>legacy_common_sample_8902245</x:v>
      </x:c>
      <x:c r="P261" t="str">
        <x:v>factor_report/gtja191_batch/gtja_089/ic_summary.csv</x:v>
      </x:c>
    </x:row>
    <x:row r="262">
      <x:c r="A262" t="str">
        <x:v>gtja_089</x:v>
      </x:c>
      <x:c r="B262" s="50" t="n">
        <x:v>20</x:v>
      </x:c>
      <x:c r="C262" s="30" t="n">
        <x:v>-0.019127299561553453</x:v>
      </x:c>
      <x:c r="D262" s="30" t="n">
        <x:v>0.0762289962462732</x:v>
      </x:c>
      <x:c r="E262" s="30" t="n">
        <x:v>-0.25091894821438865</x:v>
      </x:c>
      <x:c r="F262" s="30" t="n">
        <x:v>-0.03780088527753827</x:v>
      </x:c>
      <x:c r="G262" s="30" t="n">
        <x:v>0.12010288667285368</x:v>
      </x:c>
      <x:c r="H262" s="30" t="n">
        <x:v>-0.31473752483987744</x:v>
      </x:c>
      <x:c r="I262" s="30" t="n">
        <x:v>0.386673397274104</x:v>
      </x:c>
      <x:c r="J262" s="30" t="n">
        <x:v>0.397778899545684</x:v>
      </x:c>
      <x:c r="K262" s="19" t="n">
        <x:v>1981</x:v>
      </x:c>
      <x:c r="L262" s="74" t="n">
        <x:v>46210.52408989584</x:v>
      </x:c>
      <x:c r="M262" s="19" t="n">
        <x:v>8902245</x:v>
      </x:c>
      <x:c r="N262" t="str">
        <x:v>40355b29bce094aef0e99358bdfd4011b92e72a54440a67760de4afae4883c33</x:v>
      </x:c>
      <x:c r="O262" t="str">
        <x:v>legacy_common_sample_8902245</x:v>
      </x:c>
      <x:c r="P262" t="str">
        <x:v>factor_report/gtja191_batch/gtja_089/ic_summary.csv</x:v>
      </x:c>
    </x:row>
    <x:row r="263">
      <x:c r="A263" t="str">
        <x:v>gtja_090</x:v>
      </x:c>
      <x:c r="B263" s="50" t="n">
        <x:v>10</x:v>
      </x:c>
      <x:c r="C263" s="30" t="n">
        <x:v>0.019001828063680754</x:v>
      </x:c>
      <x:c r="D263" s="30" t="n">
        <x:v>0.05209821214308753</x:v>
      </x:c>
      <x:c r="E263" s="30" t="n">
        <x:v>0.3647309049971294</x:v>
      </x:c>
      <x:c r="F263" s="30" t="n">
        <x:v>0.04144801085758182</x:v>
      </x:c>
      <x:c r="G263" s="30" t="n">
        <x:v>0.05917888052152929</x:v>
      </x:c>
      <x:c r="H263" s="30" t="n">
        <x:v>0.700385179515233</x:v>
      </x:c>
      <x:c r="I263" s="30" t="n">
        <x:v>0.772978402812657</x:v>
      </x:c>
      <x:c r="J263" s="30" t="n">
        <x:v>0.6388749372174787</x:v>
      </x:c>
      <x:c r="K263" s="19" t="n">
        <x:v>1991</x:v>
      </x:c>
      <x:c r="L263" s="74" t="n">
        <x:v>46211.33284847222</x:v>
      </x:c>
      <x:c r="M263" s="19" t="n">
        <x:v>8902245</x:v>
      </x:c>
      <x:c r="N263" t="str">
        <x:v>8f7e606554926462248cbcc654181861438ca768a0063f6b317223ede37d16fb</x:v>
      </x:c>
      <x:c r="O263" t="str">
        <x:v>legacy_common_sample_8902245</x:v>
      </x:c>
      <x:c r="P263" t="str">
        <x:v>factor_report/gtja191_batch/gtja_090/ic_summary.csv</x:v>
      </x:c>
    </x:row>
    <x:row r="264">
      <x:c r="A264" t="str">
        <x:v>gtja_090</x:v>
      </x:c>
      <x:c r="B264" s="50" t="n">
        <x:v>20</x:v>
      </x:c>
      <x:c r="C264" s="30" t="n">
        <x:v>0.02231188149321846</x:v>
      </x:c>
      <x:c r="D264" s="30" t="n">
        <x:v>0.04972142793063071</x:v>
      </x:c>
      <x:c r="E264" s="30" t="n">
        <x:v>0.4487377459140369</x:v>
      </x:c>
      <x:c r="F264" s="30" t="n">
        <x:v>0.043954812384740215</x:v>
      </x:c>
      <x:c r="G264" s="30" t="n">
        <x:v>0.056250806410902174</x:v>
      </x:c>
      <x:c r="H264" s="30" t="n">
        <x:v>0.7814076844278124</x:v>
      </x:c>
      <x:c r="I264" s="30" t="n">
        <x:v>0.784452296819788</x:v>
      </x:c>
      <x:c r="J264" s="30" t="n">
        <x:v>0.6718828874305907</x:v>
      </x:c>
      <x:c r="K264" s="19" t="n">
        <x:v>1981</x:v>
      </x:c>
      <x:c r="L264" s="74" t="n">
        <x:v>46211.33284847222</x:v>
      </x:c>
      <x:c r="M264" s="19" t="n">
        <x:v>8902245</x:v>
      </x:c>
      <x:c r="N264" t="str">
        <x:v>8f7e606554926462248cbcc654181861438ca768a0063f6b317223ede37d16fb</x:v>
      </x:c>
      <x:c r="O264" t="str">
        <x:v>legacy_common_sample_8902245</x:v>
      </x:c>
      <x:c r="P264" t="str">
        <x:v>factor_report/gtja191_batch/gtja_090/ic_summary.csv</x:v>
      </x:c>
    </x:row>
    <x:row r="265">
      <x:c r="A265" t="str">
        <x:v>gtja_091</x:v>
      </x:c>
      <x:c r="B265" s="50" t="n">
        <x:v>10</x:v>
      </x:c>
      <x:c r="C265" s="30" t="n">
        <x:v>0.004672747069637047</x:v>
      </x:c>
      <x:c r="D265" s="30" t="n">
        <x:v>0.0837086148061247</x:v>
      </x:c>
      <x:c r="E265" s="30" t="n">
        <x:v>0.05582157918225588</x:v>
      </x:c>
      <x:c r="F265" s="30" t="n">
        <x:v>-0.005977281466886537</x:v>
      </x:c>
      <x:c r="G265" s="30" t="n">
        <x:v>0.10307528431063906</x:v>
      </x:c>
      <x:c r="H265" s="30" t="n">
        <x:v>-0.057989473488840856</x:v>
      </x:c>
      <x:c r="I265" s="30" t="n">
        <x:v>0.47513812154696133</x:v>
      </x:c>
      <x:c r="J265" s="30" t="n">
        <x:v>0.5173279758915118</x:v>
      </x:c>
      <x:c r="K265" s="19" t="n">
        <x:v>1991</x:v>
      </x:c>
      <x:c r="L265" s="74" t="n">
        <x:v>46211.33546769676</x:v>
      </x:c>
      <x:c r="M265" s="19" t="n">
        <x:v>8902245</x:v>
      </x:c>
      <x:c r="N265" t="str">
        <x:v>8f7e606554926462248cbcc654181861438ca768a0063f6b317223ede37d16fb</x:v>
      </x:c>
      <x:c r="O265" t="str">
        <x:v>legacy_common_sample_8902245</x:v>
      </x:c>
      <x:c r="P265" t="str">
        <x:v>factor_report/gtja191_batch/gtja_091/ic_summary.csv</x:v>
      </x:c>
    </x:row>
    <x:row r="266">
      <x:c r="A266" t="str">
        <x:v>gtja_091</x:v>
      </x:c>
      <x:c r="B266" s="50" t="n">
        <x:v>20</x:v>
      </x:c>
      <x:c r="C266" s="30" t="n">
        <x:v>0.002817061741268246</x:v>
      </x:c>
      <x:c r="D266" s="30" t="n">
        <x:v>0.07993254987223487</x:v>
      </x:c>
      <x:c r="E266" s="30" t="n">
        <x:v>0.03524298606476424</x:v>
      </x:c>
      <x:c r="F266" s="30" t="n">
        <x:v>-0.00910210324691601</x:v>
      </x:c>
      <x:c r="G266" s="30" t="n">
        <x:v>0.10011027175948094</x:v>
      </x:c>
      <x:c r="H266" s="30" t="n">
        <x:v>-0.0909207725335537</x:v>
      </x:c>
      <x:c r="I266" s="30" t="n">
        <x:v>0.4634023220595659</x:v>
      </x:c>
      <x:c r="J266" s="30" t="n">
        <x:v>0.5148914689550732</x:v>
      </x:c>
      <x:c r="K266" s="19" t="n">
        <x:v>1981</x:v>
      </x:c>
      <x:c r="L266" s="74" t="n">
        <x:v>46211.33546769676</x:v>
      </x:c>
      <x:c r="M266" s="19" t="n">
        <x:v>8902245</x:v>
      </x:c>
      <x:c r="N266" t="str">
        <x:v>8f7e606554926462248cbcc654181861438ca768a0063f6b317223ede37d16fb</x:v>
      </x:c>
      <x:c r="O266" t="str">
        <x:v>legacy_common_sample_8902245</x:v>
      </x:c>
      <x:c r="P266" t="str">
        <x:v>factor_report/gtja191_batch/gtja_091/ic_summary.csv</x:v>
      </x:c>
    </x:row>
    <x:row r="267">
      <x:c r="A267" t="str">
        <x:v>gtja_092</x:v>
      </x:c>
      <x:c r="B267" s="50" t="n">
        <x:v>10</x:v>
      </x:c>
      <x:c r="C267" s="30" t="n">
        <x:v>0.011682597965926732</x:v>
      </x:c>
      <x:c r="D267" s="30" t="n">
        <x:v>0.06820120102892495</x:v>
      </x:c>
      <x:c r="E267" s="30" t="n">
        <x:v>0.17129607381799627</x:v>
      </x:c>
      <x:c r="F267" s="30" t="n">
        <x:v>0.020594322057518277</x:v>
      </x:c>
      <x:c r="G267" s="30" t="n">
        <x:v>0.07853710402334353</x:v>
      </x:c>
      <x:c r="H267" s="30" t="n">
        <x:v>0.2622241081285228</x:v>
      </x:c>
      <x:c r="I267" s="30" t="n">
        <x:v>0.595108695652174</x:v>
      </x:c>
      <x:c r="J267" s="30" t="n">
        <x:v>0.5625</x:v>
      </x:c>
      <x:c r="K267" s="19" t="n">
        <x:v>1840</x:v>
      </x:c>
      <x:c r="L267" s="74" t="n">
        <x:v>46211.339528993056</x:v>
      </x:c>
      <x:c r="M267" s="19" t="n">
        <x:v>8902245</x:v>
      </x:c>
      <x:c r="N267" t="str">
        <x:v>8f7e606554926462248cbcc654181861438ca768a0063f6b317223ede37d16fb</x:v>
      </x:c>
      <x:c r="O267" t="str">
        <x:v>legacy_common_sample_8902245</x:v>
      </x:c>
      <x:c r="P267" t="str">
        <x:v>factor_report/gtja191_batch/gtja_092/ic_summary.csv</x:v>
      </x:c>
    </x:row>
    <x:row r="268">
      <x:c r="A268" t="str">
        <x:v>gtja_092</x:v>
      </x:c>
      <x:c r="B268" s="50" t="n">
        <x:v>20</x:v>
      </x:c>
      <x:c r="C268" s="30" t="n">
        <x:v>0.012463861513719237</x:v>
      </x:c>
      <x:c r="D268" s="30" t="n">
        <x:v>0.06842912331887864</x:v>
      </x:c>
      <x:c r="E268" s="30" t="n">
        <x:v>0.18214264496182186</x:v>
      </x:c>
      <x:c r="F268" s="30" t="n">
        <x:v>0.02360047061428451</x:v>
      </x:c>
      <x:c r="G268" s="30" t="n">
        <x:v>0.07845109509203571</x:v>
      </x:c>
      <x:c r="H268" s="30" t="n">
        <x:v>0.3008303528025629</x:v>
      </x:c>
      <x:c r="I268" s="30" t="n">
        <x:v>0.6103825136612022</x:v>
      </x:c>
      <x:c r="J268" s="30" t="n">
        <x:v>0.5672131147540984</x:v>
      </x:c>
      <x:c r="K268" s="19" t="n">
        <x:v>1830</x:v>
      </x:c>
      <x:c r="L268" s="74" t="n">
        <x:v>46211.339528993056</x:v>
      </x:c>
      <x:c r="M268" s="19" t="n">
        <x:v>8902245</x:v>
      </x:c>
      <x:c r="N268" t="str">
        <x:v>8f7e606554926462248cbcc654181861438ca768a0063f6b317223ede37d16fb</x:v>
      </x:c>
      <x:c r="O268" t="str">
        <x:v>legacy_common_sample_8902245</x:v>
      </x:c>
      <x:c r="P268" t="str">
        <x:v>factor_report/gtja191_batch/gtja_092/ic_summary.csv</x:v>
      </x:c>
    </x:row>
    <x:row r="269">
      <x:c r="A269" t="str">
        <x:v>gtja_093</x:v>
      </x:c>
      <x:c r="B269" s="50" t="n">
        <x:v>1</x:v>
      </x:c>
      <x:c r="C269" s="30" t="n">
        <x:v>-0.0007903135235302557</x:v>
      </x:c>
      <x:c r="D269" s="30" t="n">
        <x:v>0.104661416765103</x:v>
      </x:c>
      <x:c r="E269" s="30" t="n">
        <x:v>-0.007551144900933234</x:v>
      </x:c>
      <x:c r="F269" s="30" t="n">
        <x:v>-0.019563766405308748</x:v>
      </x:c>
      <x:c r="G269" s="30" t="n">
        <x:v>0.17729481293906377</x:v>
      </x:c>
      <x:c r="H269" s="30" t="n">
        <x:v>-0.1103459603865163</x:v>
      </x:c>
      <x:c r="I269" s="30" t="n">
        <x:v>0.451</x:v>
      </x:c>
      <x:c r="J269" s="30" t="n">
        <x:v>0.497</x:v>
      </x:c>
      <x:c r="K269" s="19" t="n">
        <x:v>2000</x:v>
      </x:c>
      <x:c r="L269" s="74" t="n">
        <x:v>46210.543900254626</x:v>
      </x:c>
      <x:c r="M269" s="19" t="n">
        <x:v>8902245</x:v>
      </x:c>
      <x:c r="N269" t="str">
        <x:v>40355b29bce094aef0e99358bdfd4011b92e72a54440a67760de4afae4883c33</x:v>
      </x:c>
      <x:c r="O269" t="str">
        <x:v>legacy_common_sample_8902245</x:v>
      </x:c>
      <x:c r="P269" t="str">
        <x:v>factor_report/gtja191_batch/gtja_093/ic_summary.csv</x:v>
      </x:c>
    </x:row>
    <x:row r="270">
      <x:c r="A270" t="str">
        <x:v>gtja_093</x:v>
      </x:c>
      <x:c r="B270" s="50" t="n">
        <x:v>5</x:v>
      </x:c>
      <x:c r="C270" s="30" t="n">
        <x:v>-0.0038070597309623443</x:v>
      </x:c>
      <x:c r="D270" s="30" t="n">
        <x:v>0.10578190599529359</x:v>
      </x:c>
      <x:c r="E270" s="30" t="n">
        <x:v>-0.035989706322097526</x:v>
      </x:c>
      <x:c r="F270" s="30" t="n">
        <x:v>-0.029259202792010844</x:v>
      </x:c>
      <x:c r="G270" s="30" t="n">
        <x:v>0.18170427001048928</x:v>
      </x:c>
      <x:c r="H270" s="30" t="n">
        <x:v>-0.16102650086495926</x:v>
      </x:c>
      <x:c r="I270" s="30" t="n">
        <x:v>0.46142284569138275</x:v>
      </x:c>
      <x:c r="J270" s="30" t="n">
        <x:v>0.49148296593186375</x:v>
      </x:c>
      <x:c r="K270" s="19" t="n">
        <x:v>1996</x:v>
      </x:c>
      <x:c r="L270" s="74" t="n">
        <x:v>46210.543900254626</x:v>
      </x:c>
      <x:c r="M270" s="19" t="n">
        <x:v>8902245</x:v>
      </x:c>
      <x:c r="N270" t="str">
        <x:v>40355b29bce094aef0e99358bdfd4011b92e72a54440a67760de4afae4883c33</x:v>
      </x:c>
      <x:c r="O270" t="str">
        <x:v>legacy_common_sample_8902245</x:v>
      </x:c>
      <x:c r="P270" t="str">
        <x:v>factor_report/gtja191_batch/gtja_093/ic_summary.csv</x:v>
      </x:c>
    </x:row>
    <x:row r="271">
      <x:c r="A271" t="str">
        <x:v>gtja_093</x:v>
      </x:c>
      <x:c r="B271" s="50" t="n">
        <x:v>10</x:v>
      </x:c>
      <x:c r="C271" s="30" t="n">
        <x:v>-0.006234335879398479</x:v>
      </x:c>
      <x:c r="D271" s="30" t="n">
        <x:v>0.10889869362031658</x:v>
      </x:c>
      <x:c r="E271" s="30" t="n">
        <x:v>-0.05724895012179812</x:v>
      </x:c>
      <x:c r="F271" s="30" t="n">
        <x:v>-0.0374173145148579</x:v>
      </x:c>
      <x:c r="G271" s="30" t="n">
        <x:v>0.18734897299048334</x:v>
      </x:c>
      <x:c r="H271" s="30" t="n">
        <x:v>-0.1997198805928793</x:v>
      </x:c>
      <x:c r="I271" s="30" t="n">
        <x:v>0.4485183324962331</x:v>
      </x:c>
      <x:c r="J271" s="30" t="n">
        <x:v>0.4861878453038674</x:v>
      </x:c>
      <x:c r="K271" s="19" t="n">
        <x:v>1991</x:v>
      </x:c>
      <x:c r="L271" s="74" t="n">
        <x:v>46210.543900254626</x:v>
      </x:c>
      <x:c r="M271" s="19" t="n">
        <x:v>8902245</x:v>
      </x:c>
      <x:c r="N271" t="str">
        <x:v>40355b29bce094aef0e99358bdfd4011b92e72a54440a67760de4afae4883c33</x:v>
      </x:c>
      <x:c r="O271" t="str">
        <x:v>legacy_common_sample_8902245</x:v>
      </x:c>
      <x:c r="P271" t="str">
        <x:v>factor_report/gtja191_batch/gtja_093/ic_summary.csv</x:v>
      </x:c>
    </x:row>
    <x:row r="272">
      <x:c r="A272" t="str">
        <x:v>gtja_093</x:v>
      </x:c>
      <x:c r="B272" s="50" t="n">
        <x:v>20</x:v>
      </x:c>
      <x:c r="C272" s="30" t="n">
        <x:v>-0.010871630634093712</x:v>
      </x:c>
      <x:c r="D272" s="30" t="n">
        <x:v>0.11168124071738776</x:v>
      </x:c>
      <x:c r="E272" s="30" t="n">
        <x:v>-0.09734518137745847</x:v>
      </x:c>
      <x:c r="F272" s="30" t="n">
        <x:v>-0.048838455327472906</x:v>
      </x:c>
      <x:c r="G272" s="30" t="n">
        <x:v>0.18924160433601203</x:v>
      </x:c>
      <x:c r="H272" s="30" t="n">
        <x:v>-0.25807462105825696</x:v>
      </x:c>
      <x:c r="I272" s="30" t="n">
        <x:v>0.4149419485108531</x:v>
      </x:c>
      <x:c r="J272" s="30" t="n">
        <x:v>0.4603735487127713</x:v>
      </x:c>
      <x:c r="K272" s="19" t="n">
        <x:v>1981</x:v>
      </x:c>
      <x:c r="L272" s="74" t="n">
        <x:v>46210.543900254626</x:v>
      </x:c>
      <x:c r="M272" s="19" t="n">
        <x:v>8902245</x:v>
      </x:c>
      <x:c r="N272" t="str">
        <x:v>40355b29bce094aef0e99358bdfd4011b92e72a54440a67760de4afae4883c33</x:v>
      </x:c>
      <x:c r="O272" t="str">
        <x:v>legacy_common_sample_8902245</x:v>
      </x:c>
      <x:c r="P272" t="str">
        <x:v>factor_report/gtja191_batch/gtja_093/ic_summary.csv</x:v>
      </x:c>
    </x:row>
    <x:row r="273">
      <x:c r="A273" t="str">
        <x:v>gtja_094</x:v>
      </x:c>
      <x:c r="B273" s="50" t="n">
        <x:v>1</x:v>
      </x:c>
      <x:c r="C273" s="30" t="n">
        <x:v>-0.0073811230723976485</x:v>
      </x:c>
      <x:c r="D273" s="30" t="n">
        <x:v>0.07198083773925533</x:v>
      </x:c>
      <x:c r="E273" s="30" t="n">
        <x:v>-0.10254288924970782</x:v>
      </x:c>
      <x:c r="F273" s="30" t="n">
        <x:v>-0.02474907693028828</x:v>
      </x:c>
      <x:c r="G273" s="30" t="n">
        <x:v>0.10761217584525566</x:v>
      </x:c>
      <x:c r="H273" s="30" t="n">
        <x:v>-0.22998398402311834</x:v>
      </x:c>
      <x:c r="I273" s="30" t="n">
        <x:v>0.4005</x:v>
      </x:c>
      <x:c r="J273" s="30" t="n">
        <x:v>0.448</x:v>
      </x:c>
      <x:c r="K273" s="19" t="n">
        <x:v>2000</x:v>
      </x:c>
      <x:c r="L273" s="74" t="n">
        <x:v>46210.54834915509</x:v>
      </x:c>
      <x:c r="M273" s="19" t="n">
        <x:v>8902245</x:v>
      </x:c>
      <x:c r="N273" t="str">
        <x:v>40355b29bce094aef0e99358bdfd4011b92e72a54440a67760de4afae4883c33</x:v>
      </x:c>
      <x:c r="O273" t="str">
        <x:v>legacy_common_sample_8902245</x:v>
      </x:c>
      <x:c r="P273" t="str">
        <x:v>factor_report/gtja191_batch/gtja_094/ic_summary.csv</x:v>
      </x:c>
    </x:row>
    <x:row r="274">
      <x:c r="A274" t="str">
        <x:v>gtja_094</x:v>
      </x:c>
      <x:c r="B274" s="50" t="n">
        <x:v>5</x:v>
      </x:c>
      <x:c r="C274" s="30" t="n">
        <x:v>-0.015683228910040377</x:v>
      </x:c>
      <x:c r="D274" s="30" t="n">
        <x:v>0.06794244389014378</x:v>
      </x:c>
      <x:c r="E274" s="30" t="n">
        <x:v>-0.2308310977950485</x:v>
      </x:c>
      <x:c r="F274" s="30" t="n">
        <x:v>-0.03766305454647896</x:v>
      </x:c>
      <x:c r="G274" s="30" t="n">
        <x:v>0.09930146596483377</x:v>
      </x:c>
      <x:c r="H274" s="30" t="n">
        <x:v>-0.3792799449689575</x:v>
      </x:c>
      <x:c r="I274" s="30" t="n">
        <x:v>0.3652304609218437</x:v>
      </x:c>
      <x:c r="J274" s="30" t="n">
        <x:v>0.3997995991983968</x:v>
      </x:c>
      <x:c r="K274" s="19" t="n">
        <x:v>1996</x:v>
      </x:c>
      <x:c r="L274" s="74" t="n">
        <x:v>46210.54834915509</x:v>
      </x:c>
      <x:c r="M274" s="19" t="n">
        <x:v>8902245</x:v>
      </x:c>
      <x:c r="N274" t="str">
        <x:v>40355b29bce094aef0e99358bdfd4011b92e72a54440a67760de4afae4883c33</x:v>
      </x:c>
      <x:c r="O274" t="str">
        <x:v>legacy_common_sample_8902245</x:v>
      </x:c>
      <x:c r="P274" t="str">
        <x:v>factor_report/gtja191_batch/gtja_094/ic_summary.csv</x:v>
      </x:c>
    </x:row>
    <x:row r="275">
      <x:c r="A275" t="str">
        <x:v>gtja_094</x:v>
      </x:c>
      <x:c r="B275" s="50" t="n">
        <x:v>10</x:v>
      </x:c>
      <x:c r="C275" s="30" t="n">
        <x:v>-0.019840213945172033</x:v>
      </x:c>
      <x:c r="D275" s="30" t="n">
        <x:v>0.06618786784840247</x:v>
      </x:c>
      <x:c r="E275" s="30" t="n">
        <x:v>-0.29975605182832465</x:v>
      </x:c>
      <x:c r="F275" s="30" t="n">
        <x:v>-0.04507588483173755</x:v>
      </x:c>
      <x:c r="G275" s="30" t="n">
        <x:v>0.09816873023586732</x:v>
      </x:c>
      <x:c r="H275" s="30" t="n">
        <x:v>-0.4591674428653091</x:v>
      </x:c>
      <x:c r="I275" s="30" t="n">
        <x:v>0.3174284279256655</x:v>
      </x:c>
      <x:c r="J275" s="30" t="n">
        <x:v>0.3656454043194375</x:v>
      </x:c>
      <x:c r="K275" s="19" t="n">
        <x:v>1991</x:v>
      </x:c>
      <x:c r="L275" s="74" t="n">
        <x:v>46210.54834915509</x:v>
      </x:c>
      <x:c r="M275" s="19" t="n">
        <x:v>8902245</x:v>
      </x:c>
      <x:c r="N275" t="str">
        <x:v>40355b29bce094aef0e99358bdfd4011b92e72a54440a67760de4afae4883c33</x:v>
      </x:c>
      <x:c r="O275" t="str">
        <x:v>legacy_common_sample_8902245</x:v>
      </x:c>
      <x:c r="P275" t="str">
        <x:v>factor_report/gtja191_batch/gtja_094/ic_summary.csv</x:v>
      </x:c>
    </x:row>
    <x:row r="276">
      <x:c r="A276" t="str">
        <x:v>gtja_094</x:v>
      </x:c>
      <x:c r="B276" s="50" t="n">
        <x:v>20</x:v>
      </x:c>
      <x:c r="C276" s="30" t="n">
        <x:v>-0.027378800087045102</x:v>
      </x:c>
      <x:c r="D276" s="30" t="n">
        <x:v>0.06696590832358988</x:v>
      </x:c>
      <x:c r="E276" s="30" t="n">
        <x:v>-0.40884684121279147</x:v>
      </x:c>
      <x:c r="F276" s="30" t="n">
        <x:v>-0.05899909339437195</x:v>
      </x:c>
      <x:c r="G276" s="30" t="n">
        <x:v>0.10069114206881495</x:v>
      </x:c>
      <x:c r="H276" s="30" t="n">
        <x:v>-0.5859412474838197</x:v>
      </x:c>
      <x:c r="I276" s="30" t="n">
        <x:v>0.27713276123170116</x:v>
      </x:c>
      <x:c r="J276" s="30" t="n">
        <x:v>0.32004038364462395</x:v>
      </x:c>
      <x:c r="K276" s="19" t="n">
        <x:v>1981</x:v>
      </x:c>
      <x:c r="L276" s="74" t="n">
        <x:v>46210.54834915509</x:v>
      </x:c>
      <x:c r="M276" s="19" t="n">
        <x:v>8902245</x:v>
      </x:c>
      <x:c r="N276" t="str">
        <x:v>40355b29bce094aef0e99358bdfd4011b92e72a54440a67760de4afae4883c33</x:v>
      </x:c>
      <x:c r="O276" t="str">
        <x:v>legacy_common_sample_8902245</x:v>
      </x:c>
      <x:c r="P276" t="str">
        <x:v>factor_report/gtja191_batch/gtja_094/ic_summary.csv</x:v>
      </x:c>
    </x:row>
    <x:row r="277">
      <x:c r="A277" t="str">
        <x:v>gtja_095</x:v>
      </x:c>
      <x:c r="B277" s="50" t="n">
        <x:v>1</x:v>
      </x:c>
      <x:c r="C277" s="30" t="n">
        <x:v>-0.011984259347069419</x:v>
      </x:c>
      <x:c r="D277" s="30" t="n">
        <x:v>0.09474756558690667</x:v>
      </x:c>
      <x:c r="E277" s="30" t="n">
        <x:v>-0.126486198065711</x:v>
      </x:c>
      <x:c r="F277" s="30" t="n">
        <x:v>-0.04753124147951448</x:v>
      </x:c>
      <x:c r="G277" s="30" t="n">
        <x:v>0.14113391326711552</x:v>
      </x:c>
      <x:c r="H277" s="30" t="n">
        <x:v>-0.3367811490464025</x:v>
      </x:c>
      <x:c r="I277" s="30" t="n">
        <x:v>0.3505</x:v>
      </x:c>
      <x:c r="J277" s="30" t="n">
        <x:v>0.437</x:v>
      </x:c>
      <x:c r="K277" s="19" t="n">
        <x:v>2000</x:v>
      </x:c>
      <x:c r="L277" s="74" t="n">
        <x:v>46210.552701967594</x:v>
      </x:c>
      <x:c r="M277" s="19" t="n">
        <x:v>8902245</x:v>
      </x:c>
      <x:c r="N277" t="str">
        <x:v>40355b29bce094aef0e99358bdfd4011b92e72a54440a67760de4afae4883c33</x:v>
      </x:c>
      <x:c r="O277" t="str">
        <x:v>legacy_common_sample_8902245</x:v>
      </x:c>
      <x:c r="P277" t="str">
        <x:v>factor_report/gtja191_batch/gtja_095/ic_summary.csv</x:v>
      </x:c>
    </x:row>
    <x:row r="278">
      <x:c r="A278" t="str">
        <x:v>gtja_095</x:v>
      </x:c>
      <x:c r="B278" s="50" t="n">
        <x:v>5</x:v>
      </x:c>
      <x:c r="C278" s="30" t="n">
        <x:v>-0.024208314408942333</x:v>
      </x:c>
      <x:c r="D278" s="30" t="n">
        <x:v>0.09409028828443479</x:v>
      </x:c>
      <x:c r="E278" s="30" t="n">
        <x:v>-0.2572881309042293</x:v>
      </x:c>
      <x:c r="F278" s="30" t="n">
        <x:v>-0.07331536821708363</x:v>
      </x:c>
      <x:c r="G278" s="30" t="n">
        <x:v>0.14077378962152806</x:v>
      </x:c>
      <x:c r="H278" s="30" t="n">
        <x:v>-0.5208026892945969</x:v>
      </x:c>
      <x:c r="I278" s="30" t="n">
        <x:v>0.30060120240480964</x:v>
      </x:c>
      <x:c r="J278" s="30" t="n">
        <x:v>0.38527054108216435</x:v>
      </x:c>
      <x:c r="K278" s="19" t="n">
        <x:v>1996</x:v>
      </x:c>
      <x:c r="L278" s="74" t="n">
        <x:v>46210.552701967594</x:v>
      </x:c>
      <x:c r="M278" s="19" t="n">
        <x:v>8902245</x:v>
      </x:c>
      <x:c r="N278" t="str">
        <x:v>40355b29bce094aef0e99358bdfd4011b92e72a54440a67760de4afae4883c33</x:v>
      </x:c>
      <x:c r="O278" t="str">
        <x:v>legacy_common_sample_8902245</x:v>
      </x:c>
      <x:c r="P278" t="str">
        <x:v>factor_report/gtja191_batch/gtja_095/ic_summary.csv</x:v>
      </x:c>
    </x:row>
    <x:row r="279">
      <x:c r="A279" t="str">
        <x:v>gtja_095</x:v>
      </x:c>
      <x:c r="B279" s="50" t="n">
        <x:v>10</x:v>
      </x:c>
      <x:c r="C279" s="30" t="n">
        <x:v>-0.030328495999467023</x:v>
      </x:c>
      <x:c r="D279" s="30" t="n">
        <x:v>0.09575837037435156</x:v>
      </x:c>
      <x:c r="E279" s="30" t="n">
        <x:v>-0.3167190072356366</x:v>
      </x:c>
      <x:c r="F279" s="30" t="n">
        <x:v>-0.08771344028321716</x:v>
      </x:c>
      <x:c r="G279" s="30" t="n">
        <x:v>0.1441482190729027</x:v>
      </x:c>
      <x:c r="H279" s="30" t="n">
        <x:v>-0.6084947899276941</x:v>
      </x:c>
      <x:c r="I279" s="30" t="n">
        <x:v>0.27071823204419887</x:v>
      </x:c>
      <x:c r="J279" s="30" t="n">
        <x:v>0.36263184329482673</x:v>
      </x:c>
      <x:c r="K279" s="19" t="n">
        <x:v>1991</x:v>
      </x:c>
      <x:c r="L279" s="74" t="n">
        <x:v>46210.552701967594</x:v>
      </x:c>
      <x:c r="M279" s="19" t="n">
        <x:v>8902245</x:v>
      </x:c>
      <x:c r="N279" t="str">
        <x:v>40355b29bce094aef0e99358bdfd4011b92e72a54440a67760de4afae4883c33</x:v>
      </x:c>
      <x:c r="O279" t="str">
        <x:v>legacy_common_sample_8902245</x:v>
      </x:c>
      <x:c r="P279" t="str">
        <x:v>factor_report/gtja191_batch/gtja_095/ic_summary.csv</x:v>
      </x:c>
    </x:row>
    <x:row r="280">
      <x:c r="A280" t="str">
        <x:v>gtja_095</x:v>
      </x:c>
      <x:c r="B280" s="50" t="n">
        <x:v>20</x:v>
      </x:c>
      <x:c r="C280" s="30" t="n">
        <x:v>-0.036968472511070265</x:v>
      </x:c>
      <x:c r="D280" s="30" t="n">
        <x:v>0.10004920613028442</x:v>
      </x:c>
      <x:c r="E280" s="30" t="n">
        <x:v>-0.3695029070288653</x:v>
      </x:c>
      <x:c r="F280" s="30" t="n">
        <x:v>-0.105969151091301</x:v>
      </x:c>
      <x:c r="G280" s="30" t="n">
        <x:v>0.15069290894524742</x:v>
      </x:c>
      <x:c r="H280" s="30" t="n">
        <x:v>-0.7032125919727498</x:v>
      </x:c>
      <x:c r="I280" s="30" t="n">
        <x:v>0.24280666330136294</x:v>
      </x:c>
      <x:c r="J280" s="30" t="n">
        <x:v>0.33518425037859667</x:v>
      </x:c>
      <x:c r="K280" s="19" t="n">
        <x:v>1981</x:v>
      </x:c>
      <x:c r="L280" s="74" t="n">
        <x:v>46210.552701967594</x:v>
      </x:c>
      <x:c r="M280" s="19" t="n">
        <x:v>8902245</x:v>
      </x:c>
      <x:c r="N280" t="str">
        <x:v>40355b29bce094aef0e99358bdfd4011b92e72a54440a67760de4afae4883c33</x:v>
      </x:c>
      <x:c r="O280" t="str">
        <x:v>legacy_common_sample_8902245</x:v>
      </x:c>
      <x:c r="P280" t="str">
        <x:v>factor_report/gtja191_batch/gtja_095/ic_summary.csv</x:v>
      </x:c>
    </x:row>
    <x:row r="281">
      <x:c r="A281" t="str">
        <x:v>gtja_096</x:v>
      </x:c>
      <x:c r="B281" s="50" t="n">
        <x:v>10</x:v>
      </x:c>
      <x:c r="C281" s="30" t="n">
        <x:v>-0.008787530753116446</x:v>
      </x:c>
      <x:c r="D281" s="30" t="n">
        <x:v>0.10562851843796627</x:v>
      </x:c>
      <x:c r="E281" s="30" t="n">
        <x:v>-0.08319278621972914</x:v>
      </x:c>
      <x:c r="F281" s="30" t="n">
        <x:v>-0.019271218597420786</x:v>
      </x:c>
      <x:c r="G281" s="30" t="n">
        <x:v>0.12348850301471394</x:v>
      </x:c>
      <x:c r="H281" s="30" t="n">
        <x:v>-0.1560567836434504</x:v>
      </x:c>
      <x:c r="I281" s="30" t="n">
        <x:v>0.44701155198392767</x:v>
      </x:c>
      <x:c r="J281" s="30" t="n">
        <x:v>0.4871923656454043</x:v>
      </x:c>
      <x:c r="K281" s="19" t="n">
        <x:v>1991</x:v>
      </x:c>
      <x:c r="L281" s="74" t="n">
        <x:v>46211.3433033912</x:v>
      </x:c>
      <x:c r="M281" s="19" t="n">
        <x:v>8902245</x:v>
      </x:c>
      <x:c r="N281" t="str">
        <x:v>8f7e606554926462248cbcc654181861438ca768a0063f6b317223ede37d16fb</x:v>
      </x:c>
      <x:c r="O281" t="str">
        <x:v>legacy_common_sample_8902245</x:v>
      </x:c>
      <x:c r="P281" t="str">
        <x:v>factor_report/gtja191_batch/gtja_096/ic_summary.csv</x:v>
      </x:c>
    </x:row>
    <x:row r="282">
      <x:c r="A282" t="str">
        <x:v>gtja_096</x:v>
      </x:c>
      <x:c r="B282" s="50" t="n">
        <x:v>20</x:v>
      </x:c>
      <x:c r="C282" s="30" t="n">
        <x:v>-0.013362805894152022</x:v>
      </x:c>
      <x:c r="D282" s="30" t="n">
        <x:v>0.10787381865527122</x:v>
      </x:c>
      <x:c r="E282" s="30" t="n">
        <x:v>-0.12387441235259407</x:v>
      </x:c>
      <x:c r="F282" s="30" t="n">
        <x:v>-0.024734146091325928</x:v>
      </x:c>
      <x:c r="G282" s="30" t="n">
        <x:v>0.1261525972250322</x:v>
      </x:c>
      <x:c r="H282" s="30" t="n">
        <x:v>-0.19606529421827856</x:v>
      </x:c>
      <x:c r="I282" s="30" t="n">
        <x:v>0.44926804644119134</x:v>
      </x:c>
      <x:c r="J282" s="30" t="n">
        <x:v>0.46996466431095407</x:v>
      </x:c>
      <x:c r="K282" s="19" t="n">
        <x:v>1981</x:v>
      </x:c>
      <x:c r="L282" s="74" t="n">
        <x:v>46211.3433033912</x:v>
      </x:c>
      <x:c r="M282" s="19" t="n">
        <x:v>8902245</x:v>
      </x:c>
      <x:c r="N282" t="str">
        <x:v>8f7e606554926462248cbcc654181861438ca768a0063f6b317223ede37d16fb</x:v>
      </x:c>
      <x:c r="O282" t="str">
        <x:v>legacy_common_sample_8902245</x:v>
      </x:c>
      <x:c r="P282" t="str">
        <x:v>factor_report/gtja191_batch/gtja_096/ic_summary.csv</x:v>
      </x:c>
    </x:row>
    <x:row r="283">
      <x:c r="A283" t="str">
        <x:v>gtja_097</x:v>
      </x:c>
      <x:c r="B283" s="50" t="n">
        <x:v>1</x:v>
      </x:c>
      <x:c r="C283" s="30" t="n">
        <x:v>-0.012462132070351238</x:v>
      </x:c>
      <x:c r="D283" s="30" t="n">
        <x:v>0.07393963752400487</x:v>
      </x:c>
      <x:c r="E283" s="30" t="n">
        <x:v>-0.16854467356977973</x:v>
      </x:c>
      <x:c r="F283" s="30" t="n">
        <x:v>-0.03532552806568151</x:v>
      </x:c>
      <x:c r="G283" s="30" t="n">
        <x:v>0.11300004558093152</x:v>
      </x:c>
      <x:c r="H283" s="30" t="n">
        <x:v>-0.31261516651673465</x:v>
      </x:c>
      <x:c r="I283" s="30" t="n">
        <x:v>0.3645</x:v>
      </x:c>
      <x:c r="J283" s="30" t="n">
        <x:v>0.4075</x:v>
      </x:c>
      <x:c r="K283" s="19" t="n">
        <x:v>2000</x:v>
      </x:c>
      <x:c r="L283" s="74" t="n">
        <x:v>46210.56247660879</x:v>
      </x:c>
      <x:c r="M283" s="19" t="n">
        <x:v>8902245</x:v>
      </x:c>
      <x:c r="N283" t="str">
        <x:v>40355b29bce094aef0e99358bdfd4011b92e72a54440a67760de4afae4883c33</x:v>
      </x:c>
      <x:c r="O283" t="str">
        <x:v>legacy_common_sample_8902245</x:v>
      </x:c>
      <x:c r="P283" t="str">
        <x:v>factor_report/gtja191_batch/gtja_097/ic_summary.csv</x:v>
      </x:c>
    </x:row>
    <x:row r="284">
      <x:c r="A284" t="str">
        <x:v>gtja_097</x:v>
      </x:c>
      <x:c r="B284" s="50" t="n">
        <x:v>5</x:v>
      </x:c>
      <x:c r="C284" s="30" t="n">
        <x:v>-0.02325302910022705</x:v>
      </x:c>
      <x:c r="D284" s="30" t="n">
        <x:v>0.07298168832421728</x:v>
      </x:c>
      <x:c r="E284" s="30" t="n">
        <x:v>-0.3186145680396801</x:v>
      </x:c>
      <x:c r="F284" s="30" t="n">
        <x:v>-0.05356832684070194</x:v>
      </x:c>
      <x:c r="G284" s="30" t="n">
        <x:v>0.11532928119474124</x:v>
      </x:c>
      <x:c r="H284" s="30" t="n">
        <x:v>-0.4644815807899489</x:v>
      </x:c>
      <x:c r="I284" s="30" t="n">
        <x:v>0.3046092184368738</x:v>
      </x:c>
      <x:c r="J284" s="30" t="n">
        <x:v>0.36172344689378755</x:v>
      </x:c>
      <x:c r="K284" s="19" t="n">
        <x:v>1996</x:v>
      </x:c>
      <x:c r="L284" s="74" t="n">
        <x:v>46210.56247660879</x:v>
      </x:c>
      <x:c r="M284" s="19" t="n">
        <x:v>8902245</x:v>
      </x:c>
      <x:c r="N284" t="str">
        <x:v>40355b29bce094aef0e99358bdfd4011b92e72a54440a67760de4afae4883c33</x:v>
      </x:c>
      <x:c r="O284" t="str">
        <x:v>legacy_common_sample_8902245</x:v>
      </x:c>
      <x:c r="P284" t="str">
        <x:v>factor_report/gtja191_batch/gtja_097/ic_summary.csv</x:v>
      </x:c>
    </x:row>
    <x:row r="285">
      <x:c r="A285" t="str">
        <x:v>gtja_097</x:v>
      </x:c>
      <x:c r="B285" s="50" t="n">
        <x:v>10</x:v>
      </x:c>
      <x:c r="C285" s="30" t="n">
        <x:v>-0.028328322957232505</x:v>
      </x:c>
      <x:c r="D285" s="30" t="n">
        <x:v>0.07128656519744656</x:v>
      </x:c>
      <x:c r="E285" s="30" t="n">
        <x:v>-0.3973865605499423</x:v>
      </x:c>
      <x:c r="F285" s="30" t="n">
        <x:v>-0.06181873112019193</x:v>
      </x:c>
      <x:c r="G285" s="30" t="n">
        <x:v>0.11410947849101559</x:v>
      </x:c>
      <x:c r="H285" s="30" t="n">
        <x:v>-0.5417493089766353</x:v>
      </x:c>
      <x:c r="I285" s="30" t="n">
        <x:v>0.27071823204419887</x:v>
      </x:c>
      <x:c r="J285" s="30" t="n">
        <x:v>0.32446007031642393</x:v>
      </x:c>
      <x:c r="K285" s="19" t="n">
        <x:v>1991</x:v>
      </x:c>
      <x:c r="L285" s="74" t="n">
        <x:v>46210.56247660879</x:v>
      </x:c>
      <x:c r="M285" s="19" t="n">
        <x:v>8902245</x:v>
      </x:c>
      <x:c r="N285" t="str">
        <x:v>40355b29bce094aef0e99358bdfd4011b92e72a54440a67760de4afae4883c33</x:v>
      </x:c>
      <x:c r="O285" t="str">
        <x:v>legacy_common_sample_8902245</x:v>
      </x:c>
      <x:c r="P285" t="str">
        <x:v>factor_report/gtja191_batch/gtja_097/ic_summary.csv</x:v>
      </x:c>
    </x:row>
    <x:row r="286">
      <x:c r="A286" t="str">
        <x:v>gtja_097</x:v>
      </x:c>
      <x:c r="B286" s="50" t="n">
        <x:v>20</x:v>
      </x:c>
      <x:c r="C286" s="30" t="n">
        <x:v>-0.03379655198093672</x:v>
      </x:c>
      <x:c r="D286" s="30" t="n">
        <x:v>0.06934585602308564</x:v>
      </x:c>
      <x:c r="E286" s="30" t="n">
        <x:v>-0.4873622436744548</x:v>
      </x:c>
      <x:c r="F286" s="30" t="n">
        <x:v>-0.07161198384764317</x:v>
      </x:c>
      <x:c r="G286" s="30" t="n">
        <x:v>0.11078584357941788</x:v>
      </x:c>
      <x:c r="H286" s="30" t="n">
        <x:v>-0.6464001314058455</x:v>
      </x:c>
      <x:c r="I286" s="30" t="n">
        <x:v>0.2629984856133266</x:v>
      </x:c>
      <x:c r="J286" s="30" t="n">
        <x:v>0.31398283695103485</x:v>
      </x:c>
      <x:c r="K286" s="19" t="n">
        <x:v>1981</x:v>
      </x:c>
      <x:c r="L286" s="74" t="n">
        <x:v>46210.56247660879</x:v>
      </x:c>
      <x:c r="M286" s="19" t="n">
        <x:v>8902245</x:v>
      </x:c>
      <x:c r="N286" t="str">
        <x:v>40355b29bce094aef0e99358bdfd4011b92e72a54440a67760de4afae4883c33</x:v>
      </x:c>
      <x:c r="O286" t="str">
        <x:v>legacy_common_sample_8902245</x:v>
      </x:c>
      <x:c r="P286" t="str">
        <x:v>factor_report/gtja191_batch/gtja_097/ic_summary.csv</x:v>
      </x:c>
    </x:row>
    <x:row r="287">
      <x:c r="A287" t="str">
        <x:v>gtja_098</x:v>
      </x:c>
      <x:c r="B287" s="50" t="n">
        <x:v>10</x:v>
      </x:c>
      <x:c r="C287" s="30" t="n">
        <x:v>0.019006160800267687</x:v>
      </x:c>
      <x:c r="D287" s="30" t="n">
        <x:v>0.06968575043359744</x:v>
      </x:c>
      <x:c r="E287" s="30" t="n">
        <x:v>0.27274099341698826</x:v>
      </x:c>
      <x:c r="F287" s="30" t="n">
        <x:v>0.029519967003921076</x:v>
      </x:c>
      <x:c r="G287" s="30" t="n">
        <x:v>0.10716074914773877</x:v>
      </x:c>
      <x:c r="H287" s="30" t="n">
        <x:v>0.27547369012158485</x:v>
      </x:c>
      <x:c r="I287" s="30" t="n">
        <x:v>0.6112506278252134</x:v>
      </x:c>
      <x:c r="J287" s="30" t="n">
        <x:v>0.6082370668006027</x:v>
      </x:c>
      <x:c r="K287" s="19" t="n">
        <x:v>1991</x:v>
      </x:c>
      <x:c r="L287" s="74" t="n">
        <x:v>46211.34572662037</x:v>
      </x:c>
      <x:c r="M287" s="19" t="n">
        <x:v>8902245</x:v>
      </x:c>
      <x:c r="N287" t="str">
        <x:v>8f7e606554926462248cbcc654181861438ca768a0063f6b317223ede37d16fb</x:v>
      </x:c>
      <x:c r="O287" t="str">
        <x:v>legacy_common_sample_8902245</x:v>
      </x:c>
      <x:c r="P287" t="str">
        <x:v>factor_report/gtja191_batch/gtja_098/ic_summary.csv</x:v>
      </x:c>
    </x:row>
    <x:row r="288">
      <x:c r="A288" t="str">
        <x:v>gtja_098</x:v>
      </x:c>
      <x:c r="B288" s="50" t="n">
        <x:v>20</x:v>
      </x:c>
      <x:c r="C288" s="30" t="n">
        <x:v>0.021525996097851705</x:v>
      </x:c>
      <x:c r="D288" s="30" t="n">
        <x:v>0.07082675034198872</x:v>
      </x:c>
      <x:c r="E288" s="30" t="n">
        <x:v>0.30392466114727695</x:v>
      </x:c>
      <x:c r="F288" s="30" t="n">
        <x:v>0.03461128060512544</x:v>
      </x:c>
      <x:c r="G288" s="30" t="n">
        <x:v>0.1071797678042114</x:v>
      </x:c>
      <x:c r="H288" s="30" t="n">
        <x:v>0.32292737066151267</x:v>
      </x:c>
      <x:c r="I288" s="30" t="n">
        <x:v>0.6274608783442706</x:v>
      </x:c>
      <x:c r="J288" s="30" t="n">
        <x:v>0.602221100454316</x:v>
      </x:c>
      <x:c r="K288" s="19" t="n">
        <x:v>1981</x:v>
      </x:c>
      <x:c r="L288" s="74" t="n">
        <x:v>46211.34572662037</x:v>
      </x:c>
      <x:c r="M288" s="19" t="n">
        <x:v>8902245</x:v>
      </x:c>
      <x:c r="N288" t="str">
        <x:v>8f7e606554926462248cbcc654181861438ca768a0063f6b317223ede37d16fb</x:v>
      </x:c>
      <x:c r="O288" t="str">
        <x:v>legacy_common_sample_8902245</x:v>
      </x:c>
      <x:c r="P288" t="str">
        <x:v>factor_report/gtja191_batch/gtja_098/ic_summary.csv</x:v>
      </x:c>
    </x:row>
    <x:row r="289">
      <x:c r="A289" t="str">
        <x:v>gtja_099</x:v>
      </x:c>
      <x:c r="B289" s="50" t="n">
        <x:v>10</x:v>
      </x:c>
      <x:c r="C289" s="30" t="n">
        <x:v>0.02235359328550537</x:v>
      </x:c>
      <x:c r="D289" s="30" t="n">
        <x:v>0.05721729855535822</x:v>
      </x:c>
      <x:c r="E289" s="30" t="n">
        <x:v>0.390678935390109</x:v>
      </x:c>
      <x:c r="F289" s="30" t="n">
        <x:v>0.05085190347772375</x:v>
      </x:c>
      <x:c r="G289" s="30" t="n">
        <x:v>0.06362683782511426</x:v>
      </x:c>
      <x:c r="H289" s="30" t="n">
        <x:v>0.799220976806927</x:v>
      </x:c>
      <x:c r="I289" s="30" t="n">
        <x:v>0.8011049723756906</x:v>
      </x:c>
      <x:c r="J289" s="30" t="n">
        <x:v>0.6308387744851833</x:v>
      </x:c>
      <x:c r="K289" s="19" t="n">
        <x:v>1991</x:v>
      </x:c>
      <x:c r="L289" s="74" t="n">
        <x:v>46211.34822918982</x:v>
      </x:c>
      <x:c r="M289" s="19" t="n">
        <x:v>8902245</x:v>
      </x:c>
      <x:c r="N289" t="str">
        <x:v>8f7e606554926462248cbcc654181861438ca768a0063f6b317223ede37d16fb</x:v>
      </x:c>
      <x:c r="O289" t="str">
        <x:v>legacy_common_sample_8902245</x:v>
      </x:c>
      <x:c r="P289" t="str">
        <x:v>factor_report/gtja191_batch/gtja_099/ic_summary.csv</x:v>
      </x:c>
    </x:row>
    <x:row r="290">
      <x:c r="A290" t="str">
        <x:v>gtja_099</x:v>
      </x:c>
      <x:c r="B290" s="50" t="n">
        <x:v>20</x:v>
      </x:c>
      <x:c r="C290" s="30" t="n">
        <x:v>0.025400174579974764</x:v>
      </x:c>
      <x:c r="D290" s="30" t="n">
        <x:v>0.05475719886692577</x:v>
      </x:c>
      <x:c r="E290" s="30" t="n">
        <x:v>0.46386913694587983</x:v>
      </x:c>
      <x:c r="F290" s="30" t="n">
        <x:v>0.05377091383717746</x:v>
      </x:c>
      <x:c r="G290" s="30" t="n">
        <x:v>0.06086357969076099</x:v>
      </x:c>
      <x:c r="H290" s="30" t="n">
        <x:v>0.8834661732086687</x:v>
      </x:c>
      <x:c r="I290" s="30" t="n">
        <x:v>0.8096920747097426</x:v>
      </x:c>
      <x:c r="J290" s="30" t="n">
        <x:v>0.673902069661787</x:v>
      </x:c>
      <x:c r="K290" s="19" t="n">
        <x:v>1981</x:v>
      </x:c>
      <x:c r="L290" s="74" t="n">
        <x:v>46211.34822918982</x:v>
      </x:c>
      <x:c r="M290" s="19" t="n">
        <x:v>8902245</x:v>
      </x:c>
      <x:c r="N290" t="str">
        <x:v>8f7e606554926462248cbcc654181861438ca768a0063f6b317223ede37d16fb</x:v>
      </x:c>
      <x:c r="O290" t="str">
        <x:v>legacy_common_sample_8902245</x:v>
      </x:c>
      <x:c r="P290" t="str">
        <x:v>factor_report/gtja191_batch/gtja_099/ic_summary.csv</x:v>
      </x:c>
    </x:row>
    <x:row r="291">
      <x:c r="A291" t="str">
        <x:v>gtja_100</x:v>
      </x:c>
      <x:c r="B291" s="50" t="n">
        <x:v>1</x:v>
      </x:c>
      <x:c r="C291" s="30" t="n">
        <x:v>-0.011241422894140748</x:v>
      </x:c>
      <x:c r="D291" s="30" t="n">
        <x:v>0.07318349399210045</x:v>
      </x:c>
      <x:c r="E291" s="30" t="n">
        <x:v>-0.15360598792063915</x:v>
      </x:c>
      <x:c r="F291" s="30" t="n">
        <x:v>-0.031128903404202553</x:v>
      </x:c>
      <x:c r="G291" s="30" t="n">
        <x:v>0.1131469466346593</x:v>
      </x:c>
      <x:c r="H291" s="30" t="n">
        <x:v>-0.27511925270696713</x:v>
      </x:c>
      <x:c r="I291" s="30" t="n">
        <x:v>0.3785</x:v>
      </x:c>
      <x:c r="J291" s="30" t="n">
        <x:v>0.415</x:v>
      </x:c>
      <x:c r="K291" s="19" t="n">
        <x:v>2000</x:v>
      </x:c>
      <x:c r="L291" s="74" t="n">
        <x:v>46210.57471123843</x:v>
      </x:c>
      <x:c r="M291" s="19" t="n">
        <x:v>8902245</x:v>
      </x:c>
      <x:c r="N291" t="str">
        <x:v>40355b29bce094aef0e99358bdfd4011b92e72a54440a67760de4afae4883c33</x:v>
      </x:c>
      <x:c r="O291" t="str">
        <x:v>legacy_common_sample_8902245</x:v>
      </x:c>
      <x:c r="P291" t="str">
        <x:v>factor_report/gtja191_batch/gtja_100/ic_summary.csv</x:v>
      </x:c>
    </x:row>
    <x:row r="292">
      <x:c r="A292" t="str">
        <x:v>gtja_100</x:v>
      </x:c>
      <x:c r="B292" s="50" t="n">
        <x:v>5</x:v>
      </x:c>
      <x:c r="C292" s="30" t="n">
        <x:v>-0.02193543976541335</x:v>
      </x:c>
      <x:c r="D292" s="30" t="n">
        <x:v>0.07290728030909079</x:v>
      </x:c>
      <x:c r="E292" s="30" t="n">
        <x:v>-0.30086761805430046</x:v>
      </x:c>
      <x:c r="F292" s="30" t="n">
        <x:v>-0.04902324119801506</x:v>
      </x:c>
      <x:c r="G292" s="30" t="n">
        <x:v>0.11593442760293625</x:v>
      </x:c>
      <x:c r="H292" s="30" t="n">
        <x:v>-0.42285317840111075</x:v>
      </x:c>
      <x:c r="I292" s="30" t="n">
        <x:v>0.32615230460921846</x:v>
      </x:c>
      <x:c r="J292" s="30" t="n">
        <x:v>0.3772545090180361</x:v>
      </x:c>
      <x:c r="K292" s="19" t="n">
        <x:v>1996</x:v>
      </x:c>
      <x:c r="L292" s="74" t="n">
        <x:v>46210.57471123843</x:v>
      </x:c>
      <x:c r="M292" s="19" t="n">
        <x:v>8902245</x:v>
      </x:c>
      <x:c r="N292" t="str">
        <x:v>40355b29bce094aef0e99358bdfd4011b92e72a54440a67760de4afae4883c33</x:v>
      </x:c>
      <x:c r="O292" t="str">
        <x:v>legacy_common_sample_8902245</x:v>
      </x:c>
      <x:c r="P292" t="str">
        <x:v>factor_report/gtja191_batch/gtja_100/ic_summary.csv</x:v>
      </x:c>
    </x:row>
    <x:row r="293">
      <x:c r="A293" t="str">
        <x:v>gtja_100</x:v>
      </x:c>
      <x:c r="B293" s="50" t="n">
        <x:v>10</x:v>
      </x:c>
      <x:c r="C293" s="30" t="n">
        <x:v>-0.027055506842539476</x:v>
      </x:c>
      <x:c r="D293" s="30" t="n">
        <x:v>0.07164108942286725</x:v>
      </x:c>
      <x:c r="E293" s="30" t="n">
        <x:v>-0.37765348154942463</x:v>
      </x:c>
      <x:c r="F293" s="30" t="n">
        <x:v>-0.05734235822146127</x:v>
      </x:c>
      <x:c r="G293" s="30" t="n">
        <x:v>0.11369962468884873</x:v>
      </x:c>
      <x:c r="H293" s="30" t="n">
        <x:v>-0.5043319921097789</x:v>
      </x:c>
      <x:c r="I293" s="30" t="n">
        <x:v>0.2933199397287795</x:v>
      </x:c>
      <x:c r="J293" s="30" t="n">
        <x:v>0.33952787543947766</x:v>
      </x:c>
      <x:c r="K293" s="19" t="n">
        <x:v>1991</x:v>
      </x:c>
      <x:c r="L293" s="74" t="n">
        <x:v>46210.57471123843</x:v>
      </x:c>
      <x:c r="M293" s="19" t="n">
        <x:v>8902245</x:v>
      </x:c>
      <x:c r="N293" t="str">
        <x:v>40355b29bce094aef0e99358bdfd4011b92e72a54440a67760de4afae4883c33</x:v>
      </x:c>
      <x:c r="O293" t="str">
        <x:v>legacy_common_sample_8902245</x:v>
      </x:c>
      <x:c r="P293" t="str">
        <x:v>factor_report/gtja191_batch/gtja_100/ic_summary.csv</x:v>
      </x:c>
    </x:row>
    <x:row r="294">
      <x:c r="A294" t="str">
        <x:v>gtja_100</x:v>
      </x:c>
      <x:c r="B294" s="50" t="n">
        <x:v>20</x:v>
      </x:c>
      <x:c r="C294" s="30" t="n">
        <x:v>-0.03199033881805518</x:v>
      </x:c>
      <x:c r="D294" s="30" t="n">
        <x:v>0.07060799532658991</x:v>
      </x:c>
      <x:c r="E294" s="30" t="n">
        <x:v>-0.45306963708695036</x:v>
      </x:c>
      <x:c r="F294" s="30" t="n">
        <x:v>-0.06784085347520025</x:v>
      </x:c>
      <x:c r="G294" s="30" t="n">
        <x:v>0.11006825550796548</x:v>
      </x:c>
      <x:c r="H294" s="30" t="n">
        <x:v>-0.6163525819693827</x:v>
      </x:c>
      <x:c r="I294" s="30" t="n">
        <x:v>0.2756183745583039</x:v>
      </x:c>
      <x:c r="J294" s="30" t="n">
        <x:v>0.32054517920242304</x:v>
      </x:c>
      <x:c r="K294" s="19" t="n">
        <x:v>1981</x:v>
      </x:c>
      <x:c r="L294" s="74" t="n">
        <x:v>46210.57471123843</x:v>
      </x:c>
      <x:c r="M294" s="19" t="n">
        <x:v>8902245</x:v>
      </x:c>
      <x:c r="N294" t="str">
        <x:v>40355b29bce094aef0e99358bdfd4011b92e72a54440a67760de4afae4883c33</x:v>
      </x:c>
      <x:c r="O294" t="str">
        <x:v>legacy_common_sample_8902245</x:v>
      </x:c>
      <x:c r="P294" t="str">
        <x:v>factor_report/gtja191_batch/gtja_100/ic_summary.csv</x:v>
      </x:c>
    </x:row>
    <x:row r="295">
      <x:c r="A295" t="str">
        <x:v>gtja_101</x:v>
      </x:c>
      <x:c r="B295" s="50" t="n">
        <x:v>10</x:v>
      </x:c>
      <x:c r="C295" s="30" t="n">
        <x:v>0.00847595045019612</x:v>
      </x:c>
      <x:c r="D295" s="30" t="n">
        <x:v>0.046014190032531564</x:v>
      </x:c>
      <x:c r="E295" s="30" t="n">
        <x:v>0.18420296965357227</x:v>
      </x:c>
      <x:c r="F295" s="30" t="n">
        <x:v>0.02186142074971069</x:v>
      </x:c>
      <x:c r="G295" s="30" t="n">
        <x:v>0.05539518381716089</x:v>
      </x:c>
      <x:c r="H295" s="30" t="n">
        <x:v>0.3946447911765613</x:v>
      </x:c>
      <x:c r="I295" s="30" t="n">
        <x:v>0.6598984771573604</x:v>
      </x:c>
      <x:c r="J295" s="30" t="n">
        <x:v>0.5781725888324873</x:v>
      </x:c>
      <x:c r="K295" s="19" t="n">
        <x:v>1970</x:v>
      </x:c>
      <x:c r="L295" s="74" t="n">
        <x:v>46211.35053340278</x:v>
      </x:c>
      <x:c r="M295" s="19" t="n">
        <x:v>8902245</x:v>
      </x:c>
      <x:c r="N295" t="str">
        <x:v>8f7e606554926462248cbcc654181861438ca768a0063f6b317223ede37d16fb</x:v>
      </x:c>
      <x:c r="O295" t="str">
        <x:v>legacy_common_sample_8902245</x:v>
      </x:c>
      <x:c r="P295" t="str">
        <x:v>factor_report/gtja191_batch/gtja_101/ic_summary.csv</x:v>
      </x:c>
    </x:row>
    <x:row r="296">
      <x:c r="A296" t="str">
        <x:v>gtja_101</x:v>
      </x:c>
      <x:c r="B296" s="50" t="n">
        <x:v>20</x:v>
      </x:c>
      <x:c r="C296" s="30" t="n">
        <x:v>0.010982358911862194</x:v>
      </x:c>
      <x:c r="D296" s="30" t="n">
        <x:v>0.04759918389633821</x:v>
      </x:c>
      <x:c r="E296" s="30" t="n">
        <x:v>0.2307257816810398</x:v>
      </x:c>
      <x:c r="F296" s="30" t="n">
        <x:v>0.024210244793398127</x:v>
      </x:c>
      <x:c r="G296" s="30" t="n">
        <x:v>0.056029940687683</x:v>
      </x:c>
      <x:c r="H296" s="30" t="n">
        <x:v>0.4320947781891948</x:v>
      </x:c>
      <x:c r="I296" s="30" t="n">
        <x:v>0.6678571428571428</x:v>
      </x:c>
      <x:c r="J296" s="30" t="n">
        <x:v>0.5918367346938775</x:v>
      </x:c>
      <x:c r="K296" s="19" t="n">
        <x:v>1960</x:v>
      </x:c>
      <x:c r="L296" s="74" t="n">
        <x:v>46211.35053340278</x:v>
      </x:c>
      <x:c r="M296" s="19" t="n">
        <x:v>8902245</x:v>
      </x:c>
      <x:c r="N296" t="str">
        <x:v>8f7e606554926462248cbcc654181861438ca768a0063f6b317223ede37d16fb</x:v>
      </x:c>
      <x:c r="O296" t="str">
        <x:v>legacy_common_sample_8902245</x:v>
      </x:c>
      <x:c r="P296" t="str">
        <x:v>factor_report/gtja191_batch/gtja_101/ic_summary.csv</x:v>
      </x:c>
    </x:row>
    <x:row r="297">
      <x:c r="A297" t="str">
        <x:v>gtja_102</x:v>
      </x:c>
      <x:c r="B297" s="50" t="n">
        <x:v>1</x:v>
      </x:c>
      <x:c r="C297" s="30" t="n">
        <x:v>-0.017823841472461105</x:v>
      </x:c>
      <x:c r="D297" s="30" t="n">
        <x:v>0.08112638503643264</x:v>
      </x:c>
      <x:c r="E297" s="30" t="n">
        <x:v>-0.21970461847223544</x:v>
      </x:c>
      <x:c r="F297" s="30" t="n">
        <x:v>-0.026220389903831815</x:v>
      </x:c>
      <x:c r="G297" s="30" t="n">
        <x:v>0.09115886649878942</x:v>
      </x:c>
      <x:c r="H297" s="30" t="n">
        <x:v>-0.28763400545552</x:v>
      </x:c>
      <x:c r="I297" s="30" t="n">
        <x:v>0.3715</x:v>
      </x:c>
      <x:c r="J297" s="30" t="n">
        <x:v>0.391</x:v>
      </x:c>
      <x:c r="K297" s="19" t="n">
        <x:v>2000</x:v>
      </x:c>
      <x:c r="L297" s="74" t="n">
        <x:v>46210.58357934028</x:v>
      </x:c>
      <x:c r="M297" s="19" t="n">
        <x:v>8902245</x:v>
      </x:c>
      <x:c r="N297" t="str">
        <x:v>40355b29bce094aef0e99358bdfd4011b92e72a54440a67760de4afae4883c33</x:v>
      </x:c>
      <x:c r="O297" t="str">
        <x:v>legacy_common_sample_8902245</x:v>
      </x:c>
      <x:c r="P297" t="str">
        <x:v>factor_report/gtja191_batch/gtja_102/ic_summary.csv</x:v>
      </x:c>
    </x:row>
    <x:row r="298">
      <x:c r="A298" t="str">
        <x:v>gtja_102</x:v>
      </x:c>
      <x:c r="B298" s="50" t="n">
        <x:v>5</x:v>
      </x:c>
      <x:c r="C298" s="30" t="n">
        <x:v>-0.021192900436921402</x:v>
      </x:c>
      <x:c r="D298" s="30" t="n">
        <x:v>0.07200433937863512</x:v>
      </x:c>
      <x:c r="E298" s="30" t="n">
        <x:v>-0.294328100497922</x:v>
      </x:c>
      <x:c r="F298" s="30" t="n">
        <x:v>-0.02261074637807211</x:v>
      </x:c>
      <x:c r="G298" s="30" t="n">
        <x:v>0.08383631979732782</x:v>
      </x:c>
      <x:c r="H298" s="30" t="n">
        <x:v>-0.2697010845983342</x:v>
      </x:c>
      <x:c r="I298" s="30" t="n">
        <x:v>0.3787575150300601</x:v>
      </x:c>
      <x:c r="J298" s="30" t="n">
        <x:v>0.3667334669338677</x:v>
      </x:c>
      <x:c r="K298" s="19" t="n">
        <x:v>1996</x:v>
      </x:c>
      <x:c r="L298" s="74" t="n">
        <x:v>46210.58357934028</x:v>
      </x:c>
      <x:c r="M298" s="19" t="n">
        <x:v>8902245</x:v>
      </x:c>
      <x:c r="N298" t="str">
        <x:v>40355b29bce094aef0e99358bdfd4011b92e72a54440a67760de4afae4883c33</x:v>
      </x:c>
      <x:c r="O298" t="str">
        <x:v>legacy_common_sample_8902245</x:v>
      </x:c>
      <x:c r="P298" t="str">
        <x:v>factor_report/gtja191_batch/gtja_102/ic_summary.csv</x:v>
      </x:c>
    </x:row>
    <x:row r="299">
      <x:c r="A299" t="str">
        <x:v>gtja_102</x:v>
      </x:c>
      <x:c r="B299" s="50" t="n">
        <x:v>10</x:v>
      </x:c>
      <x:c r="C299" s="30" t="n">
        <x:v>-0.02063103421074769</x:v>
      </x:c>
      <x:c r="D299" s="30" t="n">
        <x:v>0.06812117640071423</x:v>
      </x:c>
      <x:c r="E299" s="30" t="n">
        <x:v>-0.30285786741832277</x:v>
      </x:c>
      <x:c r="F299" s="30" t="n">
        <x:v>-0.020352867178194785</x:v>
      </x:c>
      <x:c r="G299" s="30" t="n">
        <x:v>0.08028253890730953</x:v>
      </x:c>
      <x:c r="H299" s="30" t="n">
        <x:v>-0.2535154898588005</x:v>
      </x:c>
      <x:c r="I299" s="30" t="n">
        <x:v>0.3907584128578604</x:v>
      </x:c>
      <x:c r="J299" s="30" t="n">
        <x:v>0.36212958312405824</x:v>
      </x:c>
      <x:c r="K299" s="19" t="n">
        <x:v>1991</x:v>
      </x:c>
      <x:c r="L299" s="74" t="n">
        <x:v>46210.58357934028</x:v>
      </x:c>
      <x:c r="M299" s="19" t="n">
        <x:v>8902245</x:v>
      </x:c>
      <x:c r="N299" t="str">
        <x:v>40355b29bce094aef0e99358bdfd4011b92e72a54440a67760de4afae4883c33</x:v>
      </x:c>
      <x:c r="O299" t="str">
        <x:v>legacy_common_sample_8902245</x:v>
      </x:c>
      <x:c r="P299" t="str">
        <x:v>factor_report/gtja191_batch/gtja_102/ic_summary.csv</x:v>
      </x:c>
    </x:row>
    <x:row r="300">
      <x:c r="A300" t="str">
        <x:v>gtja_102</x:v>
      </x:c>
      <x:c r="B300" s="50" t="n">
        <x:v>20</x:v>
      </x:c>
      <x:c r="C300" s="30" t="n">
        <x:v>-0.020596459777454</x:v>
      </x:c>
      <x:c r="D300" s="30" t="n">
        <x:v>0.06317676253515543</x:v>
      </x:c>
      <x:c r="E300" s="30" t="n">
        <x:v>-0.3260132199080772</x:v>
      </x:c>
      <x:c r="F300" s="30" t="n">
        <x:v>-0.020542291091252312</x:v>
      </x:c>
      <x:c r="G300" s="30" t="n">
        <x:v>0.07633524818921955</x:v>
      </x:c>
      <x:c r="H300" s="30" t="n">
        <x:v>-0.26910623307770154</x:v>
      </x:c>
      <x:c r="I300" s="30" t="n">
        <x:v>0.3806158505805149</x:v>
      </x:c>
      <x:c r="J300" s="30" t="n">
        <x:v>0.3624432104997476</x:v>
      </x:c>
      <x:c r="K300" s="19" t="n">
        <x:v>1981</x:v>
      </x:c>
      <x:c r="L300" s="74" t="n">
        <x:v>46210.58357934028</x:v>
      </x:c>
      <x:c r="M300" s="19" t="n">
        <x:v>8902245</x:v>
      </x:c>
      <x:c r="N300" t="str">
        <x:v>40355b29bce094aef0e99358bdfd4011b92e72a54440a67760de4afae4883c33</x:v>
      </x:c>
      <x:c r="O300" t="str">
        <x:v>legacy_common_sample_8902245</x:v>
      </x:c>
      <x:c r="P300" t="str">
        <x:v>factor_report/gtja191_batch/gtja_102/ic_summary.csv</x:v>
      </x:c>
    </x:row>
    <x:row r="301">
      <x:c r="A301" t="str">
        <x:v>gtja_103</x:v>
      </x:c>
      <x:c r="B301" s="50" t="n">
        <x:v>10</x:v>
      </x:c>
      <x:c r="C301" s="30" t="n">
        <x:v>0.016119395577333318</x:v>
      </x:c>
      <x:c r="D301" s="30" t="n">
        <x:v>0.08736540027541498</x:v>
      </x:c>
      <x:c r="E301" s="30" t="n">
        <x:v>0.1845054853124663</x:v>
      </x:c>
      <x:c r="F301" s="30" t="n">
        <x:v>0.03330244144600269</x:v>
      </x:c>
      <x:c r="G301" s="30" t="n">
        <x:v>0.10277969324317926</x:v>
      </x:c>
      <x:c r="H301" s="30" t="n">
        <x:v>0.32401771590433043</x:v>
      </x:c>
      <x:c r="I301" s="30" t="n">
        <x:v>0.6017076845806127</x:v>
      </x:c>
      <x:c r="J301" s="30" t="n">
        <x:v>0.5474635861376193</x:v>
      </x:c>
      <x:c r="K301" s="19" t="n">
        <x:v>1991</x:v>
      </x:c>
      <x:c r="L301" s="74" t="n">
        <x:v>46211.35333019676</x:v>
      </x:c>
      <x:c r="M301" s="19" t="n">
        <x:v>8902245</x:v>
      </x:c>
      <x:c r="N301" t="str">
        <x:v>8f7e606554926462248cbcc654181861438ca768a0063f6b317223ede37d16fb</x:v>
      </x:c>
      <x:c r="O301" t="str">
        <x:v>legacy_common_sample_8902245</x:v>
      </x:c>
      <x:c r="P301" t="str">
        <x:v>factor_report/gtja191_batch/gtja_103/ic_summary.csv</x:v>
      </x:c>
    </x:row>
    <x:row r="302">
      <x:c r="A302" t="str">
        <x:v>gtja_103</x:v>
      </x:c>
      <x:c r="B302" s="50" t="n">
        <x:v>20</x:v>
      </x:c>
      <x:c r="C302" s="30" t="n">
        <x:v>0.01957322597659048</x:v>
      </x:c>
      <x:c r="D302" s="30" t="n">
        <x:v>0.08797601068601037</x:v>
      </x:c>
      <x:c r="E302" s="30" t="n">
        <x:v>0.22248367280994413</x:v>
      </x:c>
      <x:c r="F302" s="30" t="n">
        <x:v>0.03790450316082415</x:v>
      </x:c>
      <x:c r="G302" s="30" t="n">
        <x:v>0.104257390630995</x:v>
      </x:c>
      <x:c r="H302" s="30" t="n">
        <x:v>0.36356658200838765</x:v>
      </x:c>
      <x:c r="I302" s="30" t="n">
        <x:v>0.6264512872286724</x:v>
      </x:c>
      <x:c r="J302" s="30" t="n">
        <x:v>0.5542655224634023</x:v>
      </x:c>
      <x:c r="K302" s="19" t="n">
        <x:v>1981</x:v>
      </x:c>
      <x:c r="L302" s="74" t="n">
        <x:v>46211.35333019676</x:v>
      </x:c>
      <x:c r="M302" s="19" t="n">
        <x:v>8902245</x:v>
      </x:c>
      <x:c r="N302" t="str">
        <x:v>8f7e606554926462248cbcc654181861438ca768a0063f6b317223ede37d16fb</x:v>
      </x:c>
      <x:c r="O302" t="str">
        <x:v>legacy_common_sample_8902245</x:v>
      </x:c>
      <x:c r="P302" t="str">
        <x:v>factor_report/gtja191_batch/gtja_103/ic_summary.csv</x:v>
      </x:c>
    </x:row>
    <x:row r="303">
      <x:c r="A303" t="str">
        <x:v>gtja_104</x:v>
      </x:c>
      <x:c r="B303" s="50" t="n">
        <x:v>10</x:v>
      </x:c>
      <x:c r="C303" s="30" t="n">
        <x:v>0.0044983787062534315</x:v>
      </x:c>
      <x:c r="D303" s="30" t="n">
        <x:v>0.04552865045730915</x:v>
      </x:c>
      <x:c r="E303" s="30" t="n">
        <x:v>0.09880325160244813</x:v>
      </x:c>
      <x:c r="F303" s="30" t="n">
        <x:v>0.007983525906834345</x:v>
      </x:c>
      <x:c r="G303" s="30" t="n">
        <x:v>0.057706998425646236</x:v>
      </x:c>
      <x:c r="H303" s="30" t="n">
        <x:v>0.13834588740776188</x:v>
      </x:c>
      <x:c r="I303" s="30" t="n">
        <x:v>0.5560020090406831</x:v>
      </x:c>
      <x:c r="J303" s="30" t="n">
        <x:v>0.5308890005022602</x:v>
      </x:c>
      <x:c r="K303" s="19" t="n">
        <x:v>1991</x:v>
      </x:c>
      <x:c r="L303" s="74" t="n">
        <x:v>46211.35578873842</x:v>
      </x:c>
      <x:c r="M303" s="19" t="n">
        <x:v>8902245</x:v>
      </x:c>
      <x:c r="N303" t="str">
        <x:v>8f7e606554926462248cbcc654181861438ca768a0063f6b317223ede37d16fb</x:v>
      </x:c>
      <x:c r="O303" t="str">
        <x:v>legacy_common_sample_8902245</x:v>
      </x:c>
      <x:c r="P303" t="str">
        <x:v>factor_report/gtja191_batch/gtja_104/ic_summary.csv</x:v>
      </x:c>
    </x:row>
    <x:row r="304">
      <x:c r="A304" t="str">
        <x:v>gtja_104</x:v>
      </x:c>
      <x:c r="B304" s="50" t="n">
        <x:v>20</x:v>
      </x:c>
      <x:c r="C304" s="30" t="n">
        <x:v>0.0043717867857987315</x:v>
      </x:c>
      <x:c r="D304" s="30" t="n">
        <x:v>0.04367362322067752</x:v>
      </x:c>
      <x:c r="E304" s="30" t="n">
        <x:v>0.10010130745756136</x:v>
      </x:c>
      <x:c r="F304" s="30" t="n">
        <x:v>0.007791365466936186</x:v>
      </x:c>
      <x:c r="G304" s="30" t="n">
        <x:v>0.05490881430977608</x:v>
      </x:c>
      <x:c r="H304" s="30" t="n">
        <x:v>0.14189644349229727</x:v>
      </x:c>
      <x:c r="I304" s="30" t="n">
        <x:v>0.5739525492175669</x:v>
      </x:c>
      <x:c r="J304" s="30" t="n">
        <x:v>0.5259969712266532</x:v>
      </x:c>
      <x:c r="K304" s="19" t="n">
        <x:v>1981</x:v>
      </x:c>
      <x:c r="L304" s="74" t="n">
        <x:v>46211.35578873842</x:v>
      </x:c>
      <x:c r="M304" s="19" t="n">
        <x:v>8902245</x:v>
      </x:c>
      <x:c r="N304" t="str">
        <x:v>8f7e606554926462248cbcc654181861438ca768a0063f6b317223ede37d16fb</x:v>
      </x:c>
      <x:c r="O304" t="str">
        <x:v>legacy_common_sample_8902245</x:v>
      </x:c>
      <x:c r="P304" t="str">
        <x:v>factor_report/gtja191_batch/gtja_104/ic_summary.csv</x:v>
      </x:c>
    </x:row>
    <x:row r="305">
      <x:c r="A305" t="str">
        <x:v>gtja_105</x:v>
      </x:c>
      <x:c r="B305" s="50" t="n">
        <x:v>10</x:v>
      </x:c>
      <x:c r="C305" s="30" t="n">
        <x:v>0.020292949114401323</x:v>
      </x:c>
      <x:c r="D305" s="30" t="n">
        <x:v>0.048438691640332425</x:v>
      </x:c>
      <x:c r="E305" s="30" t="n">
        <x:v>0.4189409009037812</x:v>
      </x:c>
      <x:c r="F305" s="30" t="n">
        <x:v>0.03704915011384955</x:v>
      </x:c>
      <x:c r="G305" s="30" t="n">
        <x:v>0.055502901526657475</x:v>
      </x:c>
      <x:c r="H305" s="30" t="n">
        <x:v>0.6675173566566646</x:v>
      </x:c>
      <x:c r="I305" s="30" t="n">
        <x:v>0.747865394274234</x:v>
      </x:c>
      <x:c r="J305" s="30" t="n">
        <x:v>0.6654947262682069</x:v>
      </x:c>
      <x:c r="K305" s="19" t="n">
        <x:v>1991</x:v>
      </x:c>
      <x:c r="L305" s="74" t="n">
        <x:v>46211.35838456018</x:v>
      </x:c>
      <x:c r="M305" s="19" t="n">
        <x:v>8902245</x:v>
      </x:c>
      <x:c r="N305" t="str">
        <x:v>8f7e606554926462248cbcc654181861438ca768a0063f6b317223ede37d16fb</x:v>
      </x:c>
      <x:c r="O305" t="str">
        <x:v>legacy_common_sample_8902245</x:v>
      </x:c>
      <x:c r="P305" t="str">
        <x:v>factor_report/gtja191_batch/gtja_105/ic_summary.csv</x:v>
      </x:c>
    </x:row>
    <x:row r="306">
      <x:c r="A306" t="str">
        <x:v>gtja_105</x:v>
      </x:c>
      <x:c r="B306" s="50" t="n">
        <x:v>20</x:v>
      </x:c>
      <x:c r="C306" s="30" t="n">
        <x:v>0.022268918285801444</x:v>
      </x:c>
      <x:c r="D306" s="30" t="n">
        <x:v>0.04596418659334286</x:v>
      </x:c>
      <x:c r="E306" s="30" t="n">
        <x:v>0.4844841154880074</x:v>
      </x:c>
      <x:c r="F306" s="30" t="n">
        <x:v>0.03959051741431011</x:v>
      </x:c>
      <x:c r="G306" s="30" t="n">
        <x:v>0.052563513803642214</x:v>
      </x:c>
      <x:c r="H306" s="30" t="n">
        <x:v>0.7531938896285663</x:v>
      </x:c>
      <x:c r="I306" s="30" t="n">
        <x:v>0.7864714790509844</x:v>
      </x:c>
      <x:c r="J306" s="30" t="n">
        <x:v>0.696113074204947</x:v>
      </x:c>
      <x:c r="K306" s="19" t="n">
        <x:v>1981</x:v>
      </x:c>
      <x:c r="L306" s="74" t="n">
        <x:v>46211.35838456018</x:v>
      </x:c>
      <x:c r="M306" s="19" t="n">
        <x:v>8902245</x:v>
      </x:c>
      <x:c r="N306" t="str">
        <x:v>8f7e606554926462248cbcc654181861438ca768a0063f6b317223ede37d16fb</x:v>
      </x:c>
      <x:c r="O306" t="str">
        <x:v>legacy_common_sample_8902245</x:v>
      </x:c>
      <x:c r="P306" t="str">
        <x:v>factor_report/gtja191_batch/gtja_105/ic_summary.csv</x:v>
      </x:c>
    </x:row>
    <x:row r="307">
      <x:c r="A307" t="str">
        <x:v>gtja_106</x:v>
      </x:c>
      <x:c r="B307" s="50" t="n">
        <x:v>1</x:v>
      </x:c>
      <x:c r="C307" s="30" t="n">
        <x:v>-0.009978226127687893</x:v>
      </x:c>
      <x:c r="D307" s="30" t="n">
        <x:v>0.0974710258074232</x:v>
      </x:c>
      <x:c r="E307" s="30" t="n">
        <x:v>-0.10237120257051785</x:v>
      </x:c>
      <x:c r="F307" s="30" t="n">
        <x:v>-0.03326993748448418</x:v>
      </x:c>
      <x:c r="G307" s="30" t="n">
        <x:v>0.14904942953497802</x:v>
      </x:c>
      <x:c r="H307" s="30" t="n">
        <x:v>-0.2232141215721768</x:v>
      </x:c>
      <x:c r="I307" s="30" t="n">
        <x:v>0.397</x:v>
      </x:c>
      <x:c r="J307" s="30" t="n">
        <x:v>0.455</x:v>
      </x:c>
      <x:c r="K307" s="19" t="n">
        <x:v>2000</x:v>
      </x:c>
      <x:c r="L307" s="74" t="n">
        <x:v>46210.59962833333</x:v>
      </x:c>
      <x:c r="M307" s="19" t="n">
        <x:v>8902245</x:v>
      </x:c>
      <x:c r="N307" t="str">
        <x:v>40355b29bce094aef0e99358bdfd4011b92e72a54440a67760de4afae4883c33</x:v>
      </x:c>
      <x:c r="O307" t="str">
        <x:v>legacy_common_sample_8902245</x:v>
      </x:c>
      <x:c r="P307" t="str">
        <x:v>factor_report/gtja191_batch/gtja_106/ic_summary.csv</x:v>
      </x:c>
    </x:row>
    <x:row r="308">
      <x:c r="A308" t="str">
        <x:v>gtja_106</x:v>
      </x:c>
      <x:c r="B308" s="50" t="n">
        <x:v>5</x:v>
      </x:c>
      <x:c r="C308" s="30" t="n">
        <x:v>-0.01787729215532497</x:v>
      </x:c>
      <x:c r="D308" s="30" t="n">
        <x:v>0.08868063205256682</x:v>
      </x:c>
      <x:c r="E308" s="30" t="n">
        <x:v>-0.20159184414391554</x:v>
      </x:c>
      <x:c r="F308" s="30" t="n">
        <x:v>-0.04773475370395385</x:v>
      </x:c>
      <x:c r="G308" s="30" t="n">
        <x:v>0.1395649126330913</x:v>
      </x:c>
      <x:c r="H308" s="30" t="n">
        <x:v>-0.342025461868385</x:v>
      </x:c>
      <x:c r="I308" s="30" t="n">
        <x:v>0.36122244488977956</x:v>
      </x:c>
      <x:c r="J308" s="30" t="n">
        <x:v>0.4248496993987976</x:v>
      </x:c>
      <x:c r="K308" s="19" t="n">
        <x:v>1996</x:v>
      </x:c>
      <x:c r="L308" s="74" t="n">
        <x:v>46210.59962833333</x:v>
      </x:c>
      <x:c r="M308" s="19" t="n">
        <x:v>8902245</x:v>
      </x:c>
      <x:c r="N308" t="str">
        <x:v>40355b29bce094aef0e99358bdfd4011b92e72a54440a67760de4afae4883c33</x:v>
      </x:c>
      <x:c r="O308" t="str">
        <x:v>legacy_common_sample_8902245</x:v>
      </x:c>
      <x:c r="P308" t="str">
        <x:v>factor_report/gtja191_batch/gtja_106/ic_summary.csv</x:v>
      </x:c>
    </x:row>
    <x:row r="309">
      <x:c r="A309" t="str">
        <x:v>gtja_106</x:v>
      </x:c>
      <x:c r="B309" s="50" t="n">
        <x:v>10</x:v>
      </x:c>
      <x:c r="C309" s="30" t="n">
        <x:v>-0.02134008016224203</x:v>
      </x:c>
      <x:c r="D309" s="30" t="n">
        <x:v>0.08522839257021382</x:v>
      </x:c>
      <x:c r="E309" s="30" t="n">
        <x:v>-0.2503869839462407</x:v>
      </x:c>
      <x:c r="F309" s="30" t="n">
        <x:v>-0.05564072753484768</x:v>
      </x:c>
      <x:c r="G309" s="30" t="n">
        <x:v>0.13400703726279667</x:v>
      </x:c>
      <x:c r="H309" s="30" t="n">
        <x:v>-0.4152075045561416</x:v>
      </x:c>
      <x:c r="I309" s="30" t="n">
        <x:v>0.33802109492717225</x:v>
      </x:c>
      <x:c r="J309" s="30" t="n">
        <x:v>0.40180813661476644</x:v>
      </x:c>
      <x:c r="K309" s="19" t="n">
        <x:v>1991</x:v>
      </x:c>
      <x:c r="L309" s="74" t="n">
        <x:v>46210.59962833333</x:v>
      </x:c>
      <x:c r="M309" s="19" t="n">
        <x:v>8902245</x:v>
      </x:c>
      <x:c r="N309" t="str">
        <x:v>40355b29bce094aef0e99358bdfd4011b92e72a54440a67760de4afae4883c33</x:v>
      </x:c>
      <x:c r="O309" t="str">
        <x:v>legacy_common_sample_8902245</x:v>
      </x:c>
      <x:c r="P309" t="str">
        <x:v>factor_report/gtja191_batch/gtja_106/ic_summary.csv</x:v>
      </x:c>
    </x:row>
    <x:row r="310">
      <x:c r="A310" t="str">
        <x:v>gtja_106</x:v>
      </x:c>
      <x:c r="B310" s="50" t="n">
        <x:v>20</x:v>
      </x:c>
      <x:c r="C310" s="30" t="n">
        <x:v>-0.022001386611756456</x:v>
      </x:c>
      <x:c r="D310" s="30" t="n">
        <x:v>0.08812917991013748</x:v>
      </x:c>
      <x:c r="E310" s="30" t="n">
        <x:v>-0.24964928340636516</x:v>
      </x:c>
      <x:c r="F310" s="30" t="n">
        <x:v>-0.061357020390763045</x:v>
      </x:c>
      <x:c r="G310" s="30" t="n">
        <x:v>0.13516592332054503</x:v>
      </x:c>
      <x:c r="H310" s="30" t="n">
        <x:v>-0.4539385289090602</x:v>
      </x:c>
      <x:c r="I310" s="30" t="n">
        <x:v>0.32609793033821305</x:v>
      </x:c>
      <x:c r="J310" s="30" t="n">
        <x:v>0.3917213528520949</x:v>
      </x:c>
      <x:c r="K310" s="19" t="n">
        <x:v>1981</x:v>
      </x:c>
      <x:c r="L310" s="74" t="n">
        <x:v>46210.59962833333</x:v>
      </x:c>
      <x:c r="M310" s="19" t="n">
        <x:v>8902245</x:v>
      </x:c>
      <x:c r="N310" t="str">
        <x:v>40355b29bce094aef0e99358bdfd4011b92e72a54440a67760de4afae4883c33</x:v>
      </x:c>
      <x:c r="O310" t="str">
        <x:v>legacy_common_sample_8902245</x:v>
      </x:c>
      <x:c r="P310" t="str">
        <x:v>factor_report/gtja191_batch/gtja_106/ic_summary.csv</x:v>
      </x:c>
    </x:row>
    <x:row r="311">
      <x:c r="A311" t="str">
        <x:v>gtja_107</x:v>
      </x:c>
      <x:c r="B311" s="50" t="n">
        <x:v>1</x:v>
      </x:c>
      <x:c r="C311" s="30" t="n">
        <x:v>0.002817934487308848</x:v>
      </x:c>
      <x:c r="D311" s="30" t="n">
        <x:v>0.07235423075398077</x:v>
      </x:c>
      <x:c r="E311" s="30" t="n">
        <x:v>0.038946367861893295</x:v>
      </x:c>
      <x:c r="F311" s="30" t="n">
        <x:v>-0.009023508854960031</x:v>
      </x:c>
      <x:c r="G311" s="30" t="n">
        <x:v>0.09409368196588189</x:v>
      </x:c>
      <x:c r="H311" s="30" t="n">
        <x:v>-0.09589920031221577</x:v>
      </x:c>
      <x:c r="I311" s="30" t="n">
        <x:v>0.4345</x:v>
      </x:c>
      <x:c r="J311" s="30" t="n">
        <x:v>0.523</x:v>
      </x:c>
      <x:c r="K311" s="19" t="n">
        <x:v>2000</x:v>
      </x:c>
      <x:c r="L311" s="74" t="n">
        <x:v>46210.60368208333</x:v>
      </x:c>
      <x:c r="M311" s="19" t="n">
        <x:v>8902245</x:v>
      </x:c>
      <x:c r="N311" t="str">
        <x:v>40355b29bce094aef0e99358bdfd4011b92e72a54440a67760de4afae4883c33</x:v>
      </x:c>
      <x:c r="O311" t="str">
        <x:v>legacy_common_sample_8902245</x:v>
      </x:c>
      <x:c r="P311" t="str">
        <x:v>factor_report/gtja191_batch/gtja_107/ic_summary.csv</x:v>
      </x:c>
    </x:row>
    <x:row r="312">
      <x:c r="A312" t="str">
        <x:v>gtja_107</x:v>
      </x:c>
      <x:c r="B312" s="50" t="n">
        <x:v>5</x:v>
      </x:c>
      <x:c r="C312" s="30" t="n">
        <x:v>0.004901579677995906</x:v>
      </x:c>
      <x:c r="D312" s="30" t="n">
        <x:v>0.06880720644380688</x:v>
      </x:c>
      <x:c r="E312" s="30" t="n">
        <x:v>0.07123642902141221</x:v>
      </x:c>
      <x:c r="F312" s="30" t="n">
        <x:v>-0.017552950821608838</x:v>
      </x:c>
      <x:c r="G312" s="30" t="n">
        <x:v>0.09107505686524468</x:v>
      </x:c>
      <x:c r="H312" s="30" t="n">
        <x:v>-0.19273060512693735</x:v>
      </x:c>
      <x:c r="I312" s="30" t="n">
        <x:v>0.3907815631262525</x:v>
      </x:c>
      <x:c r="J312" s="30" t="n">
        <x:v>0.5235470941883767</x:v>
      </x:c>
      <x:c r="K312" s="19" t="n">
        <x:v>1996</x:v>
      </x:c>
      <x:c r="L312" s="74" t="n">
        <x:v>46210.60368208333</x:v>
      </x:c>
      <x:c r="M312" s="19" t="n">
        <x:v>8902245</x:v>
      </x:c>
      <x:c r="N312" t="str">
        <x:v>40355b29bce094aef0e99358bdfd4011b92e72a54440a67760de4afae4883c33</x:v>
      </x:c>
      <x:c r="O312" t="str">
        <x:v>legacy_common_sample_8902245</x:v>
      </x:c>
      <x:c r="P312" t="str">
        <x:v>factor_report/gtja191_batch/gtja_107/ic_summary.csv</x:v>
      </x:c>
    </x:row>
    <x:row r="313">
      <x:c r="A313" t="str">
        <x:v>gtja_107</x:v>
      </x:c>
      <x:c r="B313" s="50" t="n">
        <x:v>10</x:v>
      </x:c>
      <x:c r="C313" s="30" t="n">
        <x:v>0.004073234886513534</x:v>
      </x:c>
      <x:c r="D313" s="30" t="n">
        <x:v>0.06833549144759592</x:v>
      </x:c>
      <x:c r="E313" s="30" t="n">
        <x:v>0.05960643291249547</x:v>
      </x:c>
      <x:c r="F313" s="30" t="n">
        <x:v>-0.022211442200144024</x:v>
      </x:c>
      <x:c r="G313" s="30" t="n">
        <x:v>0.09177100230858579</x:v>
      </x:c>
      <x:c r="H313" s="30" t="n">
        <x:v>-0.2420311606214853</x:v>
      </x:c>
      <x:c r="I313" s="30" t="n">
        <x:v>0.37920642893018586</x:v>
      </x:c>
      <x:c r="J313" s="30" t="n">
        <x:v>0.5313912606730287</x:v>
      </x:c>
      <x:c r="K313" s="19" t="n">
        <x:v>1991</x:v>
      </x:c>
      <x:c r="L313" s="74" t="n">
        <x:v>46210.60368208333</x:v>
      </x:c>
      <x:c r="M313" s="19" t="n">
        <x:v>8902245</x:v>
      </x:c>
      <x:c r="N313" t="str">
        <x:v>40355b29bce094aef0e99358bdfd4011b92e72a54440a67760de4afae4883c33</x:v>
      </x:c>
      <x:c r="O313" t="str">
        <x:v>legacy_common_sample_8902245</x:v>
      </x:c>
      <x:c r="P313" t="str">
        <x:v>factor_report/gtja191_batch/gtja_107/ic_summary.csv</x:v>
      </x:c>
    </x:row>
    <x:row r="314">
      <x:c r="A314" t="str">
        <x:v>gtja_107</x:v>
      </x:c>
      <x:c r="B314" s="50" t="n">
        <x:v>20</x:v>
      </x:c>
      <x:c r="C314" s="30" t="n">
        <x:v>0.0041274602293355465</x:v>
      </x:c>
      <x:c r="D314" s="30" t="n">
        <x:v>0.06731813445677082</x:v>
      </x:c>
      <x:c r="E314" s="30" t="n">
        <x:v>0.061312754173038574</x:v>
      </x:c>
      <x:c r="F314" s="30" t="n">
        <x:v>-0.025765554587392003</x:v>
      </x:c>
      <x:c r="G314" s="30" t="n">
        <x:v>0.09210562377100583</x:v>
      </x:c>
      <x:c r="H314" s="30" t="n">
        <x:v>-0.2797392117060154</x:v>
      </x:c>
      <x:c r="I314" s="30" t="n">
        <x:v>0.36092882382635033</x:v>
      </x:c>
      <x:c r="J314" s="30" t="n">
        <x:v>0.519434628975265</x:v>
      </x:c>
      <x:c r="K314" s="19" t="n">
        <x:v>1981</x:v>
      </x:c>
      <x:c r="L314" s="74" t="n">
        <x:v>46210.60368208333</x:v>
      </x:c>
      <x:c r="M314" s="19" t="n">
        <x:v>8902245</x:v>
      </x:c>
      <x:c r="N314" t="str">
        <x:v>40355b29bce094aef0e99358bdfd4011b92e72a54440a67760de4afae4883c33</x:v>
      </x:c>
      <x:c r="O314" t="str">
        <x:v>legacy_common_sample_8902245</x:v>
      </x:c>
      <x:c r="P314" t="str">
        <x:v>factor_report/gtja191_batch/gtja_107/ic_summary.csv</x:v>
      </x:c>
    </x:row>
    <x:row r="315">
      <x:c r="A315" t="str">
        <x:v>gtja_108</x:v>
      </x:c>
      <x:c r="B315" s="50" t="n">
        <x:v>10</x:v>
      </x:c>
      <x:c r="C315" s="30" t="n">
        <x:v>0.007696022181379278</x:v>
      </x:c>
      <x:c r="D315" s="30" t="n">
        <x:v>0.06361159422696339</x:v>
      </x:c>
      <x:c r="E315" s="30" t="n">
        <x:v>0.12098458268346816</x:v>
      </x:c>
      <x:c r="F315" s="30" t="n">
        <x:v>0.021305135627949195</x:v>
      </x:c>
      <x:c r="G315" s="30" t="n">
        <x:v>0.07875033393800031</x:v>
      </x:c>
      <x:c r="H315" s="30" t="n">
        <x:v>0.2705402575781153</x:v>
      </x:c>
      <x:c r="I315" s="30" t="n">
        <x:v>0.6093506493506493</x:v>
      </x:c>
      <x:c r="J315" s="30" t="n">
        <x:v>0.5449350649350649</x:v>
      </x:c>
      <x:c r="K315" s="19" t="n">
        <x:v>1925</x:v>
      </x:c>
      <x:c r="L315" s="74" t="n">
        <x:v>46211.360724976854</x:v>
      </x:c>
      <x:c r="M315" s="19" t="n">
        <x:v>8902245</x:v>
      </x:c>
      <x:c r="N315" t="str">
        <x:v>8f7e606554926462248cbcc654181861438ca768a0063f6b317223ede37d16fb</x:v>
      </x:c>
      <x:c r="O315" t="str">
        <x:v>legacy_common_sample_8902245</x:v>
      </x:c>
      <x:c r="P315" t="str">
        <x:v>factor_report/gtja191_batch/gtja_108/ic_summary.csv</x:v>
      </x:c>
    </x:row>
    <x:row r="316">
      <x:c r="A316" t="str">
        <x:v>gtja_108</x:v>
      </x:c>
      <x:c r="B316" s="50" t="n">
        <x:v>20</x:v>
      </x:c>
      <x:c r="C316" s="30" t="n">
        <x:v>0.008326181966024906</x:v>
      </x:c>
      <x:c r="D316" s="30" t="n">
        <x:v>0.06501780796302682</x:v>
      </x:c>
      <x:c r="E316" s="30" t="n">
        <x:v>0.12806002273653538</x:v>
      </x:c>
      <x:c r="F316" s="30" t="n">
        <x:v>0.02396255458178034</x:v>
      </x:c>
      <x:c r="G316" s="30" t="n">
        <x:v>0.08005244515589131</x:v>
      </x:c>
      <x:c r="H316" s="30" t="n">
        <x:v>0.2993356984301542</x:v>
      </x:c>
      <x:c r="I316" s="30" t="n">
        <x:v>0.6276762402088772</x:v>
      </x:c>
      <x:c r="J316" s="30" t="n">
        <x:v>0.5603133159268929</x:v>
      </x:c>
      <x:c r="K316" s="19" t="n">
        <x:v>1915</x:v>
      </x:c>
      <x:c r="L316" s="74" t="n">
        <x:v>46211.360724976854</x:v>
      </x:c>
      <x:c r="M316" s="19" t="n">
        <x:v>8902245</x:v>
      </x:c>
      <x:c r="N316" t="str">
        <x:v>8f7e606554926462248cbcc654181861438ca768a0063f6b317223ede37d16fb</x:v>
      </x:c>
      <x:c r="O316" t="str">
        <x:v>legacy_common_sample_8902245</x:v>
      </x:c>
      <x:c r="P316" t="str">
        <x:v>factor_report/gtja191_batch/gtja_108/ic_summary.csv</x:v>
      </x:c>
    </x:row>
    <x:row r="317">
      <x:c r="A317" t="str">
        <x:v>gtja_109</x:v>
      </x:c>
      <x:c r="B317" s="50" t="n">
        <x:v>1</x:v>
      </x:c>
      <x:c r="C317" s="30" t="n">
        <x:v>-0.017535338487725875</x:v>
      </x:c>
      <x:c r="D317" s="30" t="n">
        <x:v>0.0874082885253529</x:v>
      </x:c>
      <x:c r="E317" s="30" t="n">
        <x:v>-0.2006141383564526</x:v>
      </x:c>
      <x:c r="F317" s="30" t="n">
        <x:v>-0.0301935078494394</x:v>
      </x:c>
      <x:c r="G317" s="30" t="n">
        <x:v>0.10088783360164288</x:v>
      </x:c>
      <x:c r="H317" s="30" t="n">
        <x:v>-0.29927798795500865</x:v>
      </x:c>
      <x:c r="I317" s="30" t="n">
        <x:v>0.366</x:v>
      </x:c>
      <x:c r="J317" s="30" t="n">
        <x:v>0.4</x:v>
      </x:c>
      <x:c r="K317" s="19" t="n">
        <x:v>2000</x:v>
      </x:c>
      <x:c r="L317" s="74" t="n">
        <x:v>46210.612487280094</x:v>
      </x:c>
      <x:c r="M317" s="19" t="n">
        <x:v>8902245</x:v>
      </x:c>
      <x:c r="N317" t="str">
        <x:v>40355b29bce094aef0e99358bdfd4011b92e72a54440a67760de4afae4883c33</x:v>
      </x:c>
      <x:c r="O317" t="str">
        <x:v>legacy_common_sample_8902245</x:v>
      </x:c>
      <x:c r="P317" t="str">
        <x:v>factor_report/gtja191_batch/gtja_109/ic_summary.csv</x:v>
      </x:c>
    </x:row>
    <x:row r="318">
      <x:c r="A318" t="str">
        <x:v>gtja_109</x:v>
      </x:c>
      <x:c r="B318" s="50" t="n">
        <x:v>5</x:v>
      </x:c>
      <x:c r="C318" s="30" t="n">
        <x:v>-0.02571860473555216</x:v>
      </x:c>
      <x:c r="D318" s="30" t="n">
        <x:v>0.07753756187863035</x:v>
      </x:c>
      <x:c r="E318" s="30" t="n">
        <x:v>-0.3316922032680048</x:v>
      </x:c>
      <x:c r="F318" s="30" t="n">
        <x:v>-0.031379071152616365</x:v>
      </x:c>
      <x:c r="G318" s="30" t="n">
        <x:v>0.093247062144085</x:v>
      </x:c>
      <x:c r="H318" s="30" t="n">
        <x:v>-0.336515386448632</x:v>
      </x:c>
      <x:c r="I318" s="30" t="n">
        <x:v>0.37625250501002006</x:v>
      </x:c>
      <x:c r="J318" s="30" t="n">
        <x:v>0.3622244488977956</x:v>
      </x:c>
      <x:c r="K318" s="19" t="n">
        <x:v>1996</x:v>
      </x:c>
      <x:c r="L318" s="74" t="n">
        <x:v>46210.612487280094</x:v>
      </x:c>
      <x:c r="M318" s="19" t="n">
        <x:v>8902245</x:v>
      </x:c>
      <x:c r="N318" t="str">
        <x:v>40355b29bce094aef0e99358bdfd4011b92e72a54440a67760de4afae4883c33</x:v>
      </x:c>
      <x:c r="O318" t="str">
        <x:v>legacy_common_sample_8902245</x:v>
      </x:c>
      <x:c r="P318" t="str">
        <x:v>factor_report/gtja191_batch/gtja_109/ic_summary.csv</x:v>
      </x:c>
    </x:row>
    <x:row r="319">
      <x:c r="A319" t="str">
        <x:v>gtja_109</x:v>
      </x:c>
      <x:c r="B319" s="50" t="n">
        <x:v>10</x:v>
      </x:c>
      <x:c r="C319" s="30" t="n">
        <x:v>-0.027631555426648767</x:v>
      </x:c>
      <x:c r="D319" s="30" t="n">
        <x:v>0.07285921579773791</x:v>
      </x:c>
      <x:c r="E319" s="30" t="n">
        <x:v>-0.3792458527601481</x:v>
      </x:c>
      <x:c r="F319" s="30" t="n">
        <x:v>-0.03266799806433209</x:v>
      </x:c>
      <x:c r="G319" s="30" t="n">
        <x:v>0.08834138438122036</x:v>
      </x:c>
      <x:c r="H319" s="30" t="n">
        <x:v>-0.3697926888190884</x:v>
      </x:c>
      <x:c r="I319" s="30" t="n">
        <x:v>0.347564038171773</x:v>
      </x:c>
      <x:c r="J319" s="30" t="n">
        <x:v>0.3319939728779508</x:v>
      </x:c>
      <x:c r="K319" s="19" t="n">
        <x:v>1991</x:v>
      </x:c>
      <x:c r="L319" s="74" t="n">
        <x:v>46210.612487280094</x:v>
      </x:c>
      <x:c r="M319" s="19" t="n">
        <x:v>8902245</x:v>
      </x:c>
      <x:c r="N319" t="str">
        <x:v>40355b29bce094aef0e99358bdfd4011b92e72a54440a67760de4afae4883c33</x:v>
      </x:c>
      <x:c r="O319" t="str">
        <x:v>legacy_common_sample_8902245</x:v>
      </x:c>
      <x:c r="P319" t="str">
        <x:v>factor_report/gtja191_batch/gtja_109/ic_summary.csv</x:v>
      </x:c>
    </x:row>
    <x:row r="320">
      <x:c r="A320" t="str">
        <x:v>gtja_109</x:v>
      </x:c>
      <x:c r="B320" s="50" t="n">
        <x:v>20</x:v>
      </x:c>
      <x:c r="C320" s="30" t="n">
        <x:v>-0.028208219434979646</x:v>
      </x:c>
      <x:c r="D320" s="30" t="n">
        <x:v>0.066755392542629</x:v>
      </x:c>
      <x:c r="E320" s="30" t="n">
        <x:v>-0.4225609102210926</x:v>
      </x:c>
      <x:c r="F320" s="30" t="n">
        <x:v>-0.03460018068250707</x:v>
      </x:c>
      <x:c r="G320" s="30" t="n">
        <x:v>0.08447591976966186</x:v>
      </x:c>
      <x:c r="H320" s="30" t="n">
        <x:v>-0.409586314974142</x:v>
      </x:c>
      <x:c r="I320" s="30" t="n">
        <x:v>0.34780413932357396</x:v>
      </x:c>
      <x:c r="J320" s="30" t="n">
        <x:v>0.3311458859162039</x:v>
      </x:c>
      <x:c r="K320" s="19" t="n">
        <x:v>1981</x:v>
      </x:c>
      <x:c r="L320" s="74" t="n">
        <x:v>46210.612487280094</x:v>
      </x:c>
      <x:c r="M320" s="19" t="n">
        <x:v>8902245</x:v>
      </x:c>
      <x:c r="N320" t="str">
        <x:v>40355b29bce094aef0e99358bdfd4011b92e72a54440a67760de4afae4883c33</x:v>
      </x:c>
      <x:c r="O320" t="str">
        <x:v>legacy_common_sample_8902245</x:v>
      </x:c>
      <x:c r="P320" t="str">
        <x:v>factor_report/gtja191_batch/gtja_109/ic_summary.csv</x:v>
      </x:c>
    </x:row>
    <x:row r="321">
      <x:c r="A321" t="str">
        <x:v>gtja_110</x:v>
      </x:c>
      <x:c r="B321" s="50" t="n">
        <x:v>1</x:v>
      </x:c>
      <x:c r="C321" s="30" t="n">
        <x:v>-0.007436050582305297</x:v>
      </x:c>
      <x:c r="D321" s="30" t="n">
        <x:v>0.1173918658616023</x:v>
      </x:c>
      <x:c r="E321" s="30" t="n">
        <x:v>-0.06334383159964369</x:v>
      </x:c>
      <x:c r="F321" s="30" t="n">
        <x:v>-0.031266266000029894</x:v>
      </x:c>
      <x:c r="G321" s="30" t="n">
        <x:v>0.12816456054666622</x:v>
      </x:c>
      <x:c r="H321" s="30" t="n">
        <x:v>-0.24395406863385982</x:v>
      </x:c>
      <x:c r="I321" s="30" t="n">
        <x:v>0.399</x:v>
      </x:c>
      <x:c r="J321" s="30" t="n">
        <x:v>0.4705</x:v>
      </x:c>
      <x:c r="K321" s="19" t="n">
        <x:v>2000</x:v>
      </x:c>
      <x:c r="L321" s="74" t="n">
        <x:v>46210.616483287034</x:v>
      </x:c>
      <x:c r="M321" s="19" t="n">
        <x:v>8902245</x:v>
      </x:c>
      <x:c r="N321" t="str">
        <x:v>40355b29bce094aef0e99358bdfd4011b92e72a54440a67760de4afae4883c33</x:v>
      </x:c>
      <x:c r="O321" t="str">
        <x:v>legacy_common_sample_8902245</x:v>
      </x:c>
      <x:c r="P321" t="str">
        <x:v>factor_report/gtja191_batch/gtja_110/ic_summary.csv</x:v>
      </x:c>
    </x:row>
    <x:row r="322">
      <x:c r="A322" t="str">
        <x:v>gtja_110</x:v>
      </x:c>
      <x:c r="B322" s="50" t="n">
        <x:v>5</x:v>
      </x:c>
      <x:c r="C322" s="30" t="n">
        <x:v>-0.01594200363319705</x:v>
      </x:c>
      <x:c r="D322" s="30" t="n">
        <x:v>0.10785926833469393</x:v>
      </x:c>
      <x:c r="E322" s="30" t="n">
        <x:v>-0.1478037435200101</x:v>
      </x:c>
      <x:c r="F322" s="30" t="n">
        <x:v>-0.03999776918303655</x:v>
      </x:c>
      <x:c r="G322" s="30" t="n">
        <x:v>0.1180851782269463</x:v>
      </x:c>
      <x:c r="H322" s="30" t="n">
        <x:v>-0.33871964105575875</x:v>
      </x:c>
      <x:c r="I322" s="30" t="n">
        <x:v>0.3652304609218437</x:v>
      </x:c>
      <x:c r="J322" s="30" t="n">
        <x:v>0.4473947895791583</x:v>
      </x:c>
      <x:c r="K322" s="19" t="n">
        <x:v>1996</x:v>
      </x:c>
      <x:c r="L322" s="74" t="n">
        <x:v>46210.616483287034</x:v>
      </x:c>
      <x:c r="M322" s="19" t="n">
        <x:v>8902245</x:v>
      </x:c>
      <x:c r="N322" t="str">
        <x:v>40355b29bce094aef0e99358bdfd4011b92e72a54440a67760de4afae4883c33</x:v>
      </x:c>
      <x:c r="O322" t="str">
        <x:v>legacy_common_sample_8902245</x:v>
      </x:c>
      <x:c r="P322" t="str">
        <x:v>factor_report/gtja191_batch/gtja_110/ic_summary.csv</x:v>
      </x:c>
    </x:row>
    <x:row r="323">
      <x:c r="A323" t="str">
        <x:v>gtja_110</x:v>
      </x:c>
      <x:c r="B323" s="50" t="n">
        <x:v>10</x:v>
      </x:c>
      <x:c r="C323" s="30" t="n">
        <x:v>-0.01791632772608471</x:v>
      </x:c>
      <x:c r="D323" s="30" t="n">
        <x:v>0.10367728559667938</x:v>
      </x:c>
      <x:c r="E323" s="30" t="n">
        <x:v>-0.17280861109522086</x:v>
      </x:c>
      <x:c r="F323" s="30" t="n">
        <x:v>-0.043642664763510655</x:v>
      </x:c>
      <x:c r="G323" s="30" t="n">
        <x:v>0.11457595385262612</x:v>
      </x:c>
      <x:c r="H323" s="30" t="n">
        <x:v>-0.3809059693244731</x:v>
      </x:c>
      <x:c r="I323" s="30" t="n">
        <x:v>0.3420391762933199</x:v>
      </x:c>
      <x:c r="J323" s="30" t="n">
        <x:v>0.42692114515318935</x:v>
      </x:c>
      <x:c r="K323" s="19" t="n">
        <x:v>1991</x:v>
      </x:c>
      <x:c r="L323" s="74" t="n">
        <x:v>46210.616483287034</x:v>
      </x:c>
      <x:c r="M323" s="19" t="n">
        <x:v>8902245</x:v>
      </x:c>
      <x:c r="N323" t="str">
        <x:v>40355b29bce094aef0e99358bdfd4011b92e72a54440a67760de4afae4883c33</x:v>
      </x:c>
      <x:c r="O323" t="str">
        <x:v>legacy_common_sample_8902245</x:v>
      </x:c>
      <x:c r="P323" t="str">
        <x:v>factor_report/gtja191_batch/gtja_110/ic_summary.csv</x:v>
      </x:c>
    </x:row>
    <x:row r="324">
      <x:c r="A324" t="str">
        <x:v>gtja_110</x:v>
      </x:c>
      <x:c r="B324" s="50" t="n">
        <x:v>20</x:v>
      </x:c>
      <x:c r="C324" s="30" t="n">
        <x:v>-0.018371692613840696</x:v>
      </x:c>
      <x:c r="D324" s="30" t="n">
        <x:v>0.10558599548909742</x:v>
      </x:c>
      <x:c r="E324" s="30" t="n">
        <x:v>-0.17399743714816532</x:v>
      </x:c>
      <x:c r="F324" s="30" t="n">
        <x:v>-0.04728066301414187</x:v>
      </x:c>
      <x:c r="G324" s="30" t="n">
        <x:v>0.11878454260773844</x:v>
      </x:c>
      <x:c r="H324" s="30" t="n">
        <x:v>-0.3980371686093581</x:v>
      </x:c>
      <x:c r="I324" s="30" t="n">
        <x:v>0.35386168601716306</x:v>
      </x:c>
      <x:c r="J324" s="30" t="n">
        <x:v>0.44623927309439676</x:v>
      </x:c>
      <x:c r="K324" s="19" t="n">
        <x:v>1981</x:v>
      </x:c>
      <x:c r="L324" s="74" t="n">
        <x:v>46210.616483287034</x:v>
      </x:c>
      <x:c r="M324" s="19" t="n">
        <x:v>8902245</x:v>
      </x:c>
      <x:c r="N324" t="str">
        <x:v>40355b29bce094aef0e99358bdfd4011b92e72a54440a67760de4afae4883c33</x:v>
      </x:c>
      <x:c r="O324" t="str">
        <x:v>legacy_common_sample_8902245</x:v>
      </x:c>
      <x:c r="P324" t="str">
        <x:v>factor_report/gtja191_batch/gtja_110/ic_summary.csv</x:v>
      </x:c>
    </x:row>
    <x:row r="325">
      <x:c r="A325" t="str">
        <x:v>gtja_111</x:v>
      </x:c>
      <x:c r="B325" s="50" t="n">
        <x:v>10</x:v>
      </x:c>
      <x:c r="C325" s="30" t="n">
        <x:v>0.001058935699121825</x:v>
      </x:c>
      <x:c r="D325" s="30" t="n">
        <x:v>0.05410576760507955</x:v>
      </x:c>
      <x:c r="E325" s="30" t="n">
        <x:v>0.019571586283574142</x:v>
      </x:c>
      <x:c r="F325" s="30" t="n">
        <x:v>0.0043128644724922645</x:v>
      </x:c>
      <x:c r="G325" s="30" t="n">
        <x:v>0.09278976456057449</x:v>
      </x:c>
      <x:c r="H325" s="30" t="n">
        <x:v>0.04647995921658757</x:v>
      </x:c>
      <x:c r="I325" s="30" t="n">
        <x:v>0.5193370165745856</x:v>
      </x:c>
      <x:c r="J325" s="30" t="n">
        <x:v>0.5012556504269211</x:v>
      </x:c>
      <x:c r="K325" s="19" t="n">
        <x:v>1991</x:v>
      </x:c>
      <x:c r="L325" s="74" t="n">
        <x:v>46211.36424368055</x:v>
      </x:c>
      <x:c r="M325" s="19" t="n">
        <x:v>8902245</x:v>
      </x:c>
      <x:c r="N325" t="str">
        <x:v>8f7e606554926462248cbcc654181861438ca768a0063f6b317223ede37d16fb</x:v>
      </x:c>
      <x:c r="O325" t="str">
        <x:v>legacy_common_sample_8902245</x:v>
      </x:c>
      <x:c r="P325" t="str">
        <x:v>factor_report/gtja191_batch/gtja_111/ic_summary.csv</x:v>
      </x:c>
    </x:row>
    <x:row r="326">
      <x:c r="A326" t="str">
        <x:v>gtja_111</x:v>
      </x:c>
      <x:c r="B326" s="50" t="n">
        <x:v>20</x:v>
      </x:c>
      <x:c r="C326" s="30" t="n">
        <x:v>0.000835907293425099</x:v>
      </x:c>
      <x:c r="D326" s="30" t="n">
        <x:v>0.05184626905864325</x:v>
      </x:c>
      <x:c r="E326" s="30" t="n">
        <x:v>0.016122805143020134</x:v>
      </x:c>
      <x:c r="F326" s="30" t="n">
        <x:v>0.0019995421900137846</x:v>
      </x:c>
      <x:c r="G326" s="30" t="n">
        <x:v>0.09244376042151504</x:v>
      </x:c>
      <x:c r="H326" s="30" t="n">
        <x:v>0.021629823158388288</x:v>
      </x:c>
      <x:c r="I326" s="30" t="n">
        <x:v>0.5133770822816759</x:v>
      </x:c>
      <x:c r="J326" s="30" t="n">
        <x:v>0.5058051489146895</x:v>
      </x:c>
      <x:c r="K326" s="19" t="n">
        <x:v>1981</x:v>
      </x:c>
      <x:c r="L326" s="74" t="n">
        <x:v>46211.36424368055</x:v>
      </x:c>
      <x:c r="M326" s="19" t="n">
        <x:v>8902245</x:v>
      </x:c>
      <x:c r="N326" t="str">
        <x:v>8f7e606554926462248cbcc654181861438ca768a0063f6b317223ede37d16fb</x:v>
      </x:c>
      <x:c r="O326" t="str">
        <x:v>legacy_common_sample_8902245</x:v>
      </x:c>
      <x:c r="P326" t="str">
        <x:v>factor_report/gtja191_batch/gtja_111/ic_summary.csv</x:v>
      </x:c>
    </x:row>
    <x:row r="327">
      <x:c r="A327" t="str">
        <x:v>gtja_112</x:v>
      </x:c>
      <x:c r="B327" s="50" t="n">
        <x:v>1</x:v>
      </x:c>
      <x:c r="C327" s="30" t="n">
        <x:v>-0.008568629330849353</x:v>
      </x:c>
      <x:c r="D327" s="30" t="n">
        <x:v>0.11986959332973107</x:v>
      </x:c>
      <x:c r="E327" s="30" t="n">
        <x:v>-0.07148292651063903</x:v>
      </x:c>
      <x:c r="F327" s="30" t="n">
        <x:v>-0.027561529749791445</x:v>
      </x:c>
      <x:c r="G327" s="30" t="n">
        <x:v>0.13690243834353577</x:v>
      </x:c>
      <x:c r="H327" s="30" t="n">
        <x:v>-0.20132241677558727</x:v>
      </x:c>
      <x:c r="I327" s="30" t="n">
        <x:v>0.4125</x:v>
      </x:c>
      <x:c r="J327" s="30" t="n">
        <x:v>0.468</x:v>
      </x:c>
      <x:c r="K327" s="19" t="n">
        <x:v>2000</x:v>
      </x:c>
      <x:c r="L327" s="74" t="n">
        <x:v>46210.62560251157</x:v>
      </x:c>
      <x:c r="M327" s="19" t="n">
        <x:v>8902245</x:v>
      </x:c>
      <x:c r="N327" t="str">
        <x:v>40355b29bce094aef0e99358bdfd4011b92e72a54440a67760de4afae4883c33</x:v>
      </x:c>
      <x:c r="O327" t="str">
        <x:v>legacy_common_sample_8902245</x:v>
      </x:c>
      <x:c r="P327" t="str">
        <x:v>factor_report/gtja191_batch/gtja_112/ic_summary.csv</x:v>
      </x:c>
    </x:row>
    <x:row r="328">
      <x:c r="A328" t="str">
        <x:v>gtja_112</x:v>
      </x:c>
      <x:c r="B328" s="50" t="n">
        <x:v>5</x:v>
      </x:c>
      <x:c r="C328" s="30" t="n">
        <x:v>-0.014697537729523553</x:v>
      </x:c>
      <x:c r="D328" s="30" t="n">
        <x:v>0.11053870596260752</x:v>
      </x:c>
      <x:c r="E328" s="30" t="n">
        <x:v>-0.13296281697467457</x:v>
      </x:c>
      <x:c r="F328" s="30" t="n">
        <x:v>-0.032204877514276226</x:v>
      </x:c>
      <x:c r="G328" s="30" t="n">
        <x:v>0.12866584858977353</x:v>
      </x:c>
      <x:c r="H328" s="30" t="n">
        <x:v>-0.25029856692551977</x:v>
      </x:c>
      <x:c r="I328" s="30" t="n">
        <x:v>0.3997995991983968</x:v>
      </x:c>
      <x:c r="J328" s="30" t="n">
        <x:v>0.44939879759519036</x:v>
      </x:c>
      <x:c r="K328" s="19" t="n">
        <x:v>1996</x:v>
      </x:c>
      <x:c r="L328" s="74" t="n">
        <x:v>46210.62560251157</x:v>
      </x:c>
      <x:c r="M328" s="19" t="n">
        <x:v>8902245</x:v>
      </x:c>
      <x:c r="N328" t="str">
        <x:v>40355b29bce094aef0e99358bdfd4011b92e72a54440a67760de4afae4883c33</x:v>
      </x:c>
      <x:c r="O328" t="str">
        <x:v>legacy_common_sample_8902245</x:v>
      </x:c>
      <x:c r="P328" t="str">
        <x:v>factor_report/gtja191_batch/gtja_112/ic_summary.csv</x:v>
      </x:c>
    </x:row>
    <x:row r="329">
      <x:c r="A329" t="str">
        <x:v>gtja_112</x:v>
      </x:c>
      <x:c r="B329" s="50" t="n">
        <x:v>10</x:v>
      </x:c>
      <x:c r="C329" s="30" t="n">
        <x:v>-0.015010345689516157</x:v>
      </x:c>
      <x:c r="D329" s="30" t="n">
        <x:v>0.10677234181178791</x:v>
      </x:c>
      <x:c r="E329" s="30" t="n">
        <x:v>-0.14058271491296429</x:v>
      </x:c>
      <x:c r="F329" s="30" t="n">
        <x:v>-0.03326163017810002</x:v>
      </x:c>
      <x:c r="G329" s="30" t="n">
        <x:v>0.12499538795255624</x:v>
      </x:c>
      <x:c r="H329" s="30" t="n">
        <x:v>-0.26610285965690944</x:v>
      </x:c>
      <x:c r="I329" s="30" t="n">
        <x:v>0.39678553490708185</x:v>
      </x:c>
      <x:c r="J329" s="30" t="n">
        <x:v>0.45554997488699145</x:v>
      </x:c>
      <x:c r="K329" s="19" t="n">
        <x:v>1991</x:v>
      </x:c>
      <x:c r="L329" s="74" t="n">
        <x:v>46210.62560251157</x:v>
      </x:c>
      <x:c r="M329" s="19" t="n">
        <x:v>8902245</x:v>
      </x:c>
      <x:c r="N329" t="str">
        <x:v>40355b29bce094aef0e99358bdfd4011b92e72a54440a67760de4afae4883c33</x:v>
      </x:c>
      <x:c r="O329" t="str">
        <x:v>legacy_common_sample_8902245</x:v>
      </x:c>
      <x:c r="P329" t="str">
        <x:v>factor_report/gtja191_batch/gtja_112/ic_summary.csv</x:v>
      </x:c>
    </x:row>
    <x:row r="330">
      <x:c r="A330" t="str">
        <x:v>gtja_112</x:v>
      </x:c>
      <x:c r="B330" s="50" t="n">
        <x:v>20</x:v>
      </x:c>
      <x:c r="C330" s="30" t="n">
        <x:v>-0.01939666482043524</x:v>
      </x:c>
      <x:c r="D330" s="30" t="n">
        <x:v>0.10805945942708381</x:v>
      </x:c>
      <x:c r="E330" s="30" t="n">
        <x:v>-0.17949992460885567</x:v>
      </x:c>
      <x:c r="F330" s="30" t="n">
        <x:v>-0.03934198871690689</x:v>
      </x:c>
      <x:c r="G330" s="30" t="n">
        <x:v>0.12549142083652348</x:v>
      </x:c>
      <x:c r="H330" s="30" t="n">
        <x:v>-0.3135034128600499</x:v>
      </x:c>
      <x:c r="I330" s="30" t="n">
        <x:v>0.37657748611812214</x:v>
      </x:c>
      <x:c r="J330" s="30" t="n">
        <x:v>0.4457344775365977</x:v>
      </x:c>
      <x:c r="K330" s="19" t="n">
        <x:v>1981</x:v>
      </x:c>
      <x:c r="L330" s="74" t="n">
        <x:v>46210.62560251157</x:v>
      </x:c>
      <x:c r="M330" s="19" t="n">
        <x:v>8902245</x:v>
      </x:c>
      <x:c r="N330" t="str">
        <x:v>40355b29bce094aef0e99358bdfd4011b92e72a54440a67760de4afae4883c33</x:v>
      </x:c>
      <x:c r="O330" t="str">
        <x:v>legacy_common_sample_8902245</x:v>
      </x:c>
      <x:c r="P330" t="str">
        <x:v>factor_report/gtja191_batch/gtja_112/ic_summary.csv</x:v>
      </x:c>
    </x:row>
    <x:row r="331">
      <x:c r="A331" t="str">
        <x:v>gtja_113</x:v>
      </x:c>
      <x:c r="B331" s="50" t="n">
        <x:v>10</x:v>
      </x:c>
      <x:c r="C331" s="30" t="n">
        <x:v>0.010329781544707673</x:v>
      </x:c>
      <x:c r="D331" s="30" t="n">
        <x:v>0.03971728285637751</x:v>
      </x:c>
      <x:c r="E331" s="30" t="n">
        <x:v>0.2600827851709144</x:v>
      </x:c>
      <x:c r="F331" s="30" t="n">
        <x:v>0.022923565843053446</x:v>
      </x:c>
      <x:c r="G331" s="30" t="n">
        <x:v>0.05654185175707284</x:v>
      </x:c>
      <x:c r="H331" s="30" t="n">
        <x:v>0.40542651382453054</x:v>
      </x:c>
      <x:c r="I331" s="30" t="n">
        <x:v>0.6659969864389754</x:v>
      </x:c>
      <x:c r="J331" s="30" t="n">
        <x:v>0.6212958312405826</x:v>
      </x:c>
      <x:c r="K331" s="19" t="n">
        <x:v>1991</x:v>
      </x:c>
      <x:c r="L331" s="74" t="n">
        <x:v>46211.366626724535</x:v>
      </x:c>
      <x:c r="M331" s="19" t="n">
        <x:v>8902245</x:v>
      </x:c>
      <x:c r="N331" t="str">
        <x:v>8f7e606554926462248cbcc654181861438ca768a0063f6b317223ede37d16fb</x:v>
      </x:c>
      <x:c r="O331" t="str">
        <x:v>legacy_common_sample_8902245</x:v>
      </x:c>
      <x:c r="P331" t="str">
        <x:v>factor_report/gtja191_batch/gtja_113/ic_summary.csv</x:v>
      </x:c>
    </x:row>
    <x:row r="332">
      <x:c r="A332" t="str">
        <x:v>gtja_113</x:v>
      </x:c>
      <x:c r="B332" s="50" t="n">
        <x:v>20</x:v>
      </x:c>
      <x:c r="C332" s="30" t="n">
        <x:v>0.011169753408305116</x:v>
      </x:c>
      <x:c r="D332" s="30" t="n">
        <x:v>0.04011860372129745</x:v>
      </x:c>
      <x:c r="E332" s="30" t="n">
        <x:v>0.27841829904901494</x:v>
      </x:c>
      <x:c r="F332" s="30" t="n">
        <x:v>0.024701835081301665</x:v>
      </x:c>
      <x:c r="G332" s="30" t="n">
        <x:v>0.05625777151537266</x:v>
      </x:c>
      <x:c r="H332" s="30" t="n">
        <x:v>0.4390830709416172</x:v>
      </x:c>
      <x:c r="I332" s="30" t="n">
        <x:v>0.6784452296819788</x:v>
      </x:c>
      <x:c r="J332" s="30" t="n">
        <x:v>0.6289752650176679</x:v>
      </x:c>
      <x:c r="K332" s="19" t="n">
        <x:v>1981</x:v>
      </x:c>
      <x:c r="L332" s="74" t="n">
        <x:v>46211.366626724535</x:v>
      </x:c>
      <x:c r="M332" s="19" t="n">
        <x:v>8902245</x:v>
      </x:c>
      <x:c r="N332" t="str">
        <x:v>8f7e606554926462248cbcc654181861438ca768a0063f6b317223ede37d16fb</x:v>
      </x:c>
      <x:c r="O332" t="str">
        <x:v>legacy_common_sample_8902245</x:v>
      </x:c>
      <x:c r="P332" t="str">
        <x:v>factor_report/gtja191_batch/gtja_113/ic_summary.csv</x:v>
      </x:c>
    </x:row>
    <x:row r="333">
      <x:c r="A333" t="str">
        <x:v>gtja_114</x:v>
      </x:c>
      <x:c r="B333" s="50" t="n">
        <x:v>10</x:v>
      </x:c>
      <x:c r="C333" s="30" t="n">
        <x:v>0.00835341194681204</x:v>
      </x:c>
      <x:c r="D333" s="30" t="n">
        <x:v>0.08063713063324993</x:v>
      </x:c>
      <x:c r="E333" s="30" t="n">
        <x:v>0.10359262390925891</x:v>
      </x:c>
      <x:c r="F333" s="30" t="n">
        <x:v>0.00891392515696735</x:v>
      </x:c>
      <x:c r="G333" s="30" t="n">
        <x:v>0.11771309318310749</x:v>
      </x:c>
      <x:c r="H333" s="30" t="n">
        <x:v>0.07572585951081395</x:v>
      </x:c>
      <x:c r="I333" s="30" t="n">
        <x:v>0.520843797086891</x:v>
      </x:c>
      <x:c r="J333" s="30" t="n">
        <x:v>0.5344048216976394</x:v>
      </x:c>
      <x:c r="K333" s="19" t="n">
        <x:v>1991</x:v>
      </x:c>
      <x:c r="L333" s="74" t="n">
        <x:v>46211.36905150463</x:v>
      </x:c>
      <x:c r="M333" s="19" t="n">
        <x:v>8902245</x:v>
      </x:c>
      <x:c r="N333" t="str">
        <x:v>8f7e606554926462248cbcc654181861438ca768a0063f6b317223ede37d16fb</x:v>
      </x:c>
      <x:c r="O333" t="str">
        <x:v>legacy_common_sample_8902245</x:v>
      </x:c>
      <x:c r="P333" t="str">
        <x:v>factor_report/gtja191_batch/gtja_114/ic_summary.csv</x:v>
      </x:c>
    </x:row>
    <x:row r="334">
      <x:c r="A334" t="str">
        <x:v>gtja_114</x:v>
      </x:c>
      <x:c r="B334" s="50" t="n">
        <x:v>20</x:v>
      </x:c>
      <x:c r="C334" s="30" t="n">
        <x:v>0.008468263186138265</x:v>
      </x:c>
      <x:c r="D334" s="30" t="n">
        <x:v>0.08225002689220831</x:v>
      </x:c>
      <x:c r="E334" s="30" t="n">
        <x:v>0.10295757346360793</x:v>
      </x:c>
      <x:c r="F334" s="30" t="n">
        <x:v>0.010344839356969794</x:v>
      </x:c>
      <x:c r="G334" s="30" t="n">
        <x:v>0.11697512778055173</x:v>
      </x:c>
      <x:c r="H334" s="30" t="n">
        <x:v>0.0884362304470141</x:v>
      </x:c>
      <x:c r="I334" s="30" t="n">
        <x:v>0.5406360424028268</x:v>
      </x:c>
      <x:c r="J334" s="30" t="n">
        <x:v>0.5350832912670368</x:v>
      </x:c>
      <x:c r="K334" s="19" t="n">
        <x:v>1981</x:v>
      </x:c>
      <x:c r="L334" s="74" t="n">
        <x:v>46211.36905150463</x:v>
      </x:c>
      <x:c r="M334" s="19" t="n">
        <x:v>8902245</x:v>
      </x:c>
      <x:c r="N334" t="str">
        <x:v>8f7e606554926462248cbcc654181861438ca768a0063f6b317223ede37d16fb</x:v>
      </x:c>
      <x:c r="O334" t="str">
        <x:v>legacy_common_sample_8902245</x:v>
      </x:c>
      <x:c r="P334" t="str">
        <x:v>factor_report/gtja191_batch/gtja_114/ic_summary.csv</x:v>
      </x:c>
    </x:row>
    <x:row r="335">
      <x:c r="A335" t="str">
        <x:v>gtja_115</x:v>
      </x:c>
      <x:c r="B335" s="50" t="n">
        <x:v>10</x:v>
      </x:c>
      <x:c r="C335" s="30" t="n">
        <x:v>0.0007154570961561749</x:v>
      </x:c>
      <x:c r="D335" s="30" t="n">
        <x:v>0.050305212119184366</x:v>
      </x:c>
      <x:c r="E335" s="30" t="n">
        <x:v>0.014222325401612383</x:v>
      </x:c>
      <x:c r="F335" s="30" t="n">
        <x:v>0.007737353715511953</x:v>
      </x:c>
      <x:c r="G335" s="30" t="n">
        <x:v>0.0643886303941607</x:v>
      </x:c>
      <x:c r="H335" s="30" t="n">
        <x:v>0.12016645901841765</x:v>
      </x:c>
      <x:c r="I335" s="30" t="n">
        <x:v>0.5374183827222502</x:v>
      </x:c>
      <x:c r="J335" s="30" t="n">
        <x:v>0.5163234555499749</x:v>
      </x:c>
      <x:c r="K335" s="19" t="n">
        <x:v>1991</x:v>
      </x:c>
      <x:c r="L335" s="74" t="n">
        <x:v>46211.375733472225</x:v>
      </x:c>
      <x:c r="M335" s="19" t="n">
        <x:v>8902245</x:v>
      </x:c>
      <x:c r="N335" t="str">
        <x:v>8f7e606554926462248cbcc654181861438ca768a0063f6b317223ede37d16fb</x:v>
      </x:c>
      <x:c r="O335" t="str">
        <x:v>legacy_common_sample_8902245</x:v>
      </x:c>
      <x:c r="P335" t="str">
        <x:v>factor_report/gtja191_batch/gtja_115/ic_summary.csv</x:v>
      </x:c>
    </x:row>
    <x:row r="336">
      <x:c r="A336" t="str">
        <x:v>gtja_115</x:v>
      </x:c>
      <x:c r="B336" s="50" t="n">
        <x:v>20</x:v>
      </x:c>
      <x:c r="C336" s="30" t="n">
        <x:v>0.005901347869941031</x:v>
      </x:c>
      <x:c r="D336" s="30" t="n">
        <x:v>0.05165333168635239</x:v>
      </x:c>
      <x:c r="E336" s="30" t="n">
        <x:v>0.11424912347910093</x:v>
      </x:c>
      <x:c r="F336" s="30" t="n">
        <x:v>0.012895301921902426</x:v>
      </x:c>
      <x:c r="G336" s="30" t="n">
        <x:v>0.0644420066476776</x:v>
      </x:c>
      <x:c r="H336" s="30" t="n">
        <x:v>0.2001070822081105</x:v>
      </x:c>
      <x:c r="I336" s="30" t="n">
        <x:v>0.5825340737001514</x:v>
      </x:c>
      <x:c r="J336" s="30" t="n">
        <x:v>0.5598182735991923</x:v>
      </x:c>
      <x:c r="K336" s="19" t="n">
        <x:v>1981</x:v>
      </x:c>
      <x:c r="L336" s="74" t="n">
        <x:v>46211.375733472225</x:v>
      </x:c>
      <x:c r="M336" s="19" t="n">
        <x:v>8902245</x:v>
      </x:c>
      <x:c r="N336" t="str">
        <x:v>8f7e606554926462248cbcc654181861438ca768a0063f6b317223ede37d16fb</x:v>
      </x:c>
      <x:c r="O336" t="str">
        <x:v>legacy_common_sample_8902245</x:v>
      </x:c>
      <x:c r="P336" t="str">
        <x:v>factor_report/gtja191_batch/gtja_115/ic_summary.csv</x:v>
      </x:c>
    </x:row>
    <x:row r="337">
      <x:c r="A337" t="str">
        <x:v>gtja_116</x:v>
      </x:c>
      <x:c r="B337" s="50" t="n">
        <x:v>1</x:v>
      </x:c>
      <x:c r="C337" s="30" t="n">
        <x:v>-0.008576746406097286</x:v>
      </x:c>
      <x:c r="D337" s="30" t="n">
        <x:v>0.09418462163816266</x:v>
      </x:c>
      <x:c r="E337" s="30" t="n">
        <x:v>-0.09106312959505562</x:v>
      </x:c>
      <x:c r="F337" s="30" t="n">
        <x:v>-0.02825792301025803</x:v>
      </x:c>
      <x:c r="G337" s="30" t="n">
        <x:v>0.14494862761653346</x:v>
      </x:c>
      <x:c r="H337" s="30" t="n">
        <x:v>-0.19495129740045095</x:v>
      </x:c>
      <x:c r="I337" s="30" t="n">
        <x:v>0.4065</x:v>
      </x:c>
      <x:c r="J337" s="30" t="n">
        <x:v>0.4645</x:v>
      </x:c>
      <x:c r="K337" s="19" t="n">
        <x:v>2000</x:v>
      </x:c>
      <x:c r="L337" s="74" t="n">
        <x:v>46210.64638673611</x:v>
      </x:c>
      <x:c r="M337" s="19" t="n">
        <x:v>8902245</x:v>
      </x:c>
      <x:c r="N337" t="str">
        <x:v>40355b29bce094aef0e99358bdfd4011b92e72a54440a67760de4afae4883c33</x:v>
      </x:c>
      <x:c r="O337" t="str">
        <x:v>legacy_common_sample_8902245</x:v>
      </x:c>
      <x:c r="P337" t="str">
        <x:v>factor_report/gtja191_batch/gtja_116/ic_summary.csv</x:v>
      </x:c>
    </x:row>
    <x:row r="338">
      <x:c r="A338" t="str">
        <x:v>gtja_116</x:v>
      </x:c>
      <x:c r="B338" s="50" t="n">
        <x:v>5</x:v>
      </x:c>
      <x:c r="C338" s="30" t="n">
        <x:v>-0.016269891531622453</x:v>
      </x:c>
      <x:c r="D338" s="30" t="n">
        <x:v>0.08547416688000932</x:v>
      </x:c>
      <x:c r="E338" s="30" t="n">
        <x:v>-0.19034864129722978</x:v>
      </x:c>
      <x:c r="F338" s="30" t="n">
        <x:v>-0.04277419174351928</x:v>
      </x:c>
      <x:c r="G338" s="30" t="n">
        <x:v>0.13411963971571836</x:v>
      </x:c>
      <x:c r="H338" s="30" t="n">
        <x:v>-0.3189256385879352</x:v>
      </x:c>
      <x:c r="I338" s="30" t="n">
        <x:v>0.36773547094188375</x:v>
      </x:c>
      <x:c r="J338" s="30" t="n">
        <x:v>0.4278557114228457</x:v>
      </x:c>
      <x:c r="K338" s="19" t="n">
        <x:v>1996</x:v>
      </x:c>
      <x:c r="L338" s="74" t="n">
        <x:v>46210.64638673611</x:v>
      </x:c>
      <x:c r="M338" s="19" t="n">
        <x:v>8902245</x:v>
      </x:c>
      <x:c r="N338" t="str">
        <x:v>40355b29bce094aef0e99358bdfd4011b92e72a54440a67760de4afae4883c33</x:v>
      </x:c>
      <x:c r="O338" t="str">
        <x:v>legacy_common_sample_8902245</x:v>
      </x:c>
      <x:c r="P338" t="str">
        <x:v>factor_report/gtja191_batch/gtja_116/ic_summary.csv</x:v>
      </x:c>
    </x:row>
    <x:row r="339">
      <x:c r="A339" t="str">
        <x:v>gtja_116</x:v>
      </x:c>
      <x:c r="B339" s="50" t="n">
        <x:v>10</x:v>
      </x:c>
      <x:c r="C339" s="30" t="n">
        <x:v>-0.020086110537147</x:v>
      </x:c>
      <x:c r="D339" s="30" t="n">
        <x:v>0.08244061218794979</x:v>
      </x:c>
      <x:c r="E339" s="30" t="n">
        <x:v>-0.24364339376027772</x:v>
      </x:c>
      <x:c r="F339" s="30" t="n">
        <x:v>-0.05109072393000672</x:v>
      </x:c>
      <x:c r="G339" s="30" t="n">
        <x:v>0.12925864328246975</x:v>
      </x:c>
      <x:c r="H339" s="30" t="n">
        <x:v>-0.3952596331864464</x:v>
      </x:c>
      <x:c r="I339" s="30" t="n">
        <x:v>0.34907081868407835</x:v>
      </x:c>
      <x:c r="J339" s="30" t="n">
        <x:v>0.40231039678553493</x:v>
      </x:c>
      <x:c r="K339" s="19" t="n">
        <x:v>1991</x:v>
      </x:c>
      <x:c r="L339" s="74" t="n">
        <x:v>46210.64638673611</x:v>
      </x:c>
      <x:c r="M339" s="19" t="n">
        <x:v>8902245</x:v>
      </x:c>
      <x:c r="N339" t="str">
        <x:v>40355b29bce094aef0e99358bdfd4011b92e72a54440a67760de4afae4883c33</x:v>
      </x:c>
      <x:c r="O339" t="str">
        <x:v>legacy_common_sample_8902245</x:v>
      </x:c>
      <x:c r="P339" t="str">
        <x:v>factor_report/gtja191_batch/gtja_116/ic_summary.csv</x:v>
      </x:c>
    </x:row>
    <x:row r="340">
      <x:c r="A340" t="str">
        <x:v>gtja_116</x:v>
      </x:c>
      <x:c r="B340" s="50" t="n">
        <x:v>20</x:v>
      </x:c>
      <x:c r="C340" s="30" t="n">
        <x:v>-0.020312846266858864</x:v>
      </x:c>
      <x:c r="D340" s="30" t="n">
        <x:v>0.08607476163346439</x:v>
      </x:c>
      <x:c r="E340" s="30" t="n">
        <x:v>-0.23599073504679421</x:v>
      </x:c>
      <x:c r="F340" s="30" t="n">
        <x:v>-0.056171338403911066</x:v>
      </x:c>
      <x:c r="G340" s="30" t="n">
        <x:v>0.13222457679161828</x:v>
      </x:c>
      <x:c r="H340" s="30" t="n">
        <x:v>-0.42481768342080084</x:v>
      </x:c>
      <x:c r="I340" s="30" t="n">
        <x:v>0.34174659262998486</x:v>
      </x:c>
      <x:c r="J340" s="30" t="n">
        <x:v>0.4048460373548713</x:v>
      </x:c>
      <x:c r="K340" s="19" t="n">
        <x:v>1981</x:v>
      </x:c>
      <x:c r="L340" s="74" t="n">
        <x:v>46210.64638673611</x:v>
      </x:c>
      <x:c r="M340" s="19" t="n">
        <x:v>8902245</x:v>
      </x:c>
      <x:c r="N340" t="str">
        <x:v>40355b29bce094aef0e99358bdfd4011b92e72a54440a67760de4afae4883c33</x:v>
      </x:c>
      <x:c r="O340" t="str">
        <x:v>legacy_common_sample_8902245</x:v>
      </x:c>
      <x:c r="P340" t="str">
        <x:v>factor_report/gtja191_batch/gtja_116/ic_summary.csv</x:v>
      </x:c>
    </x:row>
    <x:row r="341">
      <x:c r="A341" t="str">
        <x:v>gtja_117</x:v>
      </x:c>
      <x:c r="B341" s="50" t="n">
        <x:v>10</x:v>
      </x:c>
      <x:c r="C341" s="30" t="n">
        <x:v>0.0019411650931367747</x:v>
      </x:c>
      <x:c r="D341" s="30" t="n">
        <x:v>0.0678832286789643</x:v>
      </x:c>
      <x:c r="E341" s="30" t="n">
        <x:v>0.0285956506623602</x:v>
      </x:c>
      <x:c r="F341" s="30" t="n">
        <x:v>0.010421149081802894</x:v>
      </x:c>
      <x:c r="G341" s="30" t="n">
        <x:v>0.0934284991523459</x:v>
      </x:c>
      <x:c r="H341" s="30" t="n">
        <x:v>0.11154143731678717</x:v>
      </x:c>
      <x:c r="I341" s="30" t="n">
        <x:v>0.5213460572576595</x:v>
      </x:c>
      <x:c r="J341" s="30" t="n">
        <x:v>0.4831742842792566</x:v>
      </x:c>
      <x:c r="K341" s="19" t="n">
        <x:v>1991</x:v>
      </x:c>
      <x:c r="L341" s="74" t="n">
        <x:v>46211.384815150464</x:v>
      </x:c>
      <x:c r="M341" s="19" t="n">
        <x:v>8902245</x:v>
      </x:c>
      <x:c r="N341" t="str">
        <x:v>8f7e606554926462248cbcc654181861438ca768a0063f6b317223ede37d16fb</x:v>
      </x:c>
      <x:c r="O341" t="str">
        <x:v>legacy_common_sample_8902245</x:v>
      </x:c>
      <x:c r="P341" t="str">
        <x:v>factor_report/gtja191_batch/gtja_117/ic_summary.csv</x:v>
      </x:c>
    </x:row>
    <x:row r="342">
      <x:c r="A342" t="str">
        <x:v>gtja_117</x:v>
      </x:c>
      <x:c r="B342" s="50" t="n">
        <x:v>20</x:v>
      </x:c>
      <x:c r="C342" s="30" t="n">
        <x:v>0.0024560288262330575</x:v>
      </x:c>
      <x:c r="D342" s="30" t="n">
        <x:v>0.06729388300462616</x:v>
      </x:c>
      <x:c r="E342" s="30" t="n">
        <x:v>0.03649705911701092</x:v>
      </x:c>
      <x:c r="F342" s="30" t="n">
        <x:v>0.011127967456839522</x:v>
      </x:c>
      <x:c r="G342" s="30" t="n">
        <x:v>0.09143562000060194</x:v>
      </x:c>
      <x:c r="H342" s="30" t="n">
        <x:v>0.12170276153610883</x:v>
      </x:c>
      <x:c r="I342" s="30" t="n">
        <x:v>0.546693589096416</x:v>
      </x:c>
      <x:c r="J342" s="30" t="n">
        <x:v>0.48662291771832406</x:v>
      </x:c>
      <x:c r="K342" s="19" t="n">
        <x:v>1981</x:v>
      </x:c>
      <x:c r="L342" s="74" t="n">
        <x:v>46211.384815150464</x:v>
      </x:c>
      <x:c r="M342" s="19" t="n">
        <x:v>8902245</x:v>
      </x:c>
      <x:c r="N342" t="str">
        <x:v>8f7e606554926462248cbcc654181861438ca768a0063f6b317223ede37d16fb</x:v>
      </x:c>
      <x:c r="O342" t="str">
        <x:v>legacy_common_sample_8902245</x:v>
      </x:c>
      <x:c r="P342" t="str">
        <x:v>factor_report/gtja191_batch/gtja_117/ic_summary.csv</x:v>
      </x:c>
    </x:row>
    <x:row r="343">
      <x:c r="A343" t="str">
        <x:v>gtja_118</x:v>
      </x:c>
      <x:c r="B343" s="50" t="n">
        <x:v>1</x:v>
      </x:c>
      <x:c r="C343" s="30" t="n">
        <x:v>-0.011092812338611906</x:v>
      </x:c>
      <x:c r="D343" s="30" t="n">
        <x:v>0.11347793940332188</x:v>
      </x:c>
      <x:c r="E343" s="30" t="n">
        <x:v>-0.09775302932833466</x:v>
      </x:c>
      <x:c r="F343" s="30" t="n">
        <x:v>-0.03659425054575604</x:v>
      </x:c>
      <x:c r="G343" s="30" t="n">
        <x:v>0.12263239759030531</x:v>
      </x:c>
      <x:c r="H343" s="30" t="n">
        <x:v>-0.29840605961249667</x:v>
      </x:c>
      <x:c r="I343" s="30" t="n">
        <x:v>0.3765</x:v>
      </x:c>
      <x:c r="J343" s="30" t="n">
        <x:v>0.4595</x:v>
      </x:c>
      <x:c r="K343" s="19" t="n">
        <x:v>2000</x:v>
      </x:c>
      <x:c r="L343" s="74" t="n">
        <x:v>46210.66222452546</x:v>
      </x:c>
      <x:c r="M343" s="19" t="n">
        <x:v>8902245</x:v>
      </x:c>
      <x:c r="N343" t="str">
        <x:v>40355b29bce094aef0e99358bdfd4011b92e72a54440a67760de4afae4883c33</x:v>
      </x:c>
      <x:c r="O343" t="str">
        <x:v>legacy_common_sample_8902245</x:v>
      </x:c>
      <x:c r="P343" t="str">
        <x:v>factor_report/gtja191_batch/gtja_118/ic_summary.csv</x:v>
      </x:c>
    </x:row>
    <x:row r="344">
      <x:c r="A344" t="str">
        <x:v>gtja_118</x:v>
      </x:c>
      <x:c r="B344" s="50" t="n">
        <x:v>5</x:v>
      </x:c>
      <x:c r="C344" s="30" t="n">
        <x:v>-0.02302955398630403</x:v>
      </x:c>
      <x:c r="D344" s="30" t="n">
        <x:v>0.10463172651555429</x:v>
      </x:c>
      <x:c r="E344" s="30" t="n">
        <x:v>-0.2201010606747516</x:v>
      </x:c>
      <x:c r="F344" s="30" t="n">
        <x:v>-0.04965633935073342</x:v>
      </x:c>
      <x:c r="G344" s="30" t="n">
        <x:v>0.11379580319430964</x:v>
      </x:c>
      <x:c r="H344" s="30" t="n">
        <x:v>-0.43636353852122106</x:v>
      </x:c>
      <x:c r="I344" s="30" t="n">
        <x:v>0.3191382765531062</x:v>
      </x:c>
      <x:c r="J344" s="30" t="n">
        <x:v>0.4148296593186373</x:v>
      </x:c>
      <x:c r="K344" s="19" t="n">
        <x:v>1996</x:v>
      </x:c>
      <x:c r="L344" s="74" t="n">
        <x:v>46210.66222452546</x:v>
      </x:c>
      <x:c r="M344" s="19" t="n">
        <x:v>8902245</x:v>
      </x:c>
      <x:c r="N344" t="str">
        <x:v>40355b29bce094aef0e99358bdfd4011b92e72a54440a67760de4afae4883c33</x:v>
      </x:c>
      <x:c r="O344" t="str">
        <x:v>legacy_common_sample_8902245</x:v>
      </x:c>
      <x:c r="P344" t="str">
        <x:v>factor_report/gtja191_batch/gtja_118/ic_summary.csv</x:v>
      </x:c>
    </x:row>
    <x:row r="345">
      <x:c r="A345" t="str">
        <x:v>gtja_118</x:v>
      </x:c>
      <x:c r="B345" s="50" t="n">
        <x:v>10</x:v>
      </x:c>
      <x:c r="C345" s="30" t="n">
        <x:v>-0.02831518925244119</x:v>
      </x:c>
      <x:c r="D345" s="30" t="n">
        <x:v>0.10179052038212902</x:v>
      </x:c>
      <x:c r="E345" s="30" t="n">
        <x:v>-0.27817118083436365</x:v>
      </x:c>
      <x:c r="F345" s="30" t="n">
        <x:v>-0.0569573609939469</x:v>
      </x:c>
      <x:c r="G345" s="30" t="n">
        <x:v>0.11069269906997063</x:v>
      </x:c>
      <x:c r="H345" s="30" t="n">
        <x:v>-0.5145539089072464</x:v>
      </x:c>
      <x:c r="I345" s="30" t="n">
        <x:v>0.30135610246107486</x:v>
      </x:c>
      <x:c r="J345" s="30" t="n">
        <x:v>0.38824711200401807</x:v>
      </x:c>
      <x:c r="K345" s="19" t="n">
        <x:v>1991</x:v>
      </x:c>
      <x:c r="L345" s="74" t="n">
        <x:v>46210.66222452546</x:v>
      </x:c>
      <x:c r="M345" s="19" t="n">
        <x:v>8902245</x:v>
      </x:c>
      <x:c r="N345" t="str">
        <x:v>40355b29bce094aef0e99358bdfd4011b92e72a54440a67760de4afae4883c33</x:v>
      </x:c>
      <x:c r="O345" t="str">
        <x:v>legacy_common_sample_8902245</x:v>
      </x:c>
      <x:c r="P345" t="str">
        <x:v>factor_report/gtja191_batch/gtja_118/ic_summary.csv</x:v>
      </x:c>
    </x:row>
    <x:row r="346">
      <x:c r="A346" t="str">
        <x:v>gtja_118</x:v>
      </x:c>
      <x:c r="B346" s="50" t="n">
        <x:v>20</x:v>
      </x:c>
      <x:c r="C346" s="30" t="n">
        <x:v>-0.03319199642386431</x:v>
      </x:c>
      <x:c r="D346" s="30" t="n">
        <x:v>0.099843772807247</x:v>
      </x:c>
      <x:c r="E346" s="30" t="n">
        <x:v>-0.3324393248634844</x:v>
      </x:c>
      <x:c r="F346" s="30" t="n">
        <x:v>-0.06584152426254862</x:v>
      </x:c>
      <x:c r="G346" s="30" t="n">
        <x:v>0.1101985543429542</x:v>
      </x:c>
      <x:c r="H346" s="30" t="n">
        <x:v>-0.5974808349811928</x:v>
      </x:c>
      <x:c r="I346" s="30" t="n">
        <x:v>0.2756183745583039</x:v>
      </x:c>
      <x:c r="J346" s="30" t="n">
        <x:v>0.3629480060575467</x:v>
      </x:c>
      <x:c r="K346" s="19" t="n">
        <x:v>1981</x:v>
      </x:c>
      <x:c r="L346" s="74" t="n">
        <x:v>46210.66222452546</x:v>
      </x:c>
      <x:c r="M346" s="19" t="n">
        <x:v>8902245</x:v>
      </x:c>
      <x:c r="N346" t="str">
        <x:v>40355b29bce094aef0e99358bdfd4011b92e72a54440a67760de4afae4883c33</x:v>
      </x:c>
      <x:c r="O346" t="str">
        <x:v>legacy_common_sample_8902245</x:v>
      </x:c>
      <x:c r="P346" t="str">
        <x:v>factor_report/gtja191_batch/gtja_118/ic_summary.csv</x:v>
      </x:c>
    </x:row>
    <x:row r="347">
      <x:c r="A347" t="str">
        <x:v>gtja_119</x:v>
      </x:c>
      <x:c r="B347" s="50" t="n">
        <x:v>10</x:v>
      </x:c>
      <x:c r="C347" s="30" t="n">
        <x:v>0.0004498752061187341</x:v>
      </x:c>
      <x:c r="D347" s="30" t="n">
        <x:v>0.04252862650051046</x:v>
      </x:c>
      <x:c r="E347" s="30" t="n">
        <x:v>0.010578173882792438</x:v>
      </x:c>
      <x:c r="F347" s="30" t="n">
        <x:v>0.0011128183046609727</x:v>
      </x:c>
      <x:c r="G347" s="30" t="n">
        <x:v>0.05215670566259264</x:v>
      </x:c>
      <x:c r="H347" s="30" t="n">
        <x:v>0.021336054310253306</x:v>
      </x:c>
      <x:c r="I347" s="30" t="n">
        <x:v>0.5143144148669011</x:v>
      </x:c>
      <x:c r="J347" s="30" t="n">
        <x:v>0.5138121546961326</x:v>
      </x:c>
      <x:c r="K347" s="19" t="n">
        <x:v>1991</x:v>
      </x:c>
      <x:c r="L347" s="74" t="n">
        <x:v>46211.39142025463</x:v>
      </x:c>
      <x:c r="M347" s="19" t="n">
        <x:v>8902245</x:v>
      </x:c>
      <x:c r="N347" t="str">
        <x:v>8f7e606554926462248cbcc654181861438ca768a0063f6b317223ede37d16fb</x:v>
      </x:c>
      <x:c r="O347" t="str">
        <x:v>legacy_common_sample_8902245</x:v>
      </x:c>
      <x:c r="P347" t="str">
        <x:v>factor_report/gtja191_batch/gtja_119/ic_summary.csv</x:v>
      </x:c>
    </x:row>
    <x:row r="348">
      <x:c r="A348" t="str">
        <x:v>gtja_119</x:v>
      </x:c>
      <x:c r="B348" s="50" t="n">
        <x:v>20</x:v>
      </x:c>
      <x:c r="C348" s="30" t="n">
        <x:v>0.002627076568463947</x:v>
      </x:c>
      <x:c r="D348" s="30" t="n">
        <x:v>0.04267337323589293</x:v>
      </x:c>
      <x:c r="E348" s="30" t="n">
        <x:v>0.06156243036944384</x:v>
      </x:c>
      <x:c r="F348" s="30" t="n">
        <x:v>0.004066268877884704</x:v>
      </x:c>
      <x:c r="G348" s="30" t="n">
        <x:v>0.05056207116361191</x:v>
      </x:c>
      <x:c r="H348" s="30" t="n">
        <x:v>0.08042132737653916</x:v>
      </x:c>
      <x:c r="I348" s="30" t="n">
        <x:v>0.5209490156486623</x:v>
      </x:c>
      <x:c r="J348" s="30" t="n">
        <x:v>0.519434628975265</x:v>
      </x:c>
      <x:c r="K348" s="19" t="n">
        <x:v>1981</x:v>
      </x:c>
      <x:c r="L348" s="74" t="n">
        <x:v>46211.39142025463</x:v>
      </x:c>
      <x:c r="M348" s="19" t="n">
        <x:v>8902245</x:v>
      </x:c>
      <x:c r="N348" t="str">
        <x:v>8f7e606554926462248cbcc654181861438ca768a0063f6b317223ede37d16fb</x:v>
      </x:c>
      <x:c r="O348" t="str">
        <x:v>legacy_common_sample_8902245</x:v>
      </x:c>
      <x:c r="P348" t="str">
        <x:v>factor_report/gtja191_batch/gtja_119/ic_summary.csv</x:v>
      </x:c>
    </x:row>
    <x:row r="349">
      <x:c r="A349" t="str">
        <x:v>gtja_120</x:v>
      </x:c>
      <x:c r="B349" s="50" t="n">
        <x:v>10</x:v>
      </x:c>
      <x:c r="C349" s="30" t="n">
        <x:v>0.011589263433386444</x:v>
      </x:c>
      <x:c r="D349" s="30" t="n">
        <x:v>0.03990871165317262</x:v>
      </x:c>
      <x:c r="E349" s="30" t="n">
        <x:v>0.29039432628402406</x:v>
      </x:c>
      <x:c r="F349" s="30" t="n">
        <x:v>0.04280983328161368</x:v>
      </x:c>
      <x:c r="G349" s="30" t="n">
        <x:v>0.14817752102517875</x:v>
      </x:c>
      <x:c r="H349" s="30" t="n">
        <x:v>0.2889090935347698</x:v>
      </x:c>
      <x:c r="I349" s="30" t="n">
        <x:v>0.6057257659467604</x:v>
      </x:c>
      <x:c r="J349" s="30" t="n">
        <x:v>0.55700652938222</x:v>
      </x:c>
      <x:c r="K349" s="19" t="n">
        <x:v>1991</x:v>
      </x:c>
      <x:c r="L349" s="74" t="n">
        <x:v>46211.39541752315</x:v>
      </x:c>
      <x:c r="M349" s="19" t="n">
        <x:v>8902245</x:v>
      </x:c>
      <x:c r="N349" t="str">
        <x:v>8f7e606554926462248cbcc654181861438ca768a0063f6b317223ede37d16fb</x:v>
      </x:c>
      <x:c r="O349" t="str">
        <x:v>legacy_common_sample_8902245</x:v>
      </x:c>
      <x:c r="P349" t="str">
        <x:v>factor_report/gtja191_batch/gtja_120/ic_summary.csv</x:v>
      </x:c>
    </x:row>
    <x:row r="350">
      <x:c r="A350" t="str">
        <x:v>gtja_120</x:v>
      </x:c>
      <x:c r="B350" s="50" t="n">
        <x:v>20</x:v>
      </x:c>
      <x:c r="C350" s="30" t="n">
        <x:v>0.01746689160102537</x:v>
      </x:c>
      <x:c r="D350" s="30" t="n">
        <x:v>0.04411983542382473</x:v>
      </x:c>
      <x:c r="E350" s="30" t="n">
        <x:v>0.3958965719893244</x:v>
      </x:c>
      <x:c r="F350" s="30" t="n">
        <x:v>0.05357793930772217</x:v>
      </x:c>
      <x:c r="G350" s="30" t="n">
        <x:v>0.15056080826428653</x:v>
      </x:c>
      <x:c r="H350" s="30" t="n">
        <x:v>0.3558558161674735</x:v>
      </x:c>
      <x:c r="I350" s="30" t="n">
        <x:v>0.618879353861686</x:v>
      </x:c>
      <x:c r="J350" s="30" t="n">
        <x:v>0.6224129227662797</x:v>
      </x:c>
      <x:c r="K350" s="19" t="n">
        <x:v>1981</x:v>
      </x:c>
      <x:c r="L350" s="74" t="n">
        <x:v>46211.39541752315</x:v>
      </x:c>
      <x:c r="M350" s="19" t="n">
        <x:v>8902245</x:v>
      </x:c>
      <x:c r="N350" t="str">
        <x:v>8f7e606554926462248cbcc654181861438ca768a0063f6b317223ede37d16fb</x:v>
      </x:c>
      <x:c r="O350" t="str">
        <x:v>legacy_common_sample_8902245</x:v>
      </x:c>
      <x:c r="P350" t="str">
        <x:v>factor_report/gtja191_batch/gtja_120/ic_summary.csv</x:v>
      </x:c>
    </x:row>
    <x:row r="351">
      <x:c r="A351" t="str">
        <x:v>gtja_121</x:v>
      </x:c>
      <x:c r="B351" s="50" t="n">
        <x:v>10</x:v>
      </x:c>
      <x:c r="C351" s="30" t="n">
        <x:v>0.02038620272927772</x:v>
      </x:c>
      <x:c r="D351" s="30" t="n">
        <x:v>0.10642359041319642</x:v>
      </x:c>
      <x:c r="E351" s="30" t="n">
        <x:v>0.19155717872444428</x:v>
      </x:c>
      <x:c r="F351" s="30" t="n">
        <x:v>0.052749039392317676</x:v>
      </x:c>
      <x:c r="G351" s="30" t="n">
        <x:v>0.13027001578266867</x:v>
      </x:c>
      <x:c r="H351" s="30" t="n">
        <x:v>0.40492080295990485</x:v>
      </x:c>
      <x:c r="I351" s="30" t="n">
        <x:v>0.6609137055837564</x:v>
      </x:c>
      <x:c r="J351" s="30" t="n">
        <x:v>0.581725888324873</x:v>
      </x:c>
      <x:c r="K351" s="19" t="n">
        <x:v>1970</x:v>
      </x:c>
      <x:c r="L351" s="74" t="n">
        <x:v>46211.40481090278</x:v>
      </x:c>
      <x:c r="M351" s="19" t="n">
        <x:v>8902245</x:v>
      </x:c>
      <x:c r="N351" t="str">
        <x:v>8f7e606554926462248cbcc654181861438ca768a0063f6b317223ede37d16fb</x:v>
      </x:c>
      <x:c r="O351" t="str">
        <x:v>legacy_common_sample_8902245</x:v>
      </x:c>
      <x:c r="P351" t="str">
        <x:v>factor_report/gtja191_batch/gtja_121/ic_summary.csv</x:v>
      </x:c>
    </x:row>
    <x:row r="352">
      <x:c r="A352" t="str">
        <x:v>gtja_121</x:v>
      </x:c>
      <x:c r="B352" s="50" t="n">
        <x:v>20</x:v>
      </x:c>
      <x:c r="C352" s="30" t="n">
        <x:v>0.028098970307278197</x:v>
      </x:c>
      <x:c r="D352" s="30" t="n">
        <x:v>0.11447421416159699</x:v>
      </x:c>
      <x:c r="E352" s="30" t="n">
        <x:v>0.24546113299902123</x:v>
      </x:c>
      <x:c r="F352" s="30" t="n">
        <x:v>0.06405034880037078</x:v>
      </x:c>
      <x:c r="G352" s="30" t="n">
        <x:v>0.13772742519142997</x:v>
      </x:c>
      <x:c r="H352" s="30" t="n">
        <x:v>0.4650515226821817</x:v>
      </x:c>
      <x:c r="I352" s="30" t="n">
        <x:v>0.6795918367346939</x:v>
      </x:c>
      <x:c r="J352" s="30" t="n">
        <x:v>0.5918367346938775</x:v>
      </x:c>
      <x:c r="K352" s="19" t="n">
        <x:v>1960</x:v>
      </x:c>
      <x:c r="L352" s="74" t="n">
        <x:v>46211.40481090278</x:v>
      </x:c>
      <x:c r="M352" s="19" t="n">
        <x:v>8902245</x:v>
      </x:c>
      <x:c r="N352" t="str">
        <x:v>8f7e606554926462248cbcc654181861438ca768a0063f6b317223ede37d16fb</x:v>
      </x:c>
      <x:c r="O352" t="str">
        <x:v>legacy_common_sample_8902245</x:v>
      </x:c>
      <x:c r="P352" t="str">
        <x:v>factor_report/gtja191_batch/gtja_121/ic_summary.csv</x:v>
      </x:c>
    </x:row>
    <x:row r="353">
      <x:c r="A353" t="str">
        <x:v>gtja_122</x:v>
      </x:c>
      <x:c r="B353" s="50" t="n">
        <x:v>1</x:v>
      </x:c>
      <x:c r="C353" s="30" t="n">
        <x:v>-0.009656895618250182</x:v>
      </x:c>
      <x:c r="D353" s="30" t="n">
        <x:v>0.11070203495528626</x:v>
      </x:c>
      <x:c r="E353" s="30" t="n">
        <x:v>-0.08723322585850121</x:v>
      </x:c>
      <x:c r="F353" s="30" t="n">
        <x:v>-0.02822400894571206</x:v>
      </x:c>
      <x:c r="G353" s="30" t="n">
        <x:v>0.1507267404559917</x:v>
      </x:c>
      <x:c r="H353" s="30" t="n">
        <x:v>-0.18725283158334297</x:v>
      </x:c>
      <x:c r="I353" s="30" t="n">
        <x:v>0.417</x:v>
      </x:c>
      <x:c r="J353" s="30" t="n">
        <x:v>0.465</x:v>
      </x:c>
      <x:c r="K353" s="19" t="n">
        <x:v>2000</x:v>
      </x:c>
      <x:c r="L353" s="74" t="n">
        <x:v>46210.69213701389</x:v>
      </x:c>
      <x:c r="M353" s="19" t="n">
        <x:v>8902245</x:v>
      </x:c>
      <x:c r="N353" t="str">
        <x:v>40355b29bce094aef0e99358bdfd4011b92e72a54440a67760de4afae4883c33</x:v>
      </x:c>
      <x:c r="O353" t="str">
        <x:v>legacy_common_sample_8902245</x:v>
      </x:c>
      <x:c r="P353" t="str">
        <x:v>factor_report/gtja191_batch/gtja_122/ic_summary.csv</x:v>
      </x:c>
    </x:row>
    <x:row r="354">
      <x:c r="A354" t="str">
        <x:v>gtja_122</x:v>
      </x:c>
      <x:c r="B354" s="50" t="n">
        <x:v>5</x:v>
      </x:c>
      <x:c r="C354" s="30" t="n">
        <x:v>-0.01916637976853975</x:v>
      </x:c>
      <x:c r="D354" s="30" t="n">
        <x:v>0.10741846834283231</x:v>
      </x:c>
      <x:c r="E354" s="30" t="n">
        <x:v>-0.17842723010506098</x:v>
      </x:c>
      <x:c r="F354" s="30" t="n">
        <x:v>-0.0438131005715145</x:v>
      </x:c>
      <x:c r="G354" s="30" t="n">
        <x:v>0.14336684303355327</x:v>
      </x:c>
      <x:c r="H354" s="30" t="n">
        <x:v>-0.3056013485716539</x:v>
      </x:c>
      <x:c r="I354" s="30" t="n">
        <x:v>0.3907815631262525</x:v>
      </x:c>
      <x:c r="J354" s="30" t="n">
        <x:v>0.4343687374749499</x:v>
      </x:c>
      <x:c r="K354" s="19" t="n">
        <x:v>1996</x:v>
      </x:c>
      <x:c r="L354" s="74" t="n">
        <x:v>46210.69213701389</x:v>
      </x:c>
      <x:c r="M354" s="19" t="n">
        <x:v>8902245</x:v>
      </x:c>
      <x:c r="N354" t="str">
        <x:v>40355b29bce094aef0e99358bdfd4011b92e72a54440a67760de4afae4883c33</x:v>
      </x:c>
      <x:c r="O354" t="str">
        <x:v>legacy_common_sample_8902245</x:v>
      </x:c>
      <x:c r="P354" t="str">
        <x:v>factor_report/gtja191_batch/gtja_122/ic_summary.csv</x:v>
      </x:c>
    </x:row>
    <x:row r="355">
      <x:c r="A355" t="str">
        <x:v>gtja_122</x:v>
      </x:c>
      <x:c r="B355" s="50" t="n">
        <x:v>10</x:v>
      </x:c>
      <x:c r="C355" s="30" t="n">
        <x:v>-0.024475143507692615</x:v>
      </x:c>
      <x:c r="D355" s="30" t="n">
        <x:v>0.10664262765221537</x:v>
      </x:c>
      <x:c r="E355" s="30" t="n">
        <x:v>-0.2295061932223889</x:v>
      </x:c>
      <x:c r="F355" s="30" t="n">
        <x:v>-0.052148612256162144</x:v>
      </x:c>
      <x:c r="G355" s="30" t="n">
        <x:v>0.14035188011403266</x:v>
      </x:c>
      <x:c r="H355" s="30" t="n">
        <x:v>-0.3715562072541715</x:v>
      </x:c>
      <x:c r="I355" s="30" t="n">
        <x:v>0.3666499246609744</x:v>
      </x:c>
      <x:c r="J355" s="30" t="n">
        <x:v>0.41285786037167255</x:v>
      </x:c>
      <x:c r="K355" s="19" t="n">
        <x:v>1991</x:v>
      </x:c>
      <x:c r="L355" s="74" t="n">
        <x:v>46210.69213701389</x:v>
      </x:c>
      <x:c r="M355" s="19" t="n">
        <x:v>8902245</x:v>
      </x:c>
      <x:c r="N355" t="str">
        <x:v>40355b29bce094aef0e99358bdfd4011b92e72a54440a67760de4afae4883c33</x:v>
      </x:c>
      <x:c r="O355" t="str">
        <x:v>legacy_common_sample_8902245</x:v>
      </x:c>
      <x:c r="P355" t="str">
        <x:v>factor_report/gtja191_batch/gtja_122/ic_summary.csv</x:v>
      </x:c>
    </x:row>
    <x:row r="356">
      <x:c r="A356" t="str">
        <x:v>gtja_122</x:v>
      </x:c>
      <x:c r="B356" s="50" t="n">
        <x:v>20</x:v>
      </x:c>
      <x:c r="C356" s="30" t="n">
        <x:v>-0.02894877316253272</x:v>
      </x:c>
      <x:c r="D356" s="30" t="n">
        <x:v>0.10933582797565633</x:v>
      </x:c>
      <x:c r="E356" s="30" t="n">
        <x:v>-0.2647693230893919</x:v>
      </x:c>
      <x:c r="F356" s="30" t="n">
        <x:v>-0.06169555004624976</x:v>
      </x:c>
      <x:c r="G356" s="30" t="n">
        <x:v>0.14376589309802157</x:v>
      </x:c>
      <x:c r="H356" s="30" t="n">
        <x:v>-0.42913898920507443</x:v>
      </x:c>
      <x:c r="I356" s="30" t="n">
        <x:v>0.3432609793033821</x:v>
      </x:c>
      <x:c r="J356" s="30" t="n">
        <x:v>0.3927309439676931</x:v>
      </x:c>
      <x:c r="K356" s="19" t="n">
        <x:v>1981</x:v>
      </x:c>
      <x:c r="L356" s="74" t="n">
        <x:v>46210.69213701389</x:v>
      </x:c>
      <x:c r="M356" s="19" t="n">
        <x:v>8902245</x:v>
      </x:c>
      <x:c r="N356" t="str">
        <x:v>40355b29bce094aef0e99358bdfd4011b92e72a54440a67760de4afae4883c33</x:v>
      </x:c>
      <x:c r="O356" t="str">
        <x:v>legacy_common_sample_8902245</x:v>
      </x:c>
      <x:c r="P356" t="str">
        <x:v>factor_report/gtja191_batch/gtja_122/ic_summary.csv</x:v>
      </x:c>
    </x:row>
    <x:row r="357">
      <x:c r="A357" t="str">
        <x:v>gtja_123</x:v>
      </x:c>
      <x:c r="B357" s="50" t="n">
        <x:v>10</x:v>
      </x:c>
      <x:c r="C357" s="30" t="n">
        <x:v>0.0050823766455215065</x:v>
      </x:c>
      <x:c r="D357" s="30" t="n">
        <x:v>0.04762707432228515</x:v>
      </x:c>
      <x:c r="E357" s="30" t="n">
        <x:v>0.10671192211240688</x:v>
      </x:c>
      <x:c r="F357" s="30" t="n">
        <x:v>0.011980777322754587</x:v>
      </x:c>
      <x:c r="G357" s="30" t="n">
        <x:v>0.05701727096237239</x:v>
      </x:c>
      <x:c r="H357" s="30" t="n">
        <x:v>0.21012540797789328</x:v>
      </x:c>
      <x:c r="I357" s="30" t="n">
        <x:v>0.58634742740703</x:v>
      </x:c>
      <x:c r="J357" s="30" t="n">
        <x:v>0.5486500254712176</x:v>
      </x:c>
      <x:c r="K357" s="19" t="n">
        <x:v>1963</x:v>
      </x:c>
      <x:c r="L357" s="74" t="n">
        <x:v>46211.407905775464</x:v>
      </x:c>
      <x:c r="M357" s="19" t="n">
        <x:v>8902245</x:v>
      </x:c>
      <x:c r="N357" t="str">
        <x:v>8f7e606554926462248cbcc654181861438ca768a0063f6b317223ede37d16fb</x:v>
      </x:c>
      <x:c r="O357" t="str">
        <x:v>legacy_common_sample_8902245</x:v>
      </x:c>
      <x:c r="P357" t="str">
        <x:v>factor_report/gtja191_batch/gtja_123/ic_summary.csv</x:v>
      </x:c>
    </x:row>
    <x:row r="358">
      <x:c r="A358" t="str">
        <x:v>gtja_123</x:v>
      </x:c>
      <x:c r="B358" s="50" t="n">
        <x:v>20</x:v>
      </x:c>
      <x:c r="C358" s="30" t="n">
        <x:v>0.009017365474724115</x:v>
      </x:c>
      <x:c r="D358" s="30" t="n">
        <x:v>0.04706138718745362</x:v>
      </x:c>
      <x:c r="E358" s="30" t="n">
        <x:v>0.19160857793686348</x:v>
      </x:c>
      <x:c r="F358" s="30" t="n">
        <x:v>0.016235807977282926</x:v>
      </x:c>
      <x:c r="G358" s="30" t="n">
        <x:v>0.05607815291636207</x:v>
      </x:c>
      <x:c r="H358" s="30" t="n">
        <x:v>0.2895210903522067</x:v>
      </x:c>
      <x:c r="I358" s="30" t="n">
        <x:v>0.6093189964157706</x:v>
      </x:c>
      <x:c r="J358" s="30" t="n">
        <x:v>0.5750128008192524</x:v>
      </x:c>
      <x:c r="K358" s="19" t="n">
        <x:v>1953</x:v>
      </x:c>
      <x:c r="L358" s="74" t="n">
        <x:v>46211.407905775464</x:v>
      </x:c>
      <x:c r="M358" s="19" t="n">
        <x:v>8902245</x:v>
      </x:c>
      <x:c r="N358" t="str">
        <x:v>8f7e606554926462248cbcc654181861438ca768a0063f6b317223ede37d16fb</x:v>
      </x:c>
      <x:c r="O358" t="str">
        <x:v>legacy_common_sample_8902245</x:v>
      </x:c>
      <x:c r="P358" t="str">
        <x:v>factor_report/gtja191_batch/gtja_123/ic_summary.csv</x:v>
      </x:c>
    </x:row>
    <x:row r="359">
      <x:c r="A359" t="str">
        <x:v>gtja_124</x:v>
      </x:c>
      <x:c r="B359" s="50" t="n">
        <x:v>10</x:v>
      </x:c>
      <x:c r="C359" s="30" t="n">
        <x:v>-0.004212034276356584</x:v>
      </x:c>
      <x:c r="D359" s="30" t="n">
        <x:v>0.04881430855585501</x:v>
      </x:c>
      <x:c r="E359" s="30" t="n">
        <x:v>-0.08628687778168628</x:v>
      </x:c>
      <x:c r="F359" s="30" t="n">
        <x:v>-0.0069098824764696155</x:v>
      </x:c>
      <x:c r="G359" s="30" t="n">
        <x:v>0.10527740637951538</x:v>
      </x:c>
      <x:c r="H359" s="30" t="n">
        <x:v>-0.0656349991332435</x:v>
      </x:c>
      <x:c r="I359" s="30" t="n">
        <x:v>0.4776494224008036</x:v>
      </x:c>
      <x:c r="J359" s="30" t="n">
        <x:v>0.4480160723254646</x:v>
      </x:c>
      <x:c r="K359" s="19" t="n">
        <x:v>1991</x:v>
      </x:c>
      <x:c r="L359" s="74" t="n">
        <x:v>46211.41230089121</x:v>
      </x:c>
      <x:c r="M359" s="19" t="n">
        <x:v>8902245</x:v>
      </x:c>
      <x:c r="N359" t="str">
        <x:v>8f7e606554926462248cbcc654181861438ca768a0063f6b317223ede37d16fb</x:v>
      </x:c>
      <x:c r="O359" t="str">
        <x:v>legacy_common_sample_8902245</x:v>
      </x:c>
      <x:c r="P359" t="str">
        <x:v>factor_report/gtja191_batch/gtja_124/ic_summary.csv</x:v>
      </x:c>
    </x:row>
    <x:row r="360">
      <x:c r="A360" t="str">
        <x:v>gtja_124</x:v>
      </x:c>
      <x:c r="B360" s="50" t="n">
        <x:v>20</x:v>
      </x:c>
      <x:c r="C360" s="30" t="n">
        <x:v>-0.003992852020912438</x:v>
      </x:c>
      <x:c r="D360" s="30" t="n">
        <x:v>0.04803954863344133</x:v>
      </x:c>
      <x:c r="E360" s="30" t="n">
        <x:v>-0.08311593540104437</x:v>
      </x:c>
      <x:c r="F360" s="30" t="n">
        <x:v>-0.0074801309184992035</x:v>
      </x:c>
      <x:c r="G360" s="30" t="n">
        <x:v>0.10189085162260185</x:v>
      </x:c>
      <x:c r="H360" s="30" t="n">
        <x:v>-0.07341317497477791</x:v>
      </x:c>
      <x:c r="I360" s="30" t="n">
        <x:v>0.47147905098435133</x:v>
      </x:c>
      <x:c r="J360" s="30" t="n">
        <x:v>0.463907117617365</x:v>
      </x:c>
      <x:c r="K360" s="19" t="n">
        <x:v>1981</x:v>
      </x:c>
      <x:c r="L360" s="74" t="n">
        <x:v>46211.41230089121</x:v>
      </x:c>
      <x:c r="M360" s="19" t="n">
        <x:v>8902245</x:v>
      </x:c>
      <x:c r="N360" t="str">
        <x:v>8f7e606554926462248cbcc654181861438ca768a0063f6b317223ede37d16fb</x:v>
      </x:c>
      <x:c r="O360" t="str">
        <x:v>legacy_common_sample_8902245</x:v>
      </x:c>
      <x:c r="P360" t="str">
        <x:v>factor_report/gtja191_batch/gtja_124/ic_summary.csv</x:v>
      </x:c>
    </x:row>
    <x:row r="361">
      <x:c r="A361" t="str">
        <x:v>gtja_125</x:v>
      </x:c>
      <x:c r="B361" s="50" t="n">
        <x:v>10</x:v>
      </x:c>
      <x:c r="C361" s="30" t="n">
        <x:v>-0.003016157819072808</x:v>
      </x:c>
      <x:c r="D361" s="30" t="n">
        <x:v>0.03381659243532027</x:v>
      </x:c>
      <x:c r="E361" s="30" t="n">
        <x:v>-0.08919165421062752</x:v>
      </x:c>
      <x:c r="F361" s="30" t="n">
        <x:v>0.010222219351592081</x:v>
      </x:c>
      <x:c r="G361" s="30" t="n">
        <x:v>0.0972860472893756</x:v>
      </x:c>
      <x:c r="H361" s="30" t="n">
        <x:v>0.10507384806360026</x:v>
      </x:c>
      <x:c r="I361" s="30" t="n">
        <x:v>0.5281653746770025</x:v>
      </x:c>
      <x:c r="J361" s="30" t="n">
        <x:v>0.4325581395348837</x:v>
      </x:c>
      <x:c r="K361" s="19" t="n">
        <x:v>1935</x:v>
      </x:c>
      <x:c r="L361" s="74" t="n">
        <x:v>46211.41519543981</x:v>
      </x:c>
      <x:c r="M361" s="19" t="n">
        <x:v>8902245</x:v>
      </x:c>
      <x:c r="N361" t="str">
        <x:v>8f7e606554926462248cbcc654181861438ca768a0063f6b317223ede37d16fb</x:v>
      </x:c>
      <x:c r="O361" t="str">
        <x:v>legacy_common_sample_8902245</x:v>
      </x:c>
      <x:c r="P361" t="str">
        <x:v>factor_report/gtja191_batch/gtja_125/ic_summary.csv</x:v>
      </x:c>
    </x:row>
    <x:row r="362">
      <x:c r="A362" t="str">
        <x:v>gtja_125</x:v>
      </x:c>
      <x:c r="B362" s="50" t="n">
        <x:v>20</x:v>
      </x:c>
      <x:c r="C362" s="30" t="n">
        <x:v>-0.003959758859476357</x:v>
      </x:c>
      <x:c r="D362" s="30" t="n">
        <x:v>0.032480639909986</x:v>
      </x:c>
      <x:c r="E362" s="30" t="n">
        <x:v>-0.1219113561324557</x:v>
      </x:c>
      <x:c r="F362" s="30" t="n">
        <x:v>0.013164239622034054</x:v>
      </x:c>
      <x:c r="G362" s="30" t="n">
        <x:v>0.09340038588090052</x:v>
      </x:c>
      <x:c r="H362" s="30" t="n">
        <x:v>0.1409441673915612</x:v>
      </x:c>
      <x:c r="I362" s="30" t="n">
        <x:v>0.5402597402597402</x:v>
      </x:c>
      <x:c r="J362" s="30" t="n">
        <x:v>0.42233766233766235</x:v>
      </x:c>
      <x:c r="K362" s="19" t="n">
        <x:v>1925</x:v>
      </x:c>
      <x:c r="L362" s="74" t="n">
        <x:v>46211.41519543981</x:v>
      </x:c>
      <x:c r="M362" s="19" t="n">
        <x:v>8902245</x:v>
      </x:c>
      <x:c r="N362" t="str">
        <x:v>8f7e606554926462248cbcc654181861438ca768a0063f6b317223ede37d16fb</x:v>
      </x:c>
      <x:c r="O362" t="str">
        <x:v>legacy_common_sample_8902245</x:v>
      </x:c>
      <x:c r="P362" t="str">
        <x:v>factor_report/gtja191_batch/gtja_125/ic_summary.csv</x:v>
      </x:c>
    </x:row>
    <x:row r="363">
      <x:c r="A363" t="str">
        <x:v>gtja_126</x:v>
      </x:c>
      <x:c r="B363" s="50" t="n">
        <x:v>1</x:v>
      </x:c>
      <x:c r="C363" s="30" t="n">
        <x:v>-0.003987116103157289</x:v>
      </x:c>
      <x:c r="D363" s="30" t="n">
        <x:v>0.0852679452085395</x:v>
      </x:c>
      <x:c r="E363" s="30" t="n">
        <x:v>-0.04675984736592413</x:v>
      </x:c>
      <x:c r="F363" s="30" t="n">
        <x:v>-0.021097965625745237</x:v>
      </x:c>
      <x:c r="G363" s="30" t="n">
        <x:v>0.16726477056914993</x:v>
      </x:c>
      <x:c r="H363" s="30" t="n">
        <x:v>-0.1261351422296245</x:v>
      </x:c>
      <x:c r="I363" s="30" t="n">
        <x:v>0.453</x:v>
      </x:c>
      <x:c r="J363" s="30" t="n">
        <x:v>0.4775</x:v>
      </x:c>
      <x:c r="K363" s="19" t="n">
        <x:v>2000</x:v>
      </x:c>
      <x:c r="L363" s="74" t="n">
        <x:v>46210.70792734954</x:v>
      </x:c>
      <x:c r="M363" s="19" t="n">
        <x:v>8902245</x:v>
      </x:c>
      <x:c r="N363" t="str">
        <x:v>40355b29bce094aef0e99358bdfd4011b92e72a54440a67760de4afae4883c33</x:v>
      </x:c>
      <x:c r="O363" t="str">
        <x:v>legacy_common_sample_8902245</x:v>
      </x:c>
      <x:c r="P363" t="str">
        <x:v>factor_report/gtja191_batch/gtja_126/ic_summary.csv</x:v>
      </x:c>
    </x:row>
    <x:row r="364">
      <x:c r="A364" t="str">
        <x:v>gtja_126</x:v>
      </x:c>
      <x:c r="B364" s="50" t="n">
        <x:v>5</x:v>
      </x:c>
      <x:c r="C364" s="30" t="n">
        <x:v>-0.008052257994891737</x:v>
      </x:c>
      <x:c r="D364" s="30" t="n">
        <x:v>0.08740203189440691</x:v>
      </x:c>
      <x:c r="E364" s="30" t="n">
        <x:v>-0.09212895650549541</x:v>
      </x:c>
      <x:c r="F364" s="30" t="n">
        <x:v>-0.03298399488289722</x:v>
      </x:c>
      <x:c r="G364" s="30" t="n">
        <x:v>0.17538344160879138</x:v>
      </x:c>
      <x:c r="H364" s="30" t="n">
        <x:v>-0.1880678961499171</x:v>
      </x:c>
      <x:c r="I364" s="30" t="n">
        <x:v>0.46292585170340683</x:v>
      </x:c>
      <x:c r="J364" s="30" t="n">
        <x:v>0.4729458917835671</x:v>
      </x:c>
      <x:c r="K364" s="19" t="n">
        <x:v>1996</x:v>
      </x:c>
      <x:c r="L364" s="74" t="n">
        <x:v>46210.70792734954</x:v>
      </x:c>
      <x:c r="M364" s="19" t="n">
        <x:v>8902245</x:v>
      </x:c>
      <x:c r="N364" t="str">
        <x:v>40355b29bce094aef0e99358bdfd4011b92e72a54440a67760de4afae4883c33</x:v>
      </x:c>
      <x:c r="O364" t="str">
        <x:v>legacy_common_sample_8902245</x:v>
      </x:c>
      <x:c r="P364" t="str">
        <x:v>factor_report/gtja191_batch/gtja_126/ic_summary.csv</x:v>
      </x:c>
    </x:row>
    <x:row r="365">
      <x:c r="A365" t="str">
        <x:v>gtja_126</x:v>
      </x:c>
      <x:c r="B365" s="50" t="n">
        <x:v>10</x:v>
      </x:c>
      <x:c r="C365" s="30" t="n">
        <x:v>-0.011005281052114966</x:v>
      </x:c>
      <x:c r="D365" s="30" t="n">
        <x:v>0.09132855390574564</x:v>
      </x:c>
      <x:c r="E365" s="30" t="n">
        <x:v>-0.12050208375655233</x:v>
      </x:c>
      <x:c r="F365" s="30" t="n">
        <x:v>-0.042572173846866894</x:v>
      </x:c>
      <x:c r="G365" s="30" t="n">
        <x:v>0.1832020042299717</x:v>
      </x:c>
      <x:c r="H365" s="30" t="n">
        <x:v>-0.2323783193628518</x:v>
      </x:c>
      <x:c r="I365" s="30" t="n">
        <x:v>0.4359618282270216</x:v>
      </x:c>
      <x:c r="J365" s="30" t="n">
        <x:v>0.4530386740331492</x:v>
      </x:c>
      <x:c r="K365" s="19" t="n">
        <x:v>1991</x:v>
      </x:c>
      <x:c r="L365" s="74" t="n">
        <x:v>46210.70792734954</x:v>
      </x:c>
      <x:c r="M365" s="19" t="n">
        <x:v>8902245</x:v>
      </x:c>
      <x:c r="N365" t="str">
        <x:v>40355b29bce094aef0e99358bdfd4011b92e72a54440a67760de4afae4883c33</x:v>
      </x:c>
      <x:c r="O365" t="str">
        <x:v>legacy_common_sample_8902245</x:v>
      </x:c>
      <x:c r="P365" t="str">
        <x:v>factor_report/gtja191_batch/gtja_126/ic_summary.csv</x:v>
      </x:c>
    </x:row>
    <x:row r="366">
      <x:c r="A366" t="str">
        <x:v>gtja_126</x:v>
      </x:c>
      <x:c r="B366" s="50" t="n">
        <x:v>20</x:v>
      </x:c>
      <x:c r="C366" s="30" t="n">
        <x:v>-0.015380521784915257</x:v>
      </x:c>
      <x:c r="D366" s="30" t="n">
        <x:v>0.09457372327626797</x:v>
      </x:c>
      <x:c r="E366" s="30" t="n">
        <x:v>-0.1626299700603497</x:v>
      </x:c>
      <x:c r="F366" s="30" t="n">
        <x:v>-0.05513131510592174</x:v>
      </x:c>
      <x:c r="G366" s="30" t="n">
        <x:v>0.1863625710510884</x:v>
      </x:c>
      <x:c r="H366" s="30" t="n">
        <x:v>-0.2958282599074486</x:v>
      </x:c>
      <x:c r="I366" s="30" t="n">
        <x:v>0.4194851085310449</x:v>
      </x:c>
      <x:c r="J366" s="30" t="n">
        <x:v>0.4270570418980313</x:v>
      </x:c>
      <x:c r="K366" s="19" t="n">
        <x:v>1981</x:v>
      </x:c>
      <x:c r="L366" s="74" t="n">
        <x:v>46210.70792734954</x:v>
      </x:c>
      <x:c r="M366" s="19" t="n">
        <x:v>8902245</x:v>
      </x:c>
      <x:c r="N366" t="str">
        <x:v>40355b29bce094aef0e99358bdfd4011b92e72a54440a67760de4afae4883c33</x:v>
      </x:c>
      <x:c r="O366" t="str">
        <x:v>legacy_common_sample_8902245</x:v>
      </x:c>
      <x:c r="P366" t="str">
        <x:v>factor_report/gtja191_batch/gtja_126/ic_summary.csv</x:v>
      </x:c>
    </x:row>
    <x:row r="367">
      <x:c r="A367" t="str">
        <x:v>gtja_127</x:v>
      </x:c>
      <x:c r="B367" s="50" t="n">
        <x:v>10</x:v>
      </x:c>
      <x:c r="C367" s="30" t="n">
        <x:v>0.0008891976913548112</x:v>
      </x:c>
      <x:c r="D367" s="30" t="n">
        <x:v>0.11628890100863669</x:v>
      </x:c>
      <x:c r="E367" s="30" t="n">
        <x:v>0.007646453648132517</x:v>
      </x:c>
      <x:c r="F367" s="30" t="n">
        <x:v>-0.014248512771221106</x:v>
      </x:c>
      <x:c r="G367" s="30" t="n">
        <x:v>0.15057219371743985</x:v>
      </x:c>
      <x:c r="H367" s="30" t="n">
        <x:v>-0.09462911059102666</x:v>
      </x:c>
      <x:c r="I367" s="30" t="n">
        <x:v>0.4103465595178302</x:v>
      </x:c>
      <x:c r="J367" s="30" t="n">
        <x:v>0.45454545454545453</x:v>
      </x:c>
      <x:c r="K367" s="19" t="n">
        <x:v>1991</x:v>
      </x:c>
      <x:c r="L367" s="74" t="n">
        <x:v>46211.417619583335</x:v>
      </x:c>
      <x:c r="M367" s="19" t="n">
        <x:v>8902245</x:v>
      </x:c>
      <x:c r="N367" t="str">
        <x:v>8f7e606554926462248cbcc654181861438ca768a0063f6b317223ede37d16fb</x:v>
      </x:c>
      <x:c r="O367" t="str">
        <x:v>legacy_common_sample_8902245</x:v>
      </x:c>
      <x:c r="P367" t="str">
        <x:v>factor_report/gtja191_batch/gtja_127/ic_summary.csv</x:v>
      </x:c>
    </x:row>
    <x:row r="368">
      <x:c r="A368" t="str">
        <x:v>gtja_127</x:v>
      </x:c>
      <x:c r="B368" s="50" t="n">
        <x:v>20</x:v>
      </x:c>
      <x:c r="C368" s="30" t="n">
        <x:v>-0.002295997627025129</x:v>
      </x:c>
      <x:c r="D368" s="30" t="n">
        <x:v>0.11225863807460626</x:v>
      </x:c>
      <x:c r="E368" s="30" t="n">
        <x:v>-0.02045274792572511</x:v>
      </x:c>
      <x:c r="F368" s="30" t="n">
        <x:v>-0.018912370048501756</x:v>
      </x:c>
      <x:c r="G368" s="30" t="n">
        <x:v>0.14791666141123277</x:v>
      </x:c>
      <x:c r="H368" s="30" t="n">
        <x:v>-0.1278582809270028</x:v>
      </x:c>
      <x:c r="I368" s="30" t="n">
        <x:v>0.40080767289247854</x:v>
      </x:c>
      <x:c r="J368" s="30" t="n">
        <x:v>0.4563351842503786</x:v>
      </x:c>
      <x:c r="K368" s="19" t="n">
        <x:v>1981</x:v>
      </x:c>
      <x:c r="L368" s="74" t="n">
        <x:v>46211.417619583335</x:v>
      </x:c>
      <x:c r="M368" s="19" t="n">
        <x:v>8902245</x:v>
      </x:c>
      <x:c r="N368" t="str">
        <x:v>8f7e606554926462248cbcc654181861438ca768a0063f6b317223ede37d16fb</x:v>
      </x:c>
      <x:c r="O368" t="str">
        <x:v>legacy_common_sample_8902245</x:v>
      </x:c>
      <x:c r="P368" t="str">
        <x:v>factor_report/gtja191_batch/gtja_127/ic_summary.csv</x:v>
      </x:c>
    </x:row>
    <x:row r="369">
      <x:c r="A369" t="str">
        <x:v>gtja_128</x:v>
      </x:c>
      <x:c r="B369" s="50" t="n">
        <x:v>1</x:v>
      </x:c>
      <x:c r="C369" s="30" t="n">
        <x:v>-0.007915514407803907</x:v>
      </x:c>
      <x:c r="D369" s="30" t="n">
        <x:v>0.1055625840348589</x:v>
      </x:c>
      <x:c r="E369" s="30" t="n">
        <x:v>-0.07498409100321042</x:v>
      </x:c>
      <x:c r="F369" s="30" t="n">
        <x:v>-0.02612050290307155</x:v>
      </x:c>
      <x:c r="G369" s="30" t="n">
        <x:v>0.11913881159965799</x:v>
      </x:c>
      <x:c r="H369" s="30" t="n">
        <x:v>-0.21924427944475597</x:v>
      </x:c>
      <x:c r="I369" s="30" t="n">
        <x:v>0.4125</x:v>
      </x:c>
      <x:c r="J369" s="30" t="n">
        <x:v>0.4725</x:v>
      </x:c>
      <x:c r="K369" s="19" t="n">
        <x:v>2000</x:v>
      </x:c>
      <x:c r="L369" s="74" t="n">
        <x:v>46210.71593150463</x:v>
      </x:c>
      <x:c r="M369" s="19" t="n">
        <x:v>8902245</x:v>
      </x:c>
      <x:c r="N369" t="str">
        <x:v>40355b29bce094aef0e99358bdfd4011b92e72a54440a67760de4afae4883c33</x:v>
      </x:c>
      <x:c r="O369" t="str">
        <x:v>legacy_common_sample_8902245</x:v>
      </x:c>
      <x:c r="P369" t="str">
        <x:v>factor_report/gtja191_batch/gtja_128/ic_summary.csv</x:v>
      </x:c>
    </x:row>
    <x:row r="370">
      <x:c r="A370" t="str">
        <x:v>gtja_128</x:v>
      </x:c>
      <x:c r="B370" s="50" t="n">
        <x:v>5</x:v>
      </x:c>
      <x:c r="C370" s="30" t="n">
        <x:v>-0.011354219416152864</x:v>
      </x:c>
      <x:c r="D370" s="30" t="n">
        <x:v>0.09562487862448761</x:v>
      </x:c>
      <x:c r="E370" s="30" t="n">
        <x:v>-0.11873708578224827</x:v>
      </x:c>
      <x:c r="F370" s="30" t="n">
        <x:v>-0.029563258856496376</x:v>
      </x:c>
      <x:c r="G370" s="30" t="n">
        <x:v>0.11044285158799962</x:v>
      </x:c>
      <x:c r="H370" s="30" t="n">
        <x:v>-0.2676792425351378</x:v>
      </x:c>
      <x:c r="I370" s="30" t="n">
        <x:v>0.38927855711422843</x:v>
      </x:c>
      <x:c r="J370" s="30" t="n">
        <x:v>0.4529058116232465</x:v>
      </x:c>
      <x:c r="K370" s="19" t="n">
        <x:v>1996</x:v>
      </x:c>
      <x:c r="L370" s="74" t="n">
        <x:v>46210.71593150463</x:v>
      </x:c>
      <x:c r="M370" s="19" t="n">
        <x:v>8902245</x:v>
      </x:c>
      <x:c r="N370" t="str">
        <x:v>40355b29bce094aef0e99358bdfd4011b92e72a54440a67760de4afae4883c33</x:v>
      </x:c>
      <x:c r="O370" t="str">
        <x:v>legacy_common_sample_8902245</x:v>
      </x:c>
      <x:c r="P370" t="str">
        <x:v>factor_report/gtja191_batch/gtja_128/ic_summary.csv</x:v>
      </x:c>
    </x:row>
    <x:row r="371">
      <x:c r="A371" t="str">
        <x:v>gtja_128</x:v>
      </x:c>
      <x:c r="B371" s="50" t="n">
        <x:v>10</x:v>
      </x:c>
      <x:c r="C371" s="30" t="n">
        <x:v>-0.013528478648441136</x:v>
      </x:c>
      <x:c r="D371" s="30" t="n">
        <x:v>0.09402399002094897</x:v>
      </x:c>
      <x:c r="E371" s="30" t="n">
        <x:v>-0.14388326474367796</x:v>
      </x:c>
      <x:c r="F371" s="30" t="n">
        <x:v>-0.032949282801604314</x:v>
      </x:c>
      <x:c r="G371" s="30" t="n">
        <x:v>0.10843444644072324</x:v>
      </x:c>
      <x:c r="H371" s="30" t="n">
        <x:v>-0.30386361422167046</x:v>
      </x:c>
      <x:c r="I371" s="30" t="n">
        <x:v>0.38372677046710196</x:v>
      </x:c>
      <x:c r="J371" s="30" t="n">
        <x:v>0.4480160723254646</x:v>
      </x:c>
      <x:c r="K371" s="19" t="n">
        <x:v>1991</x:v>
      </x:c>
      <x:c r="L371" s="74" t="n">
        <x:v>46210.71593150463</x:v>
      </x:c>
      <x:c r="M371" s="19" t="n">
        <x:v>8902245</x:v>
      </x:c>
      <x:c r="N371" t="str">
        <x:v>40355b29bce094aef0e99358bdfd4011b92e72a54440a67760de4afae4883c33</x:v>
      </x:c>
      <x:c r="O371" t="str">
        <x:v>legacy_common_sample_8902245</x:v>
      </x:c>
      <x:c r="P371" t="str">
        <x:v>factor_report/gtja191_batch/gtja_128/ic_summary.csv</x:v>
      </x:c>
    </x:row>
    <x:row r="372">
      <x:c r="A372" t="str">
        <x:v>gtja_128</x:v>
      </x:c>
      <x:c r="B372" s="50" t="n">
        <x:v>20</x:v>
      </x:c>
      <x:c r="C372" s="30" t="n">
        <x:v>-0.018103259969608106</x:v>
      </x:c>
      <x:c r="D372" s="30" t="n">
        <x:v>0.09386641180124991</x:v>
      </x:c>
      <x:c r="E372" s="30" t="n">
        <x:v>-0.1928619579913147</x:v>
      </x:c>
      <x:c r="F372" s="30" t="n">
        <x:v>-0.03950094064651557</x:v>
      </x:c>
      <x:c r="G372" s="30" t="n">
        <x:v>0.10841740380872587</x:v>
      </x:c>
      <x:c r="H372" s="30" t="n">
        <x:v>-0.36434132582813583</x:v>
      </x:c>
      <x:c r="I372" s="30" t="n">
        <x:v>0.358909641595154</x:v>
      </x:c>
      <x:c r="J372" s="30" t="n">
        <x:v>0.42806663301362946</x:v>
      </x:c>
      <x:c r="K372" s="19" t="n">
        <x:v>1981</x:v>
      </x:c>
      <x:c r="L372" s="74" t="n">
        <x:v>46210.71593150463</x:v>
      </x:c>
      <x:c r="M372" s="19" t="n">
        <x:v>8902245</x:v>
      </x:c>
      <x:c r="N372" t="str">
        <x:v>40355b29bce094aef0e99358bdfd4011b92e72a54440a67760de4afae4883c33</x:v>
      </x:c>
      <x:c r="O372" t="str">
        <x:v>legacy_common_sample_8902245</x:v>
      </x:c>
      <x:c r="P372" t="str">
        <x:v>factor_report/gtja191_batch/gtja_128/ic_summary.csv</x:v>
      </x:c>
    </x:row>
    <x:row r="373">
      <x:c r="A373" t="str">
        <x:v>gtja_129</x:v>
      </x:c>
      <x:c r="B373" s="50" t="n">
        <x:v>1</x:v>
      </x:c>
      <x:c r="C373" s="30" t="n">
        <x:v>-0.0027445690453302965</x:v>
      </x:c>
      <x:c r="D373" s="30" t="n">
        <x:v>0.1063939983369739</x:v>
      </x:c>
      <x:c r="E373" s="30" t="n">
        <x:v>-0.025796276935073203</x:v>
      </x:c>
      <x:c r="F373" s="30" t="n">
        <x:v>-0.026014001026110307</x:v>
      </x:c>
      <x:c r="G373" s="30" t="n">
        <x:v>0.18433374390009888</x:v>
      </x:c>
      <x:c r="H373" s="30" t="n">
        <x:v>-0.14112446519943087</x:v>
      </x:c>
      <x:c r="I373" s="30" t="n">
        <x:v>0.4445</x:v>
      </x:c>
      <x:c r="J373" s="30" t="n">
        <x:v>0.485</x:v>
      </x:c>
      <x:c r="K373" s="19" t="n">
        <x:v>2000</x:v>
      </x:c>
      <x:c r="L373" s="74" t="n">
        <x:v>46210.71993697916</x:v>
      </x:c>
      <x:c r="M373" s="19" t="n">
        <x:v>8902245</x:v>
      </x:c>
      <x:c r="N373" t="str">
        <x:v>40355b29bce094aef0e99358bdfd4011b92e72a54440a67760de4afae4883c33</x:v>
      </x:c>
      <x:c r="O373" t="str">
        <x:v>legacy_common_sample_8902245</x:v>
      </x:c>
      <x:c r="P373" t="str">
        <x:v>factor_report/gtja191_batch/gtja_129/ic_summary.csv</x:v>
      </x:c>
    </x:row>
    <x:row r="374">
      <x:c r="A374" t="str">
        <x:v>gtja_129</x:v>
      </x:c>
      <x:c r="B374" s="50" t="n">
        <x:v>5</x:v>
      </x:c>
      <x:c r="C374" s="30" t="n">
        <x:v>-0.00844209098426056</x:v>
      </x:c>
      <x:c r="D374" s="30" t="n">
        <x:v>0.1075569023198372</x:v>
      </x:c>
      <x:c r="E374" s="30" t="n">
        <x:v>-0.07848953253745342</x:v>
      </x:c>
      <x:c r="F374" s="30" t="n">
        <x:v>-0.040516662970927736</x:v>
      </x:c>
      <x:c r="G374" s="30" t="n">
        <x:v>0.18741764953581602</x:v>
      </x:c>
      <x:c r="H374" s="30" t="n">
        <x:v>-0.21618381764618647</x:v>
      </x:c>
      <x:c r="I374" s="30" t="n">
        <x:v>0.4283567134268537</x:v>
      </x:c>
      <x:c r="J374" s="30" t="n">
        <x:v>0.467935871743487</x:v>
      </x:c>
      <x:c r="K374" s="19" t="n">
        <x:v>1996</x:v>
      </x:c>
      <x:c r="L374" s="74" t="n">
        <x:v>46210.71993697916</x:v>
      </x:c>
      <x:c r="M374" s="19" t="n">
        <x:v>8902245</x:v>
      </x:c>
      <x:c r="N374" t="str">
        <x:v>40355b29bce094aef0e99358bdfd4011b92e72a54440a67760de4afae4883c33</x:v>
      </x:c>
      <x:c r="O374" t="str">
        <x:v>legacy_common_sample_8902245</x:v>
      </x:c>
      <x:c r="P374" t="str">
        <x:v>factor_report/gtja191_batch/gtja_129/ic_summary.csv</x:v>
      </x:c>
    </x:row>
    <x:row r="375">
      <x:c r="A375" t="str">
        <x:v>gtja_129</x:v>
      </x:c>
      <x:c r="B375" s="50" t="n">
        <x:v>10</x:v>
      </x:c>
      <x:c r="C375" s="30" t="n">
        <x:v>-0.012417655079050209</x:v>
      </x:c>
      <x:c r="D375" s="30" t="n">
        <x:v>0.11020708035466034</x:v>
      </x:c>
      <x:c r="E375" s="30" t="n">
        <x:v>-0.11267565603851061</x:v>
      </x:c>
      <x:c r="F375" s="30" t="n">
        <x:v>-0.0509041396665654</x:v>
      </x:c>
      <x:c r="G375" s="30" t="n">
        <x:v>0.19094637461516814</x:v>
      </x:c>
      <x:c r="H375" s="30" t="n">
        <x:v>-0.2665886679920329</x:v>
      </x:c>
      <x:c r="I375" s="30" t="n">
        <x:v>0.41285786037167255</x:v>
      </x:c>
      <x:c r="J375" s="30" t="n">
        <x:v>0.4630838774485183</x:v>
      </x:c>
      <x:c r="K375" s="19" t="n">
        <x:v>1991</x:v>
      </x:c>
      <x:c r="L375" s="74" t="n">
        <x:v>46210.71993697916</x:v>
      </x:c>
      <x:c r="M375" s="19" t="n">
        <x:v>8902245</x:v>
      </x:c>
      <x:c r="N375" t="str">
        <x:v>40355b29bce094aef0e99358bdfd4011b92e72a54440a67760de4afae4883c33</x:v>
      </x:c>
      <x:c r="O375" t="str">
        <x:v>legacy_common_sample_8902245</x:v>
      </x:c>
      <x:c r="P375" t="str">
        <x:v>factor_report/gtja191_batch/gtja_129/ic_summary.csv</x:v>
      </x:c>
    </x:row>
    <x:row r="376">
      <x:c r="A376" t="str">
        <x:v>gtja_129</x:v>
      </x:c>
      <x:c r="B376" s="50" t="n">
        <x:v>20</x:v>
      </x:c>
      <x:c r="C376" s="30" t="n">
        <x:v>-0.01703572837594714</x:v>
      </x:c>
      <x:c r="D376" s="30" t="n">
        <x:v>0.11225169877839353</x:v>
      </x:c>
      <x:c r="E376" s="30" t="n">
        <x:v>-0.15176365757794855</x:v>
      </x:c>
      <x:c r="F376" s="30" t="n">
        <x:v>-0.06248063742368558</x:v>
      </x:c>
      <x:c r="G376" s="30" t="n">
        <x:v>0.19097497573467578</x:v>
      </x:c>
      <x:c r="H376" s="30" t="n">
        <x:v>-0.3271666205654651</x:v>
      </x:c>
      <x:c r="I376" s="30" t="n">
        <x:v>0.392226148409894</x:v>
      </x:c>
      <x:c r="J376" s="30" t="n">
        <x:v>0.43715295305401314</x:v>
      </x:c>
      <x:c r="K376" s="19" t="n">
        <x:v>1981</x:v>
      </x:c>
      <x:c r="L376" s="74" t="n">
        <x:v>46210.71993697916</x:v>
      </x:c>
      <x:c r="M376" s="19" t="n">
        <x:v>8902245</x:v>
      </x:c>
      <x:c r="N376" t="str">
        <x:v>40355b29bce094aef0e99358bdfd4011b92e72a54440a67760de4afae4883c33</x:v>
      </x:c>
      <x:c r="O376" t="str">
        <x:v>legacy_common_sample_8902245</x:v>
      </x:c>
      <x:c r="P376" t="str">
        <x:v>factor_report/gtja191_batch/gtja_129/ic_summary.csv</x:v>
      </x:c>
    </x:row>
    <x:row r="377">
      <x:c r="A377" t="str">
        <x:v>gtja_130</x:v>
      </x:c>
      <x:c r="B377" s="50" t="n">
        <x:v>10</x:v>
      </x:c>
      <x:c r="C377" s="30" t="n">
        <x:v>0.0016325517663179202</x:v>
      </x:c>
      <x:c r="D377" s="30" t="n">
        <x:v>0.019482978448676583</x:v>
      </x:c>
      <x:c r="E377" s="30" t="n">
        <x:v>0.08379374696833453</x:v>
      </x:c>
      <x:c r="F377" s="30" t="n">
        <x:v>0.019332473959898393</x:v>
      </x:c>
      <x:c r="G377" s="30" t="n">
        <x:v>0.05693808940221937</x:v>
      </x:c>
      <x:c r="H377" s="30" t="n">
        <x:v>0.33953499604334875</x:v>
      </x:c>
      <x:c r="I377" s="30" t="n">
        <x:v>0.6373681567051733</x:v>
      </x:c>
      <x:c r="J377" s="30" t="n">
        <x:v>0.4972375690607735</x:v>
      </x:c>
      <x:c r="K377" s="19" t="n">
        <x:v>1991</x:v>
      </x:c>
      <x:c r="L377" s="74" t="n">
        <x:v>46211.42025105324</x:v>
      </x:c>
      <x:c r="M377" s="19" t="n">
        <x:v>8902245</x:v>
      </x:c>
      <x:c r="N377" t="str">
        <x:v>8f7e606554926462248cbcc654181861438ca768a0063f6b317223ede37d16fb</x:v>
      </x:c>
      <x:c r="O377" t="str">
        <x:v>legacy_common_sample_8902245</x:v>
      </x:c>
      <x:c r="P377" t="str">
        <x:v>factor_report/gtja191_batch/gtja_130/ic_summary.csv</x:v>
      </x:c>
    </x:row>
    <x:row r="378">
      <x:c r="A378" t="str">
        <x:v>gtja_130</x:v>
      </x:c>
      <x:c r="B378" s="50" t="n">
        <x:v>20</x:v>
      </x:c>
      <x:c r="C378" s="30" t="n">
        <x:v>0.0018013498166453861</x:v>
      </x:c>
      <x:c r="D378" s="30" t="n">
        <x:v>0.018602073746483993</x:v>
      </x:c>
      <x:c r="E378" s="30" t="n">
        <x:v>0.09683596792459025</x:v>
      </x:c>
      <x:c r="F378" s="30" t="n">
        <x:v>0.020724012759167194</x:v>
      </x:c>
      <x:c r="G378" s="30" t="n">
        <x:v>0.05552645919161364</x:v>
      </x:c>
      <x:c r="H378" s="30" t="n">
        <x:v>0.37322770190787197</x:v>
      </x:c>
      <x:c r="I378" s="30" t="n">
        <x:v>0.6567390206966178</x:v>
      </x:c>
      <x:c r="J378" s="30" t="n">
        <x:v>0.5063099444724887</x:v>
      </x:c>
      <x:c r="K378" s="19" t="n">
        <x:v>1981</x:v>
      </x:c>
      <x:c r="L378" s="74" t="n">
        <x:v>46211.42025105324</x:v>
      </x:c>
      <x:c r="M378" s="19" t="n">
        <x:v>8902245</x:v>
      </x:c>
      <x:c r="N378" t="str">
        <x:v>8f7e606554926462248cbcc654181861438ca768a0063f6b317223ede37d16fb</x:v>
      </x:c>
      <x:c r="O378" t="str">
        <x:v>legacy_common_sample_8902245</x:v>
      </x:c>
      <x:c r="P378" t="str">
        <x:v>factor_report/gtja191_batch/gtja_130/ic_summary.csv</x:v>
      </x:c>
    </x:row>
    <x:row r="379">
      <x:c r="A379" t="str">
        <x:v>gtja_131</x:v>
      </x:c>
      <x:c r="B379" s="50" t="n">
        <x:v>10</x:v>
      </x:c>
      <x:c r="C379" s="30" t="n">
        <x:v>-0.000763684481806134</x:v>
      </x:c>
      <x:c r="D379" s="30" t="n">
        <x:v>0.07964213378281013</x:v>
      </x:c>
      <x:c r="E379" s="30" t="n">
        <x:v>-0.009588950540787329</x:v>
      </x:c>
      <x:c r="F379" s="30" t="n">
        <x:v>-0.013333120838158815</x:v>
      </x:c>
      <x:c r="G379" s="30" t="n">
        <x:v>0.09633654628538404</x:v>
      </x:c>
      <x:c r="H379" s="30" t="n">
        <x:v>-0.13840148263838772</x:v>
      </x:c>
      <x:c r="I379" s="30" t="n">
        <x:v>0.4557477110885046</x:v>
      </x:c>
      <x:c r="J379" s="30" t="n">
        <x:v>0.5050864699898271</x:v>
      </x:c>
      <x:c r="K379" s="19" t="n">
        <x:v>1966</x:v>
      </x:c>
      <x:c r="L379" s="74" t="n">
        <x:v>46211.42457349537</x:v>
      </x:c>
      <x:c r="M379" s="19" t="n">
        <x:v>8902245</x:v>
      </x:c>
      <x:c r="N379" t="str">
        <x:v>8f7e606554926462248cbcc654181861438ca768a0063f6b317223ede37d16fb</x:v>
      </x:c>
      <x:c r="O379" t="str">
        <x:v>legacy_common_sample_8902245</x:v>
      </x:c>
      <x:c r="P379" t="str">
        <x:v>factor_report/gtja191_batch/gtja_131/ic_summary.csv</x:v>
      </x:c>
    </x:row>
    <x:row r="380">
      <x:c r="A380" t="str">
        <x:v>gtja_131</x:v>
      </x:c>
      <x:c r="B380" s="50" t="n">
        <x:v>20</x:v>
      </x:c>
      <x:c r="C380" s="30" t="n">
        <x:v>-0.0015775666776282457</x:v>
      </x:c>
      <x:c r="D380" s="30" t="n">
        <x:v>0.08062722869615309</x:v>
      </x:c>
      <x:c r="E380" s="30" t="n">
        <x:v>-0.019566177619391688</x:v>
      </x:c>
      <x:c r="F380" s="30" t="n">
        <x:v>-0.01601436357634598</x:v>
      </x:c>
      <x:c r="G380" s="30" t="n">
        <x:v>0.09665899196007952</x:v>
      </x:c>
      <x:c r="H380" s="30" t="n">
        <x:v>-0.16567898393726233</x:v>
      </x:c>
      <x:c r="I380" s="30" t="n">
        <x:v>0.43098159509202455</x:v>
      </x:c>
      <x:c r="J380" s="30" t="n">
        <x:v>0.49284253578732107</x:v>
      </x:c>
      <x:c r="K380" s="19" t="n">
        <x:v>1956</x:v>
      </x:c>
      <x:c r="L380" s="74" t="n">
        <x:v>46211.42457349537</x:v>
      </x:c>
      <x:c r="M380" s="19" t="n">
        <x:v>8902245</x:v>
      </x:c>
      <x:c r="N380" t="str">
        <x:v>8f7e606554926462248cbcc654181861438ca768a0063f6b317223ede37d16fb</x:v>
      </x:c>
      <x:c r="O380" t="str">
        <x:v>legacy_common_sample_8902245</x:v>
      </x:c>
      <x:c r="P380" t="str">
        <x:v>factor_report/gtja191_batch/gtja_131/ic_summary.csv</x:v>
      </x:c>
    </x:row>
    <x:row r="381">
      <x:c r="A381" t="str">
        <x:v>gtja_132</x:v>
      </x:c>
      <x:c r="B381" s="50" t="n">
        <x:v>1</x:v>
      </x:c>
      <x:c r="C381" s="30" t="n">
        <x:v>-0.007589614799529723</x:v>
      </x:c>
      <x:c r="D381" s="30" t="n">
        <x:v>0.0958077494382709</x:v>
      </x:c>
      <x:c r="E381" s="30" t="n">
        <x:v>-0.07921712851025402</x:v>
      </x:c>
      <x:c r="F381" s="30" t="n">
        <x:v>-0.0400158329627083</x:v>
      </x:c>
      <x:c r="G381" s="30" t="n">
        <x:v>0.15018213885727624</x:v>
      </x:c>
      <x:c r="H381" s="30" t="n">
        <x:v>-0.26644868202827277</x:v>
      </x:c>
      <x:c r="I381" s="30" t="n">
        <x:v>0.3785</x:v>
      </x:c>
      <x:c r="J381" s="30" t="n">
        <x:v>0.4575</x:v>
      </x:c>
      <x:c r="K381" s="19" t="n">
        <x:v>2000</x:v>
      </x:c>
      <x:c r="L381" s="74" t="n">
        <x:v>46210.73378372685</x:v>
      </x:c>
      <x:c r="M381" s="19" t="n">
        <x:v>8902245</x:v>
      </x:c>
      <x:c r="N381" t="str">
        <x:v>40355b29bce094aef0e99358bdfd4011b92e72a54440a67760de4afae4883c33</x:v>
      </x:c>
      <x:c r="O381" t="str">
        <x:v>legacy_common_sample_8902245</x:v>
      </x:c>
      <x:c r="P381" t="str">
        <x:v>factor_report/gtja191_batch/gtja_132/ic_summary.csv</x:v>
      </x:c>
    </x:row>
    <x:row r="382">
      <x:c r="A382" t="str">
        <x:v>gtja_132</x:v>
      </x:c>
      <x:c r="B382" s="50" t="n">
        <x:v>5</x:v>
      </x:c>
      <x:c r="C382" s="30" t="n">
        <x:v>-0.016229769982105808</x:v>
      </x:c>
      <x:c r="D382" s="30" t="n">
        <x:v>0.09733979089490317</x:v>
      </x:c>
      <x:c r="E382" s="30" t="n">
        <x:v>-0.1667331502656394</x:v>
      </x:c>
      <x:c r="F382" s="30" t="n">
        <x:v>-0.06364398186868406</x:v>
      </x:c>
      <x:c r="G382" s="30" t="n">
        <x:v>0.15174736895427485</x:v>
      </x:c>
      <x:c r="H382" s="30" t="n">
        <x:v>-0.419407481706398</x:v>
      </x:c>
      <x:c r="I382" s="30" t="n">
        <x:v>0.3271543086172345</x:v>
      </x:c>
      <x:c r="J382" s="30" t="n">
        <x:v>0.4248496993987976</x:v>
      </x:c>
      <x:c r="K382" s="19" t="n">
        <x:v>1996</x:v>
      </x:c>
      <x:c r="L382" s="74" t="n">
        <x:v>46210.73378372685</x:v>
      </x:c>
      <x:c r="M382" s="19" t="n">
        <x:v>8902245</x:v>
      </x:c>
      <x:c r="N382" t="str">
        <x:v>40355b29bce094aef0e99358bdfd4011b92e72a54440a67760de4afae4883c33</x:v>
      </x:c>
      <x:c r="O382" t="str">
        <x:v>legacy_common_sample_8902245</x:v>
      </x:c>
      <x:c r="P382" t="str">
        <x:v>factor_report/gtja191_batch/gtja_132/ic_summary.csv</x:v>
      </x:c>
    </x:row>
    <x:row r="383">
      <x:c r="A383" t="str">
        <x:v>gtja_132</x:v>
      </x:c>
      <x:c r="B383" s="50" t="n">
        <x:v>10</x:v>
      </x:c>
      <x:c r="C383" s="30" t="n">
        <x:v>-0.020876724380566865</x:v>
      </x:c>
      <x:c r="D383" s="30" t="n">
        <x:v>0.10007485049602273</x:v>
      </x:c>
      <x:c r="E383" s="30" t="n">
        <x:v>-0.20861109736453284</x:v>
      </x:c>
      <x:c r="F383" s="30" t="n">
        <x:v>-0.07790170414028826</x:v>
      </x:c>
      <x:c r="G383" s="30" t="n">
        <x:v>0.15629782605035936</x:v>
      </x:c>
      <x:c r="H383" s="30" t="n">
        <x:v>-0.498418347259598</x:v>
      </x:c>
      <x:c r="I383" s="30" t="n">
        <x:v>0.30135610246107486</x:v>
      </x:c>
      <x:c r="J383" s="30" t="n">
        <x:v>0.3992968357609242</x:v>
      </x:c>
      <x:c r="K383" s="19" t="n">
        <x:v>1991</x:v>
      </x:c>
      <x:c r="L383" s="74" t="n">
        <x:v>46210.73378372685</x:v>
      </x:c>
      <x:c r="M383" s="19" t="n">
        <x:v>8902245</x:v>
      </x:c>
      <x:c r="N383" t="str">
        <x:v>40355b29bce094aef0e99358bdfd4011b92e72a54440a67760de4afae4883c33</x:v>
      </x:c>
      <x:c r="O383" t="str">
        <x:v>legacy_common_sample_8902245</x:v>
      </x:c>
      <x:c r="P383" t="str">
        <x:v>factor_report/gtja191_batch/gtja_132/ic_summary.csv</x:v>
      </x:c>
    </x:row>
    <x:row r="384">
      <x:c r="A384" t="str">
        <x:v>gtja_132</x:v>
      </x:c>
      <x:c r="B384" s="50" t="n">
        <x:v>20</x:v>
      </x:c>
      <x:c r="C384" s="30" t="n">
        <x:v>-0.026727221776275147</x:v>
      </x:c>
      <x:c r="D384" s="30" t="n">
        <x:v>0.10455488766914994</x:v>
      </x:c>
      <x:c r="E384" s="30" t="n">
        <x:v>-0.25562862121615865</x:v>
      </x:c>
      <x:c r="F384" s="30" t="n">
        <x:v>-0.09705993231890751</x:v>
      </x:c>
      <x:c r="G384" s="30" t="n">
        <x:v>0.1631993920248416</x:v>
      </x:c>
      <x:c r="H384" s="30" t="n">
        <x:v>-0.5947321930227131</x:v>
      </x:c>
      <x:c r="I384" s="30" t="n">
        <x:v>0.2670368500757193</x:v>
      </x:c>
      <x:c r="J384" s="30" t="n">
        <x:v>0.3614336193841494</x:v>
      </x:c>
      <x:c r="K384" s="19" t="n">
        <x:v>1981</x:v>
      </x:c>
      <x:c r="L384" s="74" t="n">
        <x:v>46210.73378372685</x:v>
      </x:c>
      <x:c r="M384" s="19" t="n">
        <x:v>8902245</x:v>
      </x:c>
      <x:c r="N384" t="str">
        <x:v>40355b29bce094aef0e99358bdfd4011b92e72a54440a67760de4afae4883c33</x:v>
      </x:c>
      <x:c r="O384" t="str">
        <x:v>legacy_common_sample_8902245</x:v>
      </x:c>
      <x:c r="P384" t="str">
        <x:v>factor_report/gtja191_batch/gtja_132/ic_summary.csv</x:v>
      </x:c>
    </x:row>
    <x:row r="385">
      <x:c r="A385" t="str">
        <x:v>gtja_133</x:v>
      </x:c>
      <x:c r="B385" s="50" t="n">
        <x:v>1</x:v>
      </x:c>
      <x:c r="C385" s="30" t="n">
        <x:v>-0.008331753294840667</x:v>
      </x:c>
      <x:c r="D385" s="30" t="n">
        <x:v>0.11003127214256246</x:v>
      </x:c>
      <x:c r="E385" s="30" t="n">
        <x:v>-0.07572168468656434</x:v>
      </x:c>
      <x:c r="F385" s="30" t="n">
        <x:v>-0.025732485756695758</x:v>
      </x:c>
      <x:c r="G385" s="30" t="n">
        <x:v>0.12275446187229097</x:v>
      </x:c>
      <x:c r="H385" s="30" t="n">
        <x:v>-0.20962566544804578</x:v>
      </x:c>
      <x:c r="I385" s="30" t="n">
        <x:v>0.4025</x:v>
      </x:c>
      <x:c r="J385" s="30" t="n">
        <x:v>0.4685</x:v>
      </x:c>
      <x:c r="K385" s="19" t="n">
        <x:v>2000</x:v>
      </x:c>
      <x:c r="L385" s="74" t="n">
        <x:v>46210.73796425926</x:v>
      </x:c>
      <x:c r="M385" s="19" t="n">
        <x:v>8902245</x:v>
      </x:c>
      <x:c r="N385" t="str">
        <x:v>40355b29bce094aef0e99358bdfd4011b92e72a54440a67760de4afae4883c33</x:v>
      </x:c>
      <x:c r="O385" t="str">
        <x:v>legacy_common_sample_8902245</x:v>
      </x:c>
      <x:c r="P385" t="str">
        <x:v>factor_report/gtja191_batch/gtja_133/ic_summary.csv</x:v>
      </x:c>
    </x:row>
    <x:row r="386">
      <x:c r="A386" t="str">
        <x:v>gtja_133</x:v>
      </x:c>
      <x:c r="B386" s="50" t="n">
        <x:v>5</x:v>
      </x:c>
      <x:c r="C386" s="30" t="n">
        <x:v>-0.017181223311087495</x:v>
      </x:c>
      <x:c r="D386" s="30" t="n">
        <x:v>0.1002953568414472</x:v>
      </x:c>
      <x:c r="E386" s="30" t="n">
        <x:v>-0.17130626832754164</x:v>
      </x:c>
      <x:c r="F386" s="30" t="n">
        <x:v>-0.03565714629846609</x:v>
      </x:c>
      <x:c r="G386" s="30" t="n">
        <x:v>0.11301392384298777</x:v>
      </x:c>
      <x:c r="H386" s="30" t="n">
        <x:v>-0.31551109001405164</x:v>
      </x:c>
      <x:c r="I386" s="30" t="n">
        <x:v>0.375751503006012</x:v>
      </x:c>
      <x:c r="J386" s="30" t="n">
        <x:v>0.4393787575150301</x:v>
      </x:c>
      <x:c r="K386" s="19" t="n">
        <x:v>1996</x:v>
      </x:c>
      <x:c r="L386" s="74" t="n">
        <x:v>46210.73796425926</x:v>
      </x:c>
      <x:c r="M386" s="19" t="n">
        <x:v>8902245</x:v>
      </x:c>
      <x:c r="N386" t="str">
        <x:v>40355b29bce094aef0e99358bdfd4011b92e72a54440a67760de4afae4883c33</x:v>
      </x:c>
      <x:c r="O386" t="str">
        <x:v>legacy_common_sample_8902245</x:v>
      </x:c>
      <x:c r="P386" t="str">
        <x:v>factor_report/gtja191_batch/gtja_133/ic_summary.csv</x:v>
      </x:c>
    </x:row>
    <x:row r="387">
      <x:c r="A387" t="str">
        <x:v>gtja_133</x:v>
      </x:c>
      <x:c r="B387" s="50" t="n">
        <x:v>10</x:v>
      </x:c>
      <x:c r="C387" s="30" t="n">
        <x:v>-0.02139512022640017</x:v>
      </x:c>
      <x:c r="D387" s="30" t="n">
        <x:v>0.09909140413592757</x:v>
      </x:c>
      <x:c r="E387" s="30" t="n">
        <x:v>-0.21591297865808465</x:v>
      </x:c>
      <x:c r="F387" s="30" t="n">
        <x:v>-0.04084182012441402</x:v>
      </x:c>
      <x:c r="G387" s="30" t="n">
        <x:v>0.11138627748381413</x:v>
      </x:c>
      <x:c r="H387" s="30" t="n">
        <x:v>-0.3666683279755791</x:v>
      </x:c>
      <x:c r="I387" s="30" t="n">
        <x:v>0.3616273229532898</x:v>
      </x:c>
      <x:c r="J387" s="30" t="n">
        <x:v>0.4294324460070316</x:v>
      </x:c>
      <x:c r="K387" s="19" t="n">
        <x:v>1991</x:v>
      </x:c>
      <x:c r="L387" s="74" t="n">
        <x:v>46210.73796425926</x:v>
      </x:c>
      <x:c r="M387" s="19" t="n">
        <x:v>8902245</x:v>
      </x:c>
      <x:c r="N387" t="str">
        <x:v>40355b29bce094aef0e99358bdfd4011b92e72a54440a67760de4afae4883c33</x:v>
      </x:c>
      <x:c r="O387" t="str">
        <x:v>legacy_common_sample_8902245</x:v>
      </x:c>
      <x:c r="P387" t="str">
        <x:v>factor_report/gtja191_batch/gtja_133/ic_summary.csv</x:v>
      </x:c>
    </x:row>
    <x:row r="388">
      <x:c r="A388" t="str">
        <x:v>gtja_133</x:v>
      </x:c>
      <x:c r="B388" s="50" t="n">
        <x:v>20</x:v>
      </x:c>
      <x:c r="C388" s="30" t="n">
        <x:v>-0.025032666612662076</x:v>
      </x:c>
      <x:c r="D388" s="30" t="n">
        <x:v>0.09983928546940653</x:v>
      </x:c>
      <x:c r="E388" s="30" t="n">
        <x:v>-0.25072962506660534</x:v>
      </x:c>
      <x:c r="F388" s="30" t="n">
        <x:v>-0.04540233891489587</x:v>
      </x:c>
      <x:c r="G388" s="30" t="n">
        <x:v>0.11247178586177452</x:v>
      </x:c>
      <x:c r="H388" s="30" t="n">
        <x:v>-0.40367758515628444</x:v>
      </x:c>
      <x:c r="I388" s="30" t="n">
        <x:v>0.3528520949015649</x:v>
      </x:c>
      <x:c r="J388" s="30" t="n">
        <x:v>0.40636042402826855</x:v>
      </x:c>
      <x:c r="K388" s="19" t="n">
        <x:v>1981</x:v>
      </x:c>
      <x:c r="L388" s="74" t="n">
        <x:v>46210.73796425926</x:v>
      </x:c>
      <x:c r="M388" s="19" t="n">
        <x:v>8902245</x:v>
      </x:c>
      <x:c r="N388" t="str">
        <x:v>40355b29bce094aef0e99358bdfd4011b92e72a54440a67760de4afae4883c33</x:v>
      </x:c>
      <x:c r="O388" t="str">
        <x:v>legacy_common_sample_8902245</x:v>
      </x:c>
      <x:c r="P388" t="str">
        <x:v>factor_report/gtja191_batch/gtja_133/ic_summary.csv</x:v>
      </x:c>
    </x:row>
    <x:row r="389">
      <x:c r="A389" t="str">
        <x:v>gtja_134</x:v>
      </x:c>
      <x:c r="B389" s="50" t="n">
        <x:v>1</x:v>
      </x:c>
      <x:c r="C389" s="30" t="n">
        <x:v>-0.016491744495058903</x:v>
      </x:c>
      <x:c r="D389" s="30" t="n">
        <x:v>0.08099066788581304</x:v>
      </x:c>
      <x:c r="E389" s="30" t="n">
        <x:v>-0.20362524381587088</x:v>
      </x:c>
      <x:c r="F389" s="30" t="n">
        <x:v>-0.029488529845635405</x:v>
      </x:c>
      <x:c r="G389" s="30" t="n">
        <x:v>0.1253878288436997</x:v>
      </x:c>
      <x:c r="H389" s="30" t="n">
        <x:v>-0.2351785665129738</x:v>
      </x:c>
      <x:c r="I389" s="30" t="n">
        <x:v>0.4075</x:v>
      </x:c>
      <x:c r="J389" s="30" t="n">
        <x:v>0.412</x:v>
      </x:c>
      <x:c r="K389" s="19" t="n">
        <x:v>2000</x:v>
      </x:c>
      <x:c r="L389" s="74" t="n">
        <x:v>46210.74197935185</x:v>
      </x:c>
      <x:c r="M389" s="19" t="n">
        <x:v>8902245</x:v>
      </x:c>
      <x:c r="N389" t="str">
        <x:v>40355b29bce094aef0e99358bdfd4011b92e72a54440a67760de4afae4883c33</x:v>
      </x:c>
      <x:c r="O389" t="str">
        <x:v>legacy_common_sample_8902245</x:v>
      </x:c>
      <x:c r="P389" t="str">
        <x:v>factor_report/gtja191_batch/gtja_134/ic_summary.csv</x:v>
      </x:c>
    </x:row>
    <x:row r="390">
      <x:c r="A390" t="str">
        <x:v>gtja_134</x:v>
      </x:c>
      <x:c r="B390" s="50" t="n">
        <x:v>5</x:v>
      </x:c>
      <x:c r="C390" s="30" t="n">
        <x:v>-0.029122360950264457</x:v>
      </x:c>
      <x:c r="D390" s="30" t="n">
        <x:v>0.0736647078088419</x:v>
      </x:c>
      <x:c r="E390" s="30" t="n">
        <x:v>-0.39533667907617664</x:v>
      </x:c>
      <x:c r="F390" s="30" t="n">
        <x:v>-0.03918308328877937</x:v>
      </x:c>
      <x:c r="G390" s="30" t="n">
        <x:v>0.11489045156386428</x:v>
      </x:c>
      <x:c r="H390" s="30" t="n">
        <x:v>-0.3410473434078081</x:v>
      </x:c>
      <x:c r="I390" s="30" t="n">
        <x:v>0.3692384769539078</x:v>
      </x:c>
      <x:c r="J390" s="30" t="n">
        <x:v>0.3376753507014028</x:v>
      </x:c>
      <x:c r="K390" s="19" t="n">
        <x:v>1996</x:v>
      </x:c>
      <x:c r="L390" s="74" t="n">
        <x:v>46210.74197935185</x:v>
      </x:c>
      <x:c r="M390" s="19" t="n">
        <x:v>8902245</x:v>
      </x:c>
      <x:c r="N390" t="str">
        <x:v>40355b29bce094aef0e99358bdfd4011b92e72a54440a67760de4afae4883c33</x:v>
      </x:c>
      <x:c r="O390" t="str">
        <x:v>legacy_common_sample_8902245</x:v>
      </x:c>
      <x:c r="P390" t="str">
        <x:v>factor_report/gtja191_batch/gtja_134/ic_summary.csv</x:v>
      </x:c>
    </x:row>
    <x:row r="391">
      <x:c r="A391" t="str">
        <x:v>gtja_134</x:v>
      </x:c>
      <x:c r="B391" s="50" t="n">
        <x:v>10</x:v>
      </x:c>
      <x:c r="C391" s="30" t="n">
        <x:v>-0.031779472250284636</x:v>
      </x:c>
      <x:c r="D391" s="30" t="n">
        <x:v>0.06744550369785339</x:v>
      </x:c>
      <x:c r="E391" s="30" t="n">
        <x:v>-0.47118741069311776</x:v>
      </x:c>
      <x:c r="F391" s="30" t="n">
        <x:v>-0.04263355463572557</x:v>
      </x:c>
      <x:c r="G391" s="30" t="n">
        <x:v>0.10739210958136389</x:v>
      </x:c>
      <x:c r="H391" s="30" t="n">
        <x:v>-0.3969896373385323</x:v>
      </x:c>
      <x:c r="I391" s="30" t="n">
        <x:v>0.3510798593671522</x:v>
      </x:c>
      <x:c r="J391" s="30" t="n">
        <x:v>0.30939226519337015</x:v>
      </x:c>
      <x:c r="K391" s="19" t="n">
        <x:v>1991</x:v>
      </x:c>
      <x:c r="L391" s="74" t="n">
        <x:v>46210.74197935185</x:v>
      </x:c>
      <x:c r="M391" s="19" t="n">
        <x:v>8902245</x:v>
      </x:c>
      <x:c r="N391" t="str">
        <x:v>40355b29bce094aef0e99358bdfd4011b92e72a54440a67760de4afae4883c33</x:v>
      </x:c>
      <x:c r="O391" t="str">
        <x:v>legacy_common_sample_8902245</x:v>
      </x:c>
      <x:c r="P391" t="str">
        <x:v>factor_report/gtja191_batch/gtja_134/ic_summary.csv</x:v>
      </x:c>
    </x:row>
    <x:row r="392">
      <x:c r="A392" t="str">
        <x:v>gtja_134</x:v>
      </x:c>
      <x:c r="B392" s="50" t="n">
        <x:v>20</x:v>
      </x:c>
      <x:c r="C392" s="30" t="n">
        <x:v>-0.03483971241225392</x:v>
      </x:c>
      <x:c r="D392" s="30" t="n">
        <x:v>0.06234300577892518</x:v>
      </x:c>
      <x:c r="E392" s="30" t="n">
        <x:v>-0.5588391508712169</x:v>
      </x:c>
      <x:c r="F392" s="30" t="n">
        <x:v>-0.04812829792905713</x:v>
      </x:c>
      <x:c r="G392" s="30" t="n">
        <x:v>0.1093001474679385</x:v>
      </x:c>
      <x:c r="H392" s="30" t="n">
        <x:v>-0.4403315004051099</x:v>
      </x:c>
      <x:c r="I392" s="30" t="n">
        <x:v>0.3336698637051994</x:v>
      </x:c>
      <x:c r="J392" s="30" t="n">
        <x:v>0.2756183745583039</x:v>
      </x:c>
      <x:c r="K392" s="19" t="n">
        <x:v>1981</x:v>
      </x:c>
      <x:c r="L392" s="74" t="n">
        <x:v>46210.74197935185</x:v>
      </x:c>
      <x:c r="M392" s="19" t="n">
        <x:v>8902245</x:v>
      </x:c>
      <x:c r="N392" t="str">
        <x:v>40355b29bce094aef0e99358bdfd4011b92e72a54440a67760de4afae4883c33</x:v>
      </x:c>
      <x:c r="O392" t="str">
        <x:v>legacy_common_sample_8902245</x:v>
      </x:c>
      <x:c r="P392" t="str">
        <x:v>factor_report/gtja191_batch/gtja_134/ic_summary.csv</x:v>
      </x:c>
    </x:row>
    <x:row r="393">
      <x:c r="A393" t="str">
        <x:v>gtja_135</x:v>
      </x:c>
      <x:c r="B393" s="50" t="n">
        <x:v>1</x:v>
      </x:c>
      <x:c r="C393" s="30" t="n">
        <x:v>-0.011004437969121924</x:v>
      </x:c>
      <x:c r="D393" s="30" t="n">
        <x:v>0.13965706334648828</x:v>
      </x:c>
      <x:c r="E393" s="30" t="n">
        <x:v>-0.07879614324855151</x:v>
      </x:c>
      <x:c r="F393" s="30" t="n">
        <x:v>-0.0271013404194672</x:v>
      </x:c>
      <x:c r="G393" s="30" t="n">
        <x:v>0.1602785053973359</x:v>
      </x:c>
      <x:c r="H393" s="30" t="n">
        <x:v>-0.16908905128783205</x:v>
      </x:c>
      <x:c r="I393" s="30" t="n">
        <x:v>0.4275</x:v>
      </x:c>
      <x:c r="J393" s="30" t="n">
        <x:v>0.464</x:v>
      </x:c>
      <x:c r="K393" s="19" t="n">
        <x:v>2000</x:v>
      </x:c>
      <x:c r="L393" s="74" t="n">
        <x:v>46210.7465330787</x:v>
      </x:c>
      <x:c r="M393" s="19" t="n">
        <x:v>8902245</x:v>
      </x:c>
      <x:c r="N393" t="str">
        <x:v>40355b29bce094aef0e99358bdfd4011b92e72a54440a67760de4afae4883c33</x:v>
      </x:c>
      <x:c r="O393" t="str">
        <x:v>legacy_common_sample_8902245</x:v>
      </x:c>
      <x:c r="P393" t="str">
        <x:v>factor_report/gtja191_batch/gtja_135/ic_summary.csv</x:v>
      </x:c>
    </x:row>
    <x:row r="394">
      <x:c r="A394" t="str">
        <x:v>gtja_135</x:v>
      </x:c>
      <x:c r="B394" s="50" t="n">
        <x:v>5</x:v>
      </x:c>
      <x:c r="C394" s="30" t="n">
        <x:v>-0.023898148126934606</x:v>
      </x:c>
      <x:c r="D394" s="30" t="n">
        <x:v>0.13169967225997442</x:v>
      </x:c>
      <x:c r="E394" s="30" t="n">
        <x:v>-0.18145943506799161</x:v>
      </x:c>
      <x:c r="F394" s="30" t="n">
        <x:v>-0.0456536266840207</x:v>
      </x:c>
      <x:c r="G394" s="30" t="n">
        <x:v>0.1502153548533713</x:v>
      </x:c>
      <x:c r="H394" s="30" t="n">
        <x:v>-0.303921171897402</x:v>
      </x:c>
      <x:c r="I394" s="30" t="n">
        <x:v>0.39629258517034066</x:v>
      </x:c>
      <x:c r="J394" s="30" t="n">
        <x:v>0.43286573146292584</x:v>
      </x:c>
      <x:c r="K394" s="19" t="n">
        <x:v>1996</x:v>
      </x:c>
      <x:c r="L394" s="74" t="n">
        <x:v>46210.7465330787</x:v>
      </x:c>
      <x:c r="M394" s="19" t="n">
        <x:v>8902245</x:v>
      </x:c>
      <x:c r="N394" t="str">
        <x:v>40355b29bce094aef0e99358bdfd4011b92e72a54440a67760de4afae4883c33</x:v>
      </x:c>
      <x:c r="O394" t="str">
        <x:v>legacy_common_sample_8902245</x:v>
      </x:c>
      <x:c r="P394" t="str">
        <x:v>factor_report/gtja191_batch/gtja_135/ic_summary.csv</x:v>
      </x:c>
    </x:row>
    <x:row r="395">
      <x:c r="A395" t="str">
        <x:v>gtja_135</x:v>
      </x:c>
      <x:c r="B395" s="50" t="n">
        <x:v>10</x:v>
      </x:c>
      <x:c r="C395" s="30" t="n">
        <x:v>-0.03012833026546205</x:v>
      </x:c>
      <x:c r="D395" s="30" t="n">
        <x:v>0.12916463033752923</x:v>
      </x:c>
      <x:c r="E395" s="30" t="n">
        <x:v>-0.23325526645128453</x:v>
      </x:c>
      <x:c r="F395" s="30" t="n">
        <x:v>-0.05522083927672666</x:v>
      </x:c>
      <x:c r="G395" s="30" t="n">
        <x:v>0.14657356879982103</x:v>
      </x:c>
      <x:c r="H395" s="30" t="n">
        <x:v>-0.3767448642268038</x:v>
      </x:c>
      <x:c r="I395" s="30" t="n">
        <x:v>0.3676544450025113</x:v>
      </x:c>
      <x:c r="J395" s="30" t="n">
        <x:v>0.40733299849321947</x:v>
      </x:c>
      <x:c r="K395" s="19" t="n">
        <x:v>1991</x:v>
      </x:c>
      <x:c r="L395" s="74" t="n">
        <x:v>46210.7465330787</x:v>
      </x:c>
      <x:c r="M395" s="19" t="n">
        <x:v>8902245</x:v>
      </x:c>
      <x:c r="N395" t="str">
        <x:v>40355b29bce094aef0e99358bdfd4011b92e72a54440a67760de4afae4883c33</x:v>
      </x:c>
      <x:c r="O395" t="str">
        <x:v>legacy_common_sample_8902245</x:v>
      </x:c>
      <x:c r="P395" t="str">
        <x:v>factor_report/gtja191_batch/gtja_135/ic_summary.csv</x:v>
      </x:c>
    </x:row>
    <x:row r="396">
      <x:c r="A396" t="str">
        <x:v>gtja_135</x:v>
      </x:c>
      <x:c r="B396" s="50" t="n">
        <x:v>20</x:v>
      </x:c>
      <x:c r="C396" s="30" t="n">
        <x:v>-0.034791335530482234</x:v>
      </x:c>
      <x:c r="D396" s="30" t="n">
        <x:v>0.12913520563858746</x:v>
      </x:c>
      <x:c r="E396" s="30" t="n">
        <x:v>-0.269417896989712</x:v>
      </x:c>
      <x:c r="F396" s="30" t="n">
        <x:v>-0.06280560668826968</x:v>
      </x:c>
      <x:c r="G396" s="30" t="n">
        <x:v>0.14687649250408932</x:v>
      </x:c>
      <x:c r="H396" s="30" t="n">
        <x:v>-0.42760829604179884</x:v>
      </x:c>
      <x:c r="I396" s="30" t="n">
        <x:v>0.3493185259969712</x:v>
      </x:c>
      <x:c r="J396" s="30" t="n">
        <x:v>0.38869257950530034</x:v>
      </x:c>
      <x:c r="K396" s="19" t="n">
        <x:v>1981</x:v>
      </x:c>
      <x:c r="L396" s="74" t="n">
        <x:v>46210.7465330787</x:v>
      </x:c>
      <x:c r="M396" s="19" t="n">
        <x:v>8902245</x:v>
      </x:c>
      <x:c r="N396" t="str">
        <x:v>40355b29bce094aef0e99358bdfd4011b92e72a54440a67760de4afae4883c33</x:v>
      </x:c>
      <x:c r="O396" t="str">
        <x:v>legacy_common_sample_8902245</x:v>
      </x:c>
      <x:c r="P396" t="str">
        <x:v>factor_report/gtja191_batch/gtja_135/ic_summary.csv</x:v>
      </x:c>
    </x:row>
    <x:row r="397">
      <x:c r="A397" t="str">
        <x:v>gtja_136</x:v>
      </x:c>
      <x:c r="B397" s="50" t="n">
        <x:v>10</x:v>
      </x:c>
      <x:c r="C397" s="30" t="n">
        <x:v>0.017253119940112763</x:v>
      </x:c>
      <x:c r="D397" s="30" t="n">
        <x:v>0.06199215617291707</x:v>
      </x:c>
      <x:c r="E397" s="30" t="n">
        <x:v>0.27831133816329895</x:v>
      </x:c>
      <x:c r="F397" s="30" t="n">
        <x:v>0.022192194068804304</x:v>
      </x:c>
      <x:c r="G397" s="30" t="n">
        <x:v>0.07372370694543334</x:v>
      </x:c>
      <x:c r="H397" s="30" t="n">
        <x:v>0.301018423900332</x:v>
      </x:c>
      <x:c r="I397" s="30" t="n">
        <x:v>0.6328478151682572</x:v>
      </x:c>
      <x:c r="J397" s="30" t="n">
        <x:v>0.6092415871421396</x:v>
      </x:c>
      <x:c r="K397" s="19" t="n">
        <x:v>1991</x:v>
      </x:c>
      <x:c r="L397" s="74" t="n">
        <x:v>46211.42709479167</x:v>
      </x:c>
      <x:c r="M397" s="19" t="n">
        <x:v>8902245</x:v>
      </x:c>
      <x:c r="N397" t="str">
        <x:v>8f7e606554926462248cbcc654181861438ca768a0063f6b317223ede37d16fb</x:v>
      </x:c>
      <x:c r="O397" t="str">
        <x:v>legacy_common_sample_8902245</x:v>
      </x:c>
      <x:c r="P397" t="str">
        <x:v>factor_report/gtja191_batch/gtja_136/ic_summary.csv</x:v>
      </x:c>
    </x:row>
    <x:row r="398">
      <x:c r="A398" t="str">
        <x:v>gtja_136</x:v>
      </x:c>
      <x:c r="B398" s="50" t="n">
        <x:v>20</x:v>
      </x:c>
      <x:c r="C398" s="30" t="n">
        <x:v>0.020172640653936254</x:v>
      </x:c>
      <x:c r="D398" s="30" t="n">
        <x:v>0.06023288565523315</x:v>
      </x:c>
      <x:c r="E398" s="30" t="n">
        <x:v>0.3349107457577639</x:v>
      </x:c>
      <x:c r="F398" s="30" t="n">
        <x:v>0.027085990344603763</x:v>
      </x:c>
      <x:c r="G398" s="30" t="n">
        <x:v>0.07234314056502635</x:v>
      </x:c>
      <x:c r="H398" s="30" t="n">
        <x:v>0.37440993206891887</x:v>
      </x:c>
      <x:c r="I398" s="30" t="n">
        <x:v>0.6653205451792025</x:v>
      </x:c>
      <x:c r="J398" s="30" t="n">
        <x:v>0.6451287228672388</x:v>
      </x:c>
      <x:c r="K398" s="19" t="n">
        <x:v>1981</x:v>
      </x:c>
      <x:c r="L398" s="74" t="n">
        <x:v>46211.42709479167</x:v>
      </x:c>
      <x:c r="M398" s="19" t="n">
        <x:v>8902245</x:v>
      </x:c>
      <x:c r="N398" t="str">
        <x:v>8f7e606554926462248cbcc654181861438ca768a0063f6b317223ede37d16fb</x:v>
      </x:c>
      <x:c r="O398" t="str">
        <x:v>legacy_common_sample_8902245</x:v>
      </x:c>
      <x:c r="P398" t="str">
        <x:v>factor_report/gtja191_batch/gtja_136/ic_summary.csv</x:v>
      </x:c>
    </x:row>
    <x:row r="399">
      <x:c r="A399" t="str">
        <x:v>gtja_137</x:v>
      </x:c>
      <x:c r="B399" s="50" t="n">
        <x:v>1</x:v>
      </x:c>
      <x:c r="C399" s="30" t="n">
        <x:v>-0.006441513869083306</x:v>
      </x:c>
      <x:c r="D399" s="30" t="n">
        <x:v>0.08198370084596461</x:v>
      </x:c>
      <x:c r="E399" s="30" t="n">
        <x:v>-0.07857066468841128</x:v>
      </x:c>
      <x:c r="F399" s="30" t="n">
        <x:v>-0.023086031715358998</x:v>
      </x:c>
      <x:c r="G399" s="30" t="n">
        <x:v>0.13412611117621895</x:v>
      </x:c>
      <x:c r="H399" s="30" t="n">
        <x:v>-0.17212183006653992</x:v>
      </x:c>
      <x:c r="I399" s="30" t="n">
        <x:v>0.4185</x:v>
      </x:c>
      <x:c r="J399" s="30" t="n">
        <x:v>0.471</x:v>
      </x:c>
      <x:c r="K399" s="19" t="n">
        <x:v>2000</x:v>
      </x:c>
      <x:c r="L399" s="74" t="n">
        <x:v>46210.75457434028</x:v>
      </x:c>
      <x:c r="M399" s="19" t="n">
        <x:v>8902245</x:v>
      </x:c>
      <x:c r="N399" t="str">
        <x:v>40355b29bce094aef0e99358bdfd4011b92e72a54440a67760de4afae4883c33</x:v>
      </x:c>
      <x:c r="O399" t="str">
        <x:v>legacy_common_sample_8902245</x:v>
      </x:c>
      <x:c r="P399" t="str">
        <x:v>factor_report/gtja191_batch/gtja_137/ic_summary.csv</x:v>
      </x:c>
    </x:row>
    <x:row r="400">
      <x:c r="A400" t="str">
        <x:v>gtja_137</x:v>
      </x:c>
      <x:c r="B400" s="50" t="n">
        <x:v>5</x:v>
      </x:c>
      <x:c r="C400" s="30" t="n">
        <x:v>-0.01266051186797978</x:v>
      </x:c>
      <x:c r="D400" s="30" t="n">
        <x:v>0.07605474284505341</x:v>
      </x:c>
      <x:c r="E400" s="30" t="n">
        <x:v>-0.16646577707550841</x:v>
      </x:c>
      <x:c r="F400" s="30" t="n">
        <x:v>-0.024155270959396073</x:v>
      </x:c>
      <x:c r="G400" s="30" t="n">
        <x:v>0.1250716136636533</x:v>
      </x:c>
      <x:c r="H400" s="30" t="n">
        <x:v>-0.1931315208289806</x:v>
      </x:c>
      <x:c r="I400" s="30" t="n">
        <x:v>0.4273547094188377</x:v>
      </x:c>
      <x:c r="J400" s="30" t="n">
        <x:v>0.44138276553106215</x:v>
      </x:c>
      <x:c r="K400" s="19" t="n">
        <x:v>1996</x:v>
      </x:c>
      <x:c r="L400" s="74" t="n">
        <x:v>46210.75457434028</x:v>
      </x:c>
      <x:c r="M400" s="19" t="n">
        <x:v>8902245</x:v>
      </x:c>
      <x:c r="N400" t="str">
        <x:v>40355b29bce094aef0e99358bdfd4011b92e72a54440a67760de4afae4883c33</x:v>
      </x:c>
      <x:c r="O400" t="str">
        <x:v>legacy_common_sample_8902245</x:v>
      </x:c>
      <x:c r="P400" t="str">
        <x:v>factor_report/gtja191_batch/gtja_137/ic_summary.csv</x:v>
      </x:c>
    </x:row>
    <x:row r="401">
      <x:c r="A401" t="str">
        <x:v>gtja_137</x:v>
      </x:c>
      <x:c r="B401" s="50" t="n">
        <x:v>10</x:v>
      </x:c>
      <x:c r="C401" s="30" t="n">
        <x:v>-0.012399249644595468</x:v>
      </x:c>
      <x:c r="D401" s="30" t="n">
        <x:v>0.07395528536507322</x:v>
      </x:c>
      <x:c r="E401" s="30" t="n">
        <x:v>-0.1676587357264292</x:v>
      </x:c>
      <x:c r="F401" s="30" t="n">
        <x:v>-0.0224102167539663</x:v>
      </x:c>
      <x:c r="G401" s="30" t="n">
        <x:v>0.12250447345976026</x:v>
      </x:c>
      <x:c r="H401" s="30" t="n">
        <x:v>-0.18293386454436303</x:v>
      </x:c>
      <x:c r="I401" s="30" t="n">
        <x:v>0.4339527875439478</x:v>
      </x:c>
      <x:c r="J401" s="30" t="n">
        <x:v>0.44299347061778</x:v>
      </x:c>
      <x:c r="K401" s="19" t="n">
        <x:v>1991</x:v>
      </x:c>
      <x:c r="L401" s="74" t="n">
        <x:v>46210.75457434028</x:v>
      </x:c>
      <x:c r="M401" s="19" t="n">
        <x:v>8902245</x:v>
      </x:c>
      <x:c r="N401" t="str">
        <x:v>40355b29bce094aef0e99358bdfd4011b92e72a54440a67760de4afae4883c33</x:v>
      </x:c>
      <x:c r="O401" t="str">
        <x:v>legacy_common_sample_8902245</x:v>
      </x:c>
      <x:c r="P401" t="str">
        <x:v>factor_report/gtja191_batch/gtja_137/ic_summary.csv</x:v>
      </x:c>
    </x:row>
    <x:row r="402">
      <x:c r="A402" t="str">
        <x:v>gtja_137</x:v>
      </x:c>
      <x:c r="B402" s="50" t="n">
        <x:v>20</x:v>
      </x:c>
      <x:c r="C402" s="30" t="n">
        <x:v>-0.013691631436601528</x:v>
      </x:c>
      <x:c r="D402" s="30" t="n">
        <x:v>0.07407310380198517</x:v>
      </x:c>
      <x:c r="E402" s="30" t="n">
        <x:v>-0.18483944554561232</x:v>
      </x:c>
      <x:c r="F402" s="30" t="n">
        <x:v>-0.025883364402236844</x:v>
      </x:c>
      <x:c r="G402" s="30" t="n">
        <x:v>0.12012101145116241</x:v>
      </x:c>
      <x:c r="H402" s="30" t="n">
        <x:v>-0.21547740973493418</x:v>
      </x:c>
      <x:c r="I402" s="30" t="n">
        <x:v>0.4114083796062595</x:v>
      </x:c>
      <x:c r="J402" s="30" t="n">
        <x:v>0.4154467440686522</x:v>
      </x:c>
      <x:c r="K402" s="19" t="n">
        <x:v>1981</x:v>
      </x:c>
      <x:c r="L402" s="74" t="n">
        <x:v>46210.75457434028</x:v>
      </x:c>
      <x:c r="M402" s="19" t="n">
        <x:v>8902245</x:v>
      </x:c>
      <x:c r="N402" t="str">
        <x:v>40355b29bce094aef0e99358bdfd4011b92e72a54440a67760de4afae4883c33</x:v>
      </x:c>
      <x:c r="O402" t="str">
        <x:v>legacy_common_sample_8902245</x:v>
      </x:c>
      <x:c r="P402" t="str">
        <x:v>factor_report/gtja191_batch/gtja_137/ic_summary.csv</x:v>
      </x:c>
    </x:row>
    <x:row r="403">
      <x:c r="A403" t="str">
        <x:v>gtja_138</x:v>
      </x:c>
      <x:c r="B403" s="50" t="n">
        <x:v>10</x:v>
      </x:c>
      <x:c r="C403" s="30" t="n">
        <x:v>-0.002562166413133084</x:v>
      </x:c>
      <x:c r="D403" s="30" t="n">
        <x:v>0.23208725394528212</x:v>
      </x:c>
      <x:c r="E403" s="30" t="n">
        <x:v>-0.01103966878653815</x:v>
      </x:c>
      <x:c r="F403" s="30" t="n">
        <x:v>0.0028396447418830703</x:v>
      </x:c>
      <x:c r="G403" s="30" t="n">
        <x:v>0.22902868897523224</x:v>
      </x:c>
      <x:c r="H403" s="30" t="n">
        <x:v>0.012398642085359695</x:v>
      </x:c>
      <x:c r="I403" s="30" t="n">
        <x:v>0.5138961719979025</x:v>
      </x:c>
      <x:c r="J403" s="30" t="n">
        <x:v>0.5102254850550603</x:v>
      </x:c>
      <x:c r="K403" s="19" t="n">
        <x:v>1907</x:v>
      </x:c>
      <x:c r="L403" s="74" t="n">
        <x:v>46211.431942800926</x:v>
      </x:c>
      <x:c r="M403" s="19" t="n">
        <x:v>8902245</x:v>
      </x:c>
      <x:c r="N403" t="str">
        <x:v>8f7e606554926462248cbcc654181861438ca768a0063f6b317223ede37d16fb</x:v>
      </x:c>
      <x:c r="O403" t="str">
        <x:v>legacy_common_sample_8902245</x:v>
      </x:c>
      <x:c r="P403" t="str">
        <x:v>factor_report/gtja191_batch/gtja_138/ic_summary.csv</x:v>
      </x:c>
    </x:row>
    <x:row r="404">
      <x:c r="A404" t="str">
        <x:v>gtja_138</x:v>
      </x:c>
      <x:c r="B404" s="50" t="n">
        <x:v>20</x:v>
      </x:c>
      <x:c r="C404" s="30" t="n">
        <x:v>0.002217765475844256</x:v>
      </x:c>
      <x:c r="D404" s="30" t="n">
        <x:v>0.2314726256586519</x:v>
      </x:c>
      <x:c r="E404" s="30" t="n">
        <x:v>0.009581113401784067</x:v>
      </x:c>
      <x:c r="F404" s="30" t="n">
        <x:v>0.007090759251939209</x:v>
      </x:c>
      <x:c r="G404" s="30" t="n">
        <x:v>0.22814400892419004</x:v>
      </x:c>
      <x:c r="H404" s="30" t="n">
        <x:v>0.031080190469938648</x:v>
      </x:c>
      <x:c r="I404" s="30" t="n">
        <x:v>0.5166051660516605</x:v>
      </x:c>
      <x:c r="J404" s="30" t="n">
        <x:v>0.49604638903531895</x:v>
      </x:c>
      <x:c r="K404" s="19" t="n">
        <x:v>1897</x:v>
      </x:c>
      <x:c r="L404" s="74" t="n">
        <x:v>46211.431942800926</x:v>
      </x:c>
      <x:c r="M404" s="19" t="n">
        <x:v>8902245</x:v>
      </x:c>
      <x:c r="N404" t="str">
        <x:v>8f7e606554926462248cbcc654181861438ca768a0063f6b317223ede37d16fb</x:v>
      </x:c>
      <x:c r="O404" t="str">
        <x:v>legacy_common_sample_8902245</x:v>
      </x:c>
      <x:c r="P404" t="str">
        <x:v>factor_report/gtja191_batch/gtja_138/ic_summary.csv</x:v>
      </x:c>
    </x:row>
    <x:row r="405">
      <x:c r="A405" t="str">
        <x:v>gtja_139</x:v>
      </x:c>
      <x:c r="B405" s="50" t="n">
        <x:v>10</x:v>
      </x:c>
      <x:c r="C405" s="30" t="n">
        <x:v>0.019617957302175384</x:v>
      </x:c>
      <x:c r="D405" s="30" t="n">
        <x:v>0.06342620814948054</x:v>
      </x:c>
      <x:c r="E405" s="30" t="n">
        <x:v>0.309303643943849</x:v>
      </x:c>
      <x:c r="F405" s="30" t="n">
        <x:v>0.033631748401149325</x:v>
      </x:c>
      <x:c r="G405" s="30" t="n">
        <x:v>0.07414383776056378</x:v>
      </x:c>
      <x:c r="H405" s="30" t="n">
        <x:v>0.45360139718904124</x:v>
      </x:c>
      <x:c r="I405" s="30" t="n">
        <x:v>0.6785534907081868</x:v>
      </x:c>
      <x:c r="J405" s="30" t="n">
        <x:v>0.6217980914113511</x:v>
      </x:c>
      <x:c r="K405" s="19" t="n">
        <x:v>1991</x:v>
      </x:c>
      <x:c r="L405" s="74" t="n">
        <x:v>46211.435147662036</x:v>
      </x:c>
      <x:c r="M405" s="19" t="n">
        <x:v>8902245</x:v>
      </x:c>
      <x:c r="N405" t="str">
        <x:v>8f7e606554926462248cbcc654181861438ca768a0063f6b317223ede37d16fb</x:v>
      </x:c>
      <x:c r="O405" t="str">
        <x:v>legacy_common_sample_8902245</x:v>
      </x:c>
      <x:c r="P405" t="str">
        <x:v>factor_report/gtja191_batch/gtja_139/ic_summary.csv</x:v>
      </x:c>
    </x:row>
    <x:row r="406">
      <x:c r="A406" t="str">
        <x:v>gtja_139</x:v>
      </x:c>
      <x:c r="B406" s="50" t="n">
        <x:v>20</x:v>
      </x:c>
      <x:c r="C406" s="30" t="n">
        <x:v>0.024047797707480723</x:v>
      </x:c>
      <x:c r="D406" s="30" t="n">
        <x:v>0.06126485938515747</x:v>
      </x:c>
      <x:c r="E406" s="30" t="n">
        <x:v>0.39252187875431144</x:v>
      </x:c>
      <x:c r="F406" s="30" t="n">
        <x:v>0.03993494936333283</x:v>
      </x:c>
      <x:c r="G406" s="30" t="n">
        <x:v>0.07257327935758602</x:v>
      </x:c>
      <x:c r="H406" s="30" t="n">
        <x:v>0.5502707017904445</x:v>
      </x:c>
      <x:c r="I406" s="30" t="n">
        <x:v>0.7193336698637052</x:v>
      </x:c>
      <x:c r="J406" s="30" t="n">
        <x:v>0.6607773851590106</x:v>
      </x:c>
      <x:c r="K406" s="19" t="n">
        <x:v>1981</x:v>
      </x:c>
      <x:c r="L406" s="74" t="n">
        <x:v>46211.435147662036</x:v>
      </x:c>
      <x:c r="M406" s="19" t="n">
        <x:v>8902245</x:v>
      </x:c>
      <x:c r="N406" t="str">
        <x:v>8f7e606554926462248cbcc654181861438ca768a0063f6b317223ede37d16fb</x:v>
      </x:c>
      <x:c r="O406" t="str">
        <x:v>legacy_common_sample_8902245</x:v>
      </x:c>
      <x:c r="P406" t="str">
        <x:v>factor_report/gtja191_batch/gtja_139/ic_summary.csv</x:v>
      </x:c>
    </x:row>
    <x:row r="407">
      <x:c r="A407" t="str">
        <x:v>gtja_140</x:v>
      </x:c>
      <x:c r="B407" s="50" t="n">
        <x:v>10</x:v>
      </x:c>
      <x:c r="C407" s="30" t="n">
        <x:v>0.013350098470748665</x:v>
      </x:c>
      <x:c r="D407" s="30" t="n">
        <x:v>0.08289720761527958</x:v>
      </x:c>
      <x:c r="E407" s="30" t="n">
        <x:v>0.16104400684647405</x:v>
      </x:c>
      <x:c r="F407" s="30" t="n">
        <x:v>0.05335274590122334</x:v>
      </x:c>
      <x:c r="G407" s="30" t="n">
        <x:v>0.09601044245599819</x:v>
      </x:c>
      <x:c r="H407" s="30" t="n">
        <x:v>0.5556973235038993</x:v>
      </x:c>
      <x:c r="I407" s="30" t="n">
        <x:v>0.7295501022494888</x:v>
      </x:c>
      <x:c r="J407" s="30" t="n">
        <x:v>0.5547034764826176</x:v>
      </x:c>
      <x:c r="K407" s="19" t="n">
        <x:v>1956</x:v>
      </x:c>
      <x:c r="L407" s="74" t="n">
        <x:v>46211.441442916665</x:v>
      </x:c>
      <x:c r="M407" s="19" t="n">
        <x:v>8902245</x:v>
      </x:c>
      <x:c r="N407" t="str">
        <x:v>8f7e606554926462248cbcc654181861438ca768a0063f6b317223ede37d16fb</x:v>
      </x:c>
      <x:c r="O407" t="str">
        <x:v>legacy_common_sample_8902245</x:v>
      </x:c>
      <x:c r="P407" t="str">
        <x:v>factor_report/gtja191_batch/gtja_140/ic_summary.csv</x:v>
      </x:c>
    </x:row>
    <x:row r="408">
      <x:c r="A408" t="str">
        <x:v>gtja_140</x:v>
      </x:c>
      <x:c r="B408" s="50" t="n">
        <x:v>20</x:v>
      </x:c>
      <x:c r="C408" s="30" t="n">
        <x:v>0.015649863372203213</x:v>
      </x:c>
      <x:c r="D408" s="30" t="n">
        <x:v>0.0876407753476112</x:v>
      </x:c>
      <x:c r="E408" s="30" t="n">
        <x:v>0.1785682898186475</x:v>
      </x:c>
      <x:c r="F408" s="30" t="n">
        <x:v>0.058904394386351505</x:v>
      </x:c>
      <x:c r="G408" s="30" t="n">
        <x:v>0.10162398472028311</x:v>
      </x:c>
      <x:c r="H408" s="30" t="n">
        <x:v>0.5796308277862163</x:v>
      </x:c>
      <x:c r="I408" s="30" t="n">
        <x:v>0.7358684480986639</x:v>
      </x:c>
      <x:c r="J408" s="30" t="n">
        <x:v>0.5719424460431655</x:v>
      </x:c>
      <x:c r="K408" s="19" t="n">
        <x:v>1946</x:v>
      </x:c>
      <x:c r="L408" s="74" t="n">
        <x:v>46211.441442916665</x:v>
      </x:c>
      <x:c r="M408" s="19" t="n">
        <x:v>8902245</x:v>
      </x:c>
      <x:c r="N408" t="str">
        <x:v>8f7e606554926462248cbcc654181861438ca768a0063f6b317223ede37d16fb</x:v>
      </x:c>
      <x:c r="O408" t="str">
        <x:v>legacy_common_sample_8902245</x:v>
      </x:c>
      <x:c r="P408" t="str">
        <x:v>factor_report/gtja191_batch/gtja_140/ic_summary.csv</x:v>
      </x:c>
    </x:row>
    <x:row r="409">
      <x:c r="A409" t="str">
        <x:v>gtja_141</x:v>
      </x:c>
      <x:c r="B409" s="50" t="n">
        <x:v>10</x:v>
      </x:c>
      <x:c r="C409" s="30" t="n">
        <x:v>0.012490331886616697</x:v>
      </x:c>
      <x:c r="D409" s="30" t="n">
        <x:v>0.03508102651724054</x:v>
      </x:c>
      <x:c r="E409" s="30" t="n">
        <x:v>0.3560423718068322</x:v>
      </x:c>
      <x:c r="F409" s="30" t="n">
        <x:v>0.0187110845344238</x:v>
      </x:c>
      <x:c r="G409" s="30" t="n">
        <x:v>0.039497246899380695</x:v>
      </x:c>
      <x:c r="H409" s="30" t="n">
        <x:v>0.4737313611272786</x:v>
      </x:c>
      <x:c r="I409" s="30" t="n">
        <x:v>0.67754897036665</x:v>
      </x:c>
      <x:c r="J409" s="30" t="n">
        <x:v>0.6433952787543947</x:v>
      </x:c>
      <x:c r="K409" s="19" t="n">
        <x:v>1991</x:v>
      </x:c>
      <x:c r="L409" s="74" t="n">
        <x:v>46211.443886967594</x:v>
      </x:c>
      <x:c r="M409" s="19" t="n">
        <x:v>8902245</x:v>
      </x:c>
      <x:c r="N409" t="str">
        <x:v>8f7e606554926462248cbcc654181861438ca768a0063f6b317223ede37d16fb</x:v>
      </x:c>
      <x:c r="O409" t="str">
        <x:v>legacy_common_sample_8902245</x:v>
      </x:c>
      <x:c r="P409" t="str">
        <x:v>factor_report/gtja191_batch/gtja_141/ic_summary.csv</x:v>
      </x:c>
    </x:row>
    <x:row r="410">
      <x:c r="A410" t="str">
        <x:v>gtja_141</x:v>
      </x:c>
      <x:c r="B410" s="50" t="n">
        <x:v>20</x:v>
      </x:c>
      <x:c r="C410" s="30" t="n">
        <x:v>0.012957220253134784</x:v>
      </x:c>
      <x:c r="D410" s="30" t="n">
        <x:v>0.035266752770350004</x:v>
      </x:c>
      <x:c r="E410" s="30" t="n">
        <x:v>0.3674061044834378</x:v>
      </x:c>
      <x:c r="F410" s="30" t="n">
        <x:v>0.02011006977563733</x:v>
      </x:c>
      <x:c r="G410" s="30" t="n">
        <x:v>0.039929305111314074</x:v>
      </x:c>
      <x:c r="H410" s="30" t="n">
        <x:v>0.503641867034122</x:v>
      </x:c>
      <x:c r="I410" s="30" t="n">
        <x:v>0.6935890964159516</x:v>
      </x:c>
      <x:c r="J410" s="30" t="n">
        <x:v>0.6259464916708734</x:v>
      </x:c>
      <x:c r="K410" s="19" t="n">
        <x:v>1981</x:v>
      </x:c>
      <x:c r="L410" s="74" t="n">
        <x:v>46211.443886967594</x:v>
      </x:c>
      <x:c r="M410" s="19" t="n">
        <x:v>8902245</x:v>
      </x:c>
      <x:c r="N410" t="str">
        <x:v>8f7e606554926462248cbcc654181861438ca768a0063f6b317223ede37d16fb</x:v>
      </x:c>
      <x:c r="O410" t="str">
        <x:v>legacy_common_sample_8902245</x:v>
      </x:c>
      <x:c r="P410" t="str">
        <x:v>factor_report/gtja191_batch/gtja_141/ic_summary.csv</x:v>
      </x:c>
    </x:row>
    <x:row r="411">
      <x:c r="A411" t="str">
        <x:v>gtja_142</x:v>
      </x:c>
      <x:c r="B411" s="50" t="n">
        <x:v>10</x:v>
      </x:c>
      <x:c r="C411" s="30" t="n">
        <x:v>0.013173119789642525</x:v>
      </x:c>
      <x:c r="D411" s="30" t="n">
        <x:v>0.07863779828070899</x:v>
      </x:c>
      <x:c r="E411" s="30" t="n">
        <x:v>0.167516386237305</x:v>
      </x:c>
      <x:c r="F411" s="30" t="n">
        <x:v>-0.0007659892413414567</x:v>
      </x:c>
      <x:c r="G411" s="30" t="n">
        <x:v>0.10218567158630457</x:v>
      </x:c>
      <x:c r="H411" s="30" t="n">
        <x:v>-0.007496053306206566</x:v>
      </x:c>
      <x:c r="I411" s="30" t="n">
        <x:v>0.49874434957307884</x:v>
      </x:c>
      <x:c r="J411" s="30" t="n">
        <x:v>0.5710698141637368</x:v>
      </x:c>
      <x:c r="K411" s="19" t="n">
        <x:v>1991</x:v>
      </x:c>
      <x:c r="L411" s="74" t="n">
        <x:v>46211.45015293981</x:v>
      </x:c>
      <x:c r="M411" s="19" t="n">
        <x:v>8902245</x:v>
      </x:c>
      <x:c r="N411" t="str">
        <x:v>8f7e606554926462248cbcc654181861438ca768a0063f6b317223ede37d16fb</x:v>
      </x:c>
      <x:c r="O411" t="str">
        <x:v>legacy_common_sample_8902245</x:v>
      </x:c>
      <x:c r="P411" t="str">
        <x:v>factor_report/gtja191_batch/gtja_142/ic_summary.csv</x:v>
      </x:c>
    </x:row>
    <x:row r="412">
      <x:c r="A412" t="str">
        <x:v>gtja_142</x:v>
      </x:c>
      <x:c r="B412" s="50" t="n">
        <x:v>20</x:v>
      </x:c>
      <x:c r="C412" s="30" t="n">
        <x:v>0.013661656239736336</x:v>
      </x:c>
      <x:c r="D412" s="30" t="n">
        <x:v>0.0754282581564655</x:v>
      </x:c>
      <x:c r="E412" s="30" t="n">
        <x:v>0.18112119481000233</x:v>
      </x:c>
      <x:c r="F412" s="30" t="n">
        <x:v>-0.002240955096747608</x:v>
      </x:c>
      <x:c r="G412" s="30" t="n">
        <x:v>0.0978680990033249</x:v>
      </x:c>
      <x:c r="H412" s="30" t="n">
        <x:v>-0.022897707420182704</x:v>
      </x:c>
      <x:c r="I412" s="30" t="n">
        <x:v>0.48965169106511863</x:v>
      </x:c>
      <x:c r="J412" s="30" t="n">
        <x:v>0.5860676426047451</x:v>
      </x:c>
      <x:c r="K412" s="19" t="n">
        <x:v>1981</x:v>
      </x:c>
      <x:c r="L412" s="74" t="n">
        <x:v>46211.45015293981</x:v>
      </x:c>
      <x:c r="M412" s="19" t="n">
        <x:v>8902245</x:v>
      </x:c>
      <x:c r="N412" t="str">
        <x:v>8f7e606554926462248cbcc654181861438ca768a0063f6b317223ede37d16fb</x:v>
      </x:c>
      <x:c r="O412" t="str">
        <x:v>legacy_common_sample_8902245</x:v>
      </x:c>
      <x:c r="P412" t="str">
        <x:v>factor_report/gtja191_batch/gtja_142/ic_summary.csv</x:v>
      </x:c>
    </x:row>
    <x:row r="413">
      <x:c r="A413" t="str">
        <x:v>gtja_143</x:v>
      </x:c>
      <x:c r="B413" s="50" t="n">
        <x:v>1</x:v>
      </x:c>
      <x:c r="C413" s="30" t="n">
        <x:v>-0.0004631580312776754</x:v>
      </x:c>
      <x:c r="D413" s="30" t="n">
        <x:v>0.06407687807975346</x:v>
      </x:c>
      <x:c r="E413" s="30" t="n">
        <x:v>-0.00722816162643262</x:v>
      </x:c>
      <x:c r="F413" s="30" t="n">
        <x:v>-0.012789547134223096</x:v>
      </x:c>
      <x:c r="G413" s="30" t="n">
        <x:v>0.11586609837595793</x:v>
      </x:c>
      <x:c r="H413" s="30" t="n">
        <x:v>-0.11038213345826195</x:v>
      </x:c>
      <x:c r="I413" s="30" t="n">
        <x:v>0.444</x:v>
      </x:c>
      <x:c r="J413" s="30" t="n">
        <x:v>0.473</x:v>
      </x:c>
      <x:c r="K413" s="19" t="n">
        <x:v>2000</x:v>
      </x:c>
      <x:c r="L413" s="74" t="n">
        <x:v>46210.787863425925</x:v>
      </x:c>
      <x:c r="M413" s="19" t="n">
        <x:v>8902245</x:v>
      </x:c>
      <x:c r="N413" t="str">
        <x:v>40355b29bce094aef0e99358bdfd4011b92e72a54440a67760de4afae4883c33</x:v>
      </x:c>
      <x:c r="O413" t="str">
        <x:v>legacy_common_sample_8902245</x:v>
      </x:c>
      <x:c r="P413" t="str">
        <x:v>factor_report/gtja191_batch/gtja_143/ic_summary.csv</x:v>
      </x:c>
    </x:row>
    <x:row r="414">
      <x:c r="A414" t="str">
        <x:v>gtja_143</x:v>
      </x:c>
      <x:c r="B414" s="50" t="n">
        <x:v>5</x:v>
      </x:c>
      <x:c r="C414" s="30" t="n">
        <x:v>-0.004731457944353073</x:v>
      </x:c>
      <x:c r="D414" s="30" t="n">
        <x:v>0.06389679048581837</x:v>
      </x:c>
      <x:c r="E414" s="30" t="n">
        <x:v>-0.07404844450525572</x:v>
      </x:c>
      <x:c r="F414" s="30" t="n">
        <x:v>-0.018380086872813808</x:v>
      </x:c>
      <x:c r="G414" s="30" t="n">
        <x:v>0.11216269840249522</x:v>
      </x:c>
      <x:c r="H414" s="30" t="n">
        <x:v>-0.1638698705950972</x:v>
      </x:c>
      <x:c r="I414" s="30" t="n">
        <x:v>0.42334669338677355</x:v>
      </x:c>
      <x:c r="J414" s="30" t="n">
        <x:v>0.45691382765531063</x:v>
      </x:c>
      <x:c r="K414" s="19" t="n">
        <x:v>1996</x:v>
      </x:c>
      <x:c r="L414" s="74" t="n">
        <x:v>46210.787863425925</x:v>
      </x:c>
      <x:c r="M414" s="19" t="n">
        <x:v>8902245</x:v>
      </x:c>
      <x:c r="N414" t="str">
        <x:v>40355b29bce094aef0e99358bdfd4011b92e72a54440a67760de4afae4883c33</x:v>
      </x:c>
      <x:c r="O414" t="str">
        <x:v>legacy_common_sample_8902245</x:v>
      </x:c>
      <x:c r="P414" t="str">
        <x:v>factor_report/gtja191_batch/gtja_143/ic_summary.csv</x:v>
      </x:c>
    </x:row>
    <x:row r="415">
      <x:c r="A415" t="str">
        <x:v>gtja_143</x:v>
      </x:c>
      <x:c r="B415" s="50" t="n">
        <x:v>10</x:v>
      </x:c>
      <x:c r="C415" s="30" t="n">
        <x:v>-0.007335626701965107</x:v>
      </x:c>
      <x:c r="D415" s="30" t="n">
        <x:v>0.06234603313130353</x:v>
      </x:c>
      <x:c r="E415" s="30" t="n">
        <x:v>-0.11765987880120535</x:v>
      </x:c>
      <x:c r="F415" s="30" t="n">
        <x:v>-0.021687967404591352</x:v>
      </x:c>
      <x:c r="G415" s="30" t="n">
        <x:v>0.10822040271604337</x:v>
      </x:c>
      <x:c r="H415" s="30" t="n">
        <x:v>-0.2004055322312728</x:v>
      </x:c>
      <x:c r="I415" s="30" t="n">
        <x:v>0.40331491712707185</x:v>
      </x:c>
      <x:c r="J415" s="30" t="n">
        <x:v>0.43797086891009546</x:v>
      </x:c>
      <x:c r="K415" s="19" t="n">
        <x:v>1991</x:v>
      </x:c>
      <x:c r="L415" s="74" t="n">
        <x:v>46210.787863425925</x:v>
      </x:c>
      <x:c r="M415" s="19" t="n">
        <x:v>8902245</x:v>
      </x:c>
      <x:c r="N415" t="str">
        <x:v>40355b29bce094aef0e99358bdfd4011b92e72a54440a67760de4afae4883c33</x:v>
      </x:c>
      <x:c r="O415" t="str">
        <x:v>legacy_common_sample_8902245</x:v>
      </x:c>
      <x:c r="P415" t="str">
        <x:v>factor_report/gtja191_batch/gtja_143/ic_summary.csv</x:v>
      </x:c>
    </x:row>
    <x:row r="416">
      <x:c r="A416" t="str">
        <x:v>gtja_143</x:v>
      </x:c>
      <x:c r="B416" s="50" t="n">
        <x:v>20</x:v>
      </x:c>
      <x:c r="C416" s="30" t="n">
        <x:v>-0.010216155049928241</x:v>
      </x:c>
      <x:c r="D416" s="30" t="n">
        <x:v>0.06293993269482757</x:v>
      </x:c>
      <x:c r="E416" s="30" t="n">
        <x:v>-0.16231595129697063</x:v>
      </x:c>
      <x:c r="F416" s="30" t="n">
        <x:v>-0.026709392101047096</x:v>
      </x:c>
      <x:c r="G416" s="30" t="n">
        <x:v>0.10788301135358297</x:v>
      </x:c>
      <x:c r="H416" s="30" t="n">
        <x:v>-0.24757736891036491</x:v>
      </x:c>
      <x:c r="I416" s="30" t="n">
        <x:v>0.3957597173144876</x:v>
      </x:c>
      <x:c r="J416" s="30" t="n">
        <x:v>0.4204946996466431</x:v>
      </x:c>
      <x:c r="K416" s="19" t="n">
        <x:v>1981</x:v>
      </x:c>
      <x:c r="L416" s="74" t="n">
        <x:v>46210.787863425925</x:v>
      </x:c>
      <x:c r="M416" s="19" t="n">
        <x:v>8902245</x:v>
      </x:c>
      <x:c r="N416" t="str">
        <x:v>40355b29bce094aef0e99358bdfd4011b92e72a54440a67760de4afae4883c33</x:v>
      </x:c>
      <x:c r="O416" t="str">
        <x:v>legacy_common_sample_8902245</x:v>
      </x:c>
      <x:c r="P416" t="str">
        <x:v>factor_report/gtja191_batch/gtja_143/ic_summary.csv</x:v>
      </x:c>
    </x:row>
    <x:row r="417">
      <x:c r="A417" t="str">
        <x:v>gtja_144</x:v>
      </x:c>
      <x:c r="B417" s="50" t="n">
        <x:v>10</x:v>
      </x:c>
      <x:c r="C417" s="30" t="n">
        <x:v>0.028657345124829113</x:v>
      </x:c>
      <x:c r="D417" s="30" t="n">
        <x:v>0.09054960130888394</x:v>
      </x:c>
      <x:c r="E417" s="30" t="n">
        <x:v>0.3164822893816265</x:v>
      </x:c>
      <x:c r="F417" s="30" t="n">
        <x:v>0.052773687297313424</x:v>
      </x:c>
      <x:c r="G417" s="30" t="n">
        <x:v>0.154843361609323</x:v>
      </x:c>
      <x:c r="H417" s="30" t="n">
        <x:v>0.3408198242974335</x:v>
      </x:c>
      <x:c r="I417" s="30" t="n">
        <x:v>0.6609743847312908</x:v>
      </x:c>
      <x:c r="J417" s="30" t="n">
        <x:v>0.6569563033651431</x:v>
      </x:c>
      <x:c r="K417" s="19" t="n">
        <x:v>1991</x:v>
      </x:c>
      <x:c r="L417" s="74" t="n">
        <x:v>46211.45256542824</x:v>
      </x:c>
      <x:c r="M417" s="19" t="n">
        <x:v>8902245</x:v>
      </x:c>
      <x:c r="N417" t="str">
        <x:v>8f7e606554926462248cbcc654181861438ca768a0063f6b317223ede37d16fb</x:v>
      </x:c>
      <x:c r="O417" t="str">
        <x:v>legacy_common_sample_8902245</x:v>
      </x:c>
      <x:c r="P417" t="str">
        <x:v>factor_report/gtja191_batch/gtja_144/ic_summary.csv</x:v>
      </x:c>
    </x:row>
    <x:row r="418">
      <x:c r="A418" t="str">
        <x:v>gtja_144</x:v>
      </x:c>
      <x:c r="B418" s="50" t="n">
        <x:v>20</x:v>
      </x:c>
      <x:c r="C418" s="30" t="n">
        <x:v>0.03952480441124564</x:v>
      </x:c>
      <x:c r="D418" s="30" t="n">
        <x:v>0.09682275421190234</x:v>
      </x:c>
      <x:c r="E418" s="30" t="n">
        <x:v>0.4082181376987403</x:v>
      </x:c>
      <x:c r="F418" s="30" t="n">
        <x:v>0.06900964811763187</x:v>
      </x:c>
      <x:c r="G418" s="30" t="n">
        <x:v>0.1600424455375173</x:v>
      </x:c>
      <x:c r="H418" s="30" t="n">
        <x:v>0.4311959110963132</x:v>
      </x:c>
      <x:c r="I418" s="30" t="n">
        <x:v>0.7067137809187279</x:v>
      </x:c>
      <x:c r="J418" s="30" t="n">
        <x:v>0.6834931852599697</x:v>
      </x:c>
      <x:c r="K418" s="19" t="n">
        <x:v>1981</x:v>
      </x:c>
      <x:c r="L418" s="74" t="n">
        <x:v>46211.45256542824</x:v>
      </x:c>
      <x:c r="M418" s="19" t="n">
        <x:v>8902245</x:v>
      </x:c>
      <x:c r="N418" t="str">
        <x:v>8f7e606554926462248cbcc654181861438ca768a0063f6b317223ede37d16fb</x:v>
      </x:c>
      <x:c r="O418" t="str">
        <x:v>legacy_common_sample_8902245</x:v>
      </x:c>
      <x:c r="P418" t="str">
        <x:v>factor_report/gtja191_batch/gtja_144/ic_summary.csv</x:v>
      </x:c>
    </x:row>
    <x:row r="419">
      <x:c r="A419" t="str">
        <x:v>gtja_145</x:v>
      </x:c>
      <x:c r="B419" s="50" t="n">
        <x:v>1</x:v>
      </x:c>
      <x:c r="C419" s="30" t="n">
        <x:v>-0.01018377917281905</x:v>
      </x:c>
      <x:c r="D419" s="30" t="n">
        <x:v>0.08212177881704694</x:v>
      </x:c>
      <x:c r="E419" s="30" t="n">
        <x:v>-0.12400826333178609</x:v>
      </x:c>
      <x:c r="F419" s="30" t="n">
        <x:v>-0.026752473392600208</x:v>
      </x:c>
      <x:c r="G419" s="30" t="n">
        <x:v>0.09598785734933771</x:v>
      </x:c>
      <x:c r="H419" s="30" t="n">
        <x:v>-0.278706850338761</x:v>
      </x:c>
      <x:c r="I419" s="30" t="n">
        <x:v>0.3695</x:v>
      </x:c>
      <x:c r="J419" s="30" t="n">
        <x:v>0.4245</x:v>
      </x:c>
      <x:c r="K419" s="19" t="n">
        <x:v>2000</x:v>
      </x:c>
      <x:c r="L419" s="74" t="n">
        <x:v>46210.79587657408</x:v>
      </x:c>
      <x:c r="M419" s="19" t="n">
        <x:v>8902245</x:v>
      </x:c>
      <x:c r="N419" t="str">
        <x:v>40355b29bce094aef0e99358bdfd4011b92e72a54440a67760de4afae4883c33</x:v>
      </x:c>
      <x:c r="O419" t="str">
        <x:v>legacy_common_sample_8902245</x:v>
      </x:c>
      <x:c r="P419" t="str">
        <x:v>factor_report/gtja191_batch/gtja_145/ic_summary.csv</x:v>
      </x:c>
    </x:row>
    <x:row r="420">
      <x:c r="A420" t="str">
        <x:v>gtja_145</x:v>
      </x:c>
      <x:c r="B420" s="50" t="n">
        <x:v>5</x:v>
      </x:c>
      <x:c r="C420" s="30" t="n">
        <x:v>-0.0172174229531754</x:v>
      </x:c>
      <x:c r="D420" s="30" t="n">
        <x:v>0.07751718910990582</x:v>
      </x:c>
      <x:c r="E420" s="30" t="n">
        <x:v>-0.2221110330608622</x:v>
      </x:c>
      <x:c r="F420" s="30" t="n">
        <x:v>-0.03327745526293577</x:v>
      </x:c>
      <x:c r="G420" s="30" t="n">
        <x:v>0.09203490541372429</x:v>
      </x:c>
      <x:c r="H420" s="30" t="n">
        <x:v>-0.3615742865529519</x:v>
      </x:c>
      <x:c r="I420" s="30" t="n">
        <x:v>0.3466933867735471</x:v>
      </x:c>
      <x:c r="J420" s="30" t="n">
        <x:v>0.39478957915831664</x:v>
      </x:c>
      <x:c r="K420" s="19" t="n">
        <x:v>1996</x:v>
      </x:c>
      <x:c r="L420" s="74" t="n">
        <x:v>46210.79587657408</x:v>
      </x:c>
      <x:c r="M420" s="19" t="n">
        <x:v>8902245</x:v>
      </x:c>
      <x:c r="N420" t="str">
        <x:v>40355b29bce094aef0e99358bdfd4011b92e72a54440a67760de4afae4883c33</x:v>
      </x:c>
      <x:c r="O420" t="str">
        <x:v>legacy_common_sample_8902245</x:v>
      </x:c>
      <x:c r="P420" t="str">
        <x:v>factor_report/gtja191_batch/gtja_145/ic_summary.csv</x:v>
      </x:c>
    </x:row>
    <x:row r="421">
      <x:c r="A421" t="str">
        <x:v>gtja_145</x:v>
      </x:c>
      <x:c r="B421" s="50" t="n">
        <x:v>10</x:v>
      </x:c>
      <x:c r="C421" s="30" t="n">
        <x:v>-0.020223111854823048</x:v>
      </x:c>
      <x:c r="D421" s="30" t="n">
        <x:v>0.07261921649569188</x:v>
      </x:c>
      <x:c r="E421" s="30" t="n">
        <x:v>-0.27848154842076517</x:v>
      </x:c>
      <x:c r="F421" s="30" t="n">
        <x:v>-0.036305859771645285</x:v>
      </x:c>
      <x:c r="G421" s="30" t="n">
        <x:v>0.08655993711277037</x:v>
      </x:c>
      <x:c r="H421" s="30" t="n">
        <x:v>-0.4194302928425881</x:v>
      </x:c>
      <x:c r="I421" s="30" t="n">
        <x:v>0.3209442491210447</x:v>
      </x:c>
      <x:c r="J421" s="30" t="n">
        <x:v>0.389251632345555</x:v>
      </x:c>
      <x:c r="K421" s="19" t="n">
        <x:v>1991</x:v>
      </x:c>
      <x:c r="L421" s="74" t="n">
        <x:v>46210.79587657408</x:v>
      </x:c>
      <x:c r="M421" s="19" t="n">
        <x:v>8902245</x:v>
      </x:c>
      <x:c r="N421" t="str">
        <x:v>40355b29bce094aef0e99358bdfd4011b92e72a54440a67760de4afae4883c33</x:v>
      </x:c>
      <x:c r="O421" t="str">
        <x:v>legacy_common_sample_8902245</x:v>
      </x:c>
      <x:c r="P421" t="str">
        <x:v>factor_report/gtja191_batch/gtja_145/ic_summary.csv</x:v>
      </x:c>
    </x:row>
    <x:row r="422">
      <x:c r="A422" t="str">
        <x:v>gtja_145</x:v>
      </x:c>
      <x:c r="B422" s="50" t="n">
        <x:v>20</x:v>
      </x:c>
      <x:c r="C422" s="30" t="n">
        <x:v>-0.019181050086041034</x:v>
      </x:c>
      <x:c r="D422" s="30" t="n">
        <x:v>0.07080325158100231</x:v>
      </x:c>
      <x:c r="E422" s="30" t="n">
        <x:v>-0.2709063448039105</x:v>
      </x:c>
      <x:c r="F422" s="30" t="n">
        <x:v>-0.035881009684746605</x:v>
      </x:c>
      <x:c r="G422" s="30" t="n">
        <x:v>0.08467668865820151</x:v>
      </x:c>
      <x:c r="H422" s="30" t="n">
        <x:v>-0.42374129472139305</x:v>
      </x:c>
      <x:c r="I422" s="30" t="n">
        <x:v>0.32054517920242304</x:v>
      </x:c>
      <x:c r="J422" s="30" t="n">
        <x:v>0.38465421504290764</x:v>
      </x:c>
      <x:c r="K422" s="19" t="n">
        <x:v>1981</x:v>
      </x:c>
      <x:c r="L422" s="74" t="n">
        <x:v>46210.79587657408</x:v>
      </x:c>
      <x:c r="M422" s="19" t="n">
        <x:v>8902245</x:v>
      </x:c>
      <x:c r="N422" t="str">
        <x:v>40355b29bce094aef0e99358bdfd4011b92e72a54440a67760de4afae4883c33</x:v>
      </x:c>
      <x:c r="O422" t="str">
        <x:v>legacy_common_sample_8902245</x:v>
      </x:c>
      <x:c r="P422" t="str">
        <x:v>factor_report/gtja191_batch/gtja_145/ic_summary.csv</x:v>
      </x:c>
    </x:row>
    <x:row r="423">
      <x:c r="A423" t="str">
        <x:v>gtja_146</x:v>
      </x:c>
      <x:c r="B423" s="50" t="n">
        <x:v>10</x:v>
      </x:c>
      <x:c r="C423" s="30" t="n">
        <x:v>-0.011126886558284102</x:v>
      </x:c>
      <x:c r="D423" s="30" t="n">
        <x:v>0.06305304512825026</x:v>
      </x:c>
      <x:c r="E423" s="30" t="n">
        <x:v>-0.17646866278467518</x:v>
      </x:c>
      <x:c r="F423" s="30" t="n">
        <x:v>-0.004380920010943611</x:v>
      </x:c>
      <x:c r="G423" s="30" t="n">
        <x:v>0.08271588615521461</x:v>
      </x:c>
      <x:c r="H423" s="30" t="n">
        <x:v>-0.05296346584165112</x:v>
      </x:c>
      <x:c r="I423" s="30" t="n">
        <x:v>0.46509291813159215</x:v>
      </x:c>
      <x:c r="J423" s="30" t="n">
        <x:v>0.41737820190858865</x:v>
      </x:c>
      <x:c r="K423" s="19" t="n">
        <x:v>1991</x:v>
      </x:c>
      <x:c r="L423" s="74" t="n">
        <x:v>46211.45605219907</x:v>
      </x:c>
      <x:c r="M423" s="19" t="n">
        <x:v>8902245</x:v>
      </x:c>
      <x:c r="N423" t="str">
        <x:v>8f7e606554926462248cbcc654181861438ca768a0063f6b317223ede37d16fb</x:v>
      </x:c>
      <x:c r="O423" t="str">
        <x:v>legacy_common_sample_8902245</x:v>
      </x:c>
      <x:c r="P423" t="str">
        <x:v>factor_report/gtja191_batch/gtja_146/ic_summary.csv</x:v>
      </x:c>
    </x:row>
    <x:row r="424">
      <x:c r="A424" t="str">
        <x:v>gtja_146</x:v>
      </x:c>
      <x:c r="B424" s="50" t="n">
        <x:v>20</x:v>
      </x:c>
      <x:c r="C424" s="30" t="n">
        <x:v>-0.010963031741320945</x:v>
      </x:c>
      <x:c r="D424" s="30" t="n">
        <x:v>0.06059577967403096</x:v>
      </x:c>
      <x:c r="E424" s="30" t="n">
        <x:v>-0.18092071428563997</x:v>
      </x:c>
      <x:c r="F424" s="30" t="n">
        <x:v>-0.0057458720911978105</x:v>
      </x:c>
      <x:c r="G424" s="30" t="n">
        <x:v>0.08308906194559756</x:v>
      </x:c>
      <x:c r="H424" s="30" t="n">
        <x:v>-0.06915317078630533</x:v>
      </x:c>
      <x:c r="I424" s="30" t="n">
        <x:v>0.4628975265017668</x:v>
      </x:c>
      <x:c r="J424" s="30" t="n">
        <x:v>0.40686521958606764</x:v>
      </x:c>
      <x:c r="K424" s="19" t="n">
        <x:v>1981</x:v>
      </x:c>
      <x:c r="L424" s="74" t="n">
        <x:v>46211.45605219907</x:v>
      </x:c>
      <x:c r="M424" s="19" t="n">
        <x:v>8902245</x:v>
      </x:c>
      <x:c r="N424" t="str">
        <x:v>8f7e606554926462248cbcc654181861438ca768a0063f6b317223ede37d16fb</x:v>
      </x:c>
      <x:c r="O424" t="str">
        <x:v>legacy_common_sample_8902245</x:v>
      </x:c>
      <x:c r="P424" t="str">
        <x:v>factor_report/gtja191_batch/gtja_146/ic_summary.csv</x:v>
      </x:c>
    </x:row>
    <x:row r="425">
      <x:c r="A425" t="str">
        <x:v>gtja_147</x:v>
      </x:c>
      <x:c r="B425" s="50" t="n">
        <x:v>1</x:v>
      </x:c>
      <x:c r="C425" s="30" t="n">
        <x:v>-0.007216156994417308</x:v>
      </x:c>
      <x:c r="D425" s="30" t="n">
        <x:v>0.0925721248153564</x:v>
      </x:c>
      <x:c r="E425" s="30" t="n">
        <x:v>-0.07795172692439106</x:v>
      </x:c>
      <x:c r="F425" s="30" t="n">
        <x:v>-0.024348611738280894</x:v>
      </x:c>
      <x:c r="G425" s="30" t="n">
        <x:v>0.14271405510978744</x:v>
      </x:c>
      <x:c r="H425" s="30" t="n">
        <x:v>-0.17061116874262966</x:v>
      </x:c>
      <x:c r="I425" s="30" t="n">
        <x:v>0.421</x:v>
      </x:c>
      <x:c r="J425" s="30" t="n">
        <x:v>0.4715</x:v>
      </x:c>
      <x:c r="K425" s="19" t="n">
        <x:v>2000</x:v>
      </x:c>
      <x:c r="L425" s="74" t="n">
        <x:v>46210.805681736114</x:v>
      </x:c>
      <x:c r="M425" s="19" t="n">
        <x:v>8902245</x:v>
      </x:c>
      <x:c r="N425" t="str">
        <x:v>40355b29bce094aef0e99358bdfd4011b92e72a54440a67760de4afae4883c33</x:v>
      </x:c>
      <x:c r="O425" t="str">
        <x:v>legacy_common_sample_8902245</x:v>
      </x:c>
      <x:c r="P425" t="str">
        <x:v>factor_report/gtja191_batch/gtja_147/ic_summary.csv</x:v>
      </x:c>
    </x:row>
    <x:row r="426">
      <x:c r="A426" t="str">
        <x:v>gtja_147</x:v>
      </x:c>
      <x:c r="B426" s="50" t="n">
        <x:v>5</x:v>
      </x:c>
      <x:c r="C426" s="30" t="n">
        <x:v>-0.014199698753487661</x:v>
      </x:c>
      <x:c r="D426" s="30" t="n">
        <x:v>0.08449252684051811</x:v>
      </x:c>
      <x:c r="E426" s="30" t="n">
        <x:v>-0.1680586352955211</x:v>
      </x:c>
      <x:c r="F426" s="30" t="n">
        <x:v>-0.03906630126821493</x:v>
      </x:c>
      <x:c r="G426" s="30" t="n">
        <x:v>0.13191076342078709</x:v>
      </x:c>
      <x:c r="H426" s="30" t="n">
        <x:v>-0.29615704022268347</x:v>
      </x:c>
      <x:c r="I426" s="30" t="n">
        <x:v>0.38877755511022044</x:v>
      </x:c>
      <x:c r="J426" s="30" t="n">
        <x:v>0.4308617234468938</x:v>
      </x:c>
      <x:c r="K426" s="19" t="n">
        <x:v>1996</x:v>
      </x:c>
      <x:c r="L426" s="74" t="n">
        <x:v>46210.805681736114</x:v>
      </x:c>
      <x:c r="M426" s="19" t="n">
        <x:v>8902245</x:v>
      </x:c>
      <x:c r="N426" t="str">
        <x:v>40355b29bce094aef0e99358bdfd4011b92e72a54440a67760de4afae4883c33</x:v>
      </x:c>
      <x:c r="O426" t="str">
        <x:v>legacy_common_sample_8902245</x:v>
      </x:c>
      <x:c r="P426" t="str">
        <x:v>factor_report/gtja191_batch/gtja_147/ic_summary.csv</x:v>
      </x:c>
    </x:row>
    <x:row r="427">
      <x:c r="A427" t="str">
        <x:v>gtja_147</x:v>
      </x:c>
      <x:c r="B427" s="50" t="n">
        <x:v>10</x:v>
      </x:c>
      <x:c r="C427" s="30" t="n">
        <x:v>-0.017835875028339485</x:v>
      </x:c>
      <x:c r="D427" s="30" t="n">
        <x:v>0.08145654146486969</x:v>
      </x:c>
      <x:c r="E427" s="30" t="n">
        <x:v>-0.21896185017911277</x:v>
      </x:c>
      <x:c r="F427" s="30" t="n">
        <x:v>-0.04733611281094676</x:v>
      </x:c>
      <x:c r="G427" s="30" t="n">
        <x:v>0.12830961741046526</x:v>
      </x:c>
      <x:c r="H427" s="30" t="n">
        <x:v>-0.36892100347799733</x:v>
      </x:c>
      <x:c r="I427" s="30" t="n">
        <x:v>0.36715218483174283</x:v>
      </x:c>
      <x:c r="J427" s="30" t="n">
        <x:v>0.40733299849321947</x:v>
      </x:c>
      <x:c r="K427" s="19" t="n">
        <x:v>1991</x:v>
      </x:c>
      <x:c r="L427" s="74" t="n">
        <x:v>46210.805681736114</x:v>
      </x:c>
      <x:c r="M427" s="19" t="n">
        <x:v>8902245</x:v>
      </x:c>
      <x:c r="N427" t="str">
        <x:v>40355b29bce094aef0e99358bdfd4011b92e72a54440a67760de4afae4883c33</x:v>
      </x:c>
      <x:c r="O427" t="str">
        <x:v>legacy_common_sample_8902245</x:v>
      </x:c>
      <x:c r="P427" t="str">
        <x:v>factor_report/gtja191_batch/gtja_147/ic_summary.csv</x:v>
      </x:c>
    </x:row>
    <x:row r="428">
      <x:c r="A428" t="str">
        <x:v>gtja_147</x:v>
      </x:c>
      <x:c r="B428" s="50" t="n">
        <x:v>20</x:v>
      </x:c>
      <x:c r="C428" s="30" t="n">
        <x:v>-0.017166466868387117</x:v>
      </x:c>
      <x:c r="D428" s="30" t="n">
        <x:v>0.08526892053315134</x:v>
      </x:c>
      <x:c r="E428" s="30" t="n">
        <x:v>-0.20132149863106383</x:v>
      </x:c>
      <x:c r="F428" s="30" t="n">
        <x:v>-0.05142714709902863</x:v>
      </x:c>
      <x:c r="G428" s="30" t="n">
        <x:v>0.13179996064441496</x:v>
      </x:c>
      <x:c r="H428" s="30" t="n">
        <x:v>-0.3901909139242817</x:v>
      </x:c>
      <x:c r="I428" s="30" t="n">
        <x:v>0.3649671882887431</x:v>
      </x:c>
      <x:c r="J428" s="30" t="n">
        <x:v>0.414437152953054</x:v>
      </x:c>
      <x:c r="K428" s="19" t="n">
        <x:v>1981</x:v>
      </x:c>
      <x:c r="L428" s="74" t="n">
        <x:v>46210.805681736114</x:v>
      </x:c>
      <x:c r="M428" s="19" t="n">
        <x:v>8902245</x:v>
      </x:c>
      <x:c r="N428" t="str">
        <x:v>40355b29bce094aef0e99358bdfd4011b92e72a54440a67760de4afae4883c33</x:v>
      </x:c>
      <x:c r="O428" t="str">
        <x:v>legacy_common_sample_8902245</x:v>
      </x:c>
      <x:c r="P428" t="str">
        <x:v>factor_report/gtja191_batch/gtja_147/ic_summary.csv</x:v>
      </x:c>
    </x:row>
    <x:row r="429">
      <x:c r="A429" t="str">
        <x:v>gtja_148</x:v>
      </x:c>
      <x:c r="B429" s="50" t="n">
        <x:v>10</x:v>
      </x:c>
      <x:c r="C429" s="30" t="n">
        <x:v>0.012274824945200083</x:v>
      </x:c>
      <x:c r="D429" s="30" t="n">
        <x:v>0.07901452118889661</x:v>
      </x:c>
      <x:c r="E429" s="30" t="n">
        <x:v>0.15534897586552715</x:v>
      </x:c>
      <x:c r="F429" s="30" t="n">
        <x:v>0.029721592729636395</x:v>
      </x:c>
      <x:c r="G429" s="30" t="n">
        <x:v>0.09209976179930796</x:v>
      </x:c>
      <x:c r="H429" s="30" t="n">
        <x:v>0.32271085341568956</x:v>
      </x:c>
      <x:c r="I429" s="30" t="n">
        <x:v>0.627718765806778</x:v>
      </x:c>
      <x:c r="J429" s="30" t="n">
        <x:v>0.5649974709155285</x:v>
      </x:c>
      <x:c r="K429" s="19" t="n">
        <x:v>1977</x:v>
      </x:c>
      <x:c r="L429" s="74" t="n">
        <x:v>46211.47057563657</x:v>
      </x:c>
      <x:c r="M429" s="19" t="n">
        <x:v>8902245</x:v>
      </x:c>
      <x:c r="N429" t="str">
        <x:v>8f7e606554926462248cbcc654181861438ca768a0063f6b317223ede37d16fb</x:v>
      </x:c>
      <x:c r="O429" t="str">
        <x:v>legacy_common_sample_8902245</x:v>
      </x:c>
      <x:c r="P429" t="str">
        <x:v>factor_report/gtja191_batch/gtja_148/ic_summary.csv</x:v>
      </x:c>
    </x:row>
    <x:row r="430">
      <x:c r="A430" t="str">
        <x:v>gtja_148</x:v>
      </x:c>
      <x:c r="B430" s="50" t="n">
        <x:v>20</x:v>
      </x:c>
      <x:c r="C430" s="30" t="n">
        <x:v>0.01823649715627192</x:v>
      </x:c>
      <x:c r="D430" s="30" t="n">
        <x:v>0.08337734562539979</x:v>
      </x:c>
      <x:c r="E430" s="30" t="n">
        <x:v>0.21872244816002412</x:v>
      </x:c>
      <x:c r="F430" s="30" t="n">
        <x:v>0.03800825867623931</x:v>
      </x:c>
      <x:c r="G430" s="30" t="n">
        <x:v>0.09543178137946179</x:v>
      </x:c>
      <x:c r="H430" s="30" t="n">
        <x:v>0.3982767389105785</x:v>
      </x:c>
      <x:c r="I430" s="30" t="n">
        <x:v>0.6481952211489578</x:v>
      </x:c>
      <x:c r="J430" s="30" t="n">
        <x:v>0.581596339603457</x:v>
      </x:c>
      <x:c r="K430" s="19" t="n">
        <x:v>1967</x:v>
      </x:c>
      <x:c r="L430" s="74" t="n">
        <x:v>46211.47057563657</x:v>
      </x:c>
      <x:c r="M430" s="19" t="n">
        <x:v>8902245</x:v>
      </x:c>
      <x:c r="N430" t="str">
        <x:v>8f7e606554926462248cbcc654181861438ca768a0063f6b317223ede37d16fb</x:v>
      </x:c>
      <x:c r="O430" t="str">
        <x:v>legacy_common_sample_8902245</x:v>
      </x:c>
      <x:c r="P430" t="str">
        <x:v>factor_report/gtja191_batch/gtja_148/ic_summary.csv</x:v>
      </x:c>
    </x:row>
    <x:row r="431">
      <x:c r="A431" t="str">
        <x:v>gtja_150</x:v>
      </x:c>
      <x:c r="B431" s="50" t="n">
        <x:v>1</x:v>
      </x:c>
      <x:c r="C431" s="30" t="n">
        <x:v>-0.01555417535613704</x:v>
      </x:c>
      <x:c r="D431" s="30" t="n">
        <x:v>0.094535993256665</x:v>
      </x:c>
      <x:c r="E431" s="30" t="n">
        <x:v>-0.16453178117997333</x:v>
      </x:c>
      <x:c r="F431" s="30" t="n">
        <x:v>-0.05336353246450551</x:v>
      </x:c>
      <x:c r="G431" s="30" t="n">
        <x:v>0.1388759728125712</x:v>
      </x:c>
      <x:c r="H431" s="30" t="n">
        <x:v>-0.38425316765575873</x:v>
      </x:c>
      <x:c r="I431" s="30" t="n">
        <x:v>0.3385</x:v>
      </x:c>
      <x:c r="J431" s="30" t="n">
        <x:v>0.4155</x:v>
      </x:c>
      <x:c r="K431" s="19" t="n">
        <x:v>2000</x:v>
      </x:c>
      <x:c r="L431" s="74" t="n">
        <x:v>46210.81356047454</x:v>
      </x:c>
      <x:c r="M431" s="19" t="n">
        <x:v>8902245</x:v>
      </x:c>
      <x:c r="N431" t="str">
        <x:v>40355b29bce094aef0e99358bdfd4011b92e72a54440a67760de4afae4883c33</x:v>
      </x:c>
      <x:c r="O431" t="str">
        <x:v>legacy_common_sample_8902245</x:v>
      </x:c>
      <x:c r="P431" t="str">
        <x:v>factor_report/gtja191_batch/gtja_150/ic_summary.csv</x:v>
      </x:c>
    </x:row>
    <x:row r="432">
      <x:c r="A432" t="str">
        <x:v>gtja_150</x:v>
      </x:c>
      <x:c r="B432" s="50" t="n">
        <x:v>5</x:v>
      </x:c>
      <x:c r="C432" s="30" t="n">
        <x:v>-0.028358977171860405</x:v>
      </x:c>
      <x:c r="D432" s="30" t="n">
        <x:v>0.09434856356446175</x:v>
      </x:c>
      <x:c r="E432" s="30" t="n">
        <x:v>-0.3005766712334174</x:v>
      </x:c>
      <x:c r="F432" s="30" t="n">
        <x:v>-0.07784400675240061</x:v>
      </x:c>
      <x:c r="G432" s="30" t="n">
        <x:v>0.14107292814260597</x:v>
      </x:c>
      <x:c r="H432" s="30" t="n">
        <x:v>-0.551799751924839</x:v>
      </x:c>
      <x:c r="I432" s="30" t="n">
        <x:v>0.28406813627254507</x:v>
      </x:c>
      <x:c r="J432" s="30" t="n">
        <x:v>0.3657314629258517</x:v>
      </x:c>
      <x:c r="K432" s="19" t="n">
        <x:v>1996</x:v>
      </x:c>
      <x:c r="L432" s="74" t="n">
        <x:v>46210.81356047454</x:v>
      </x:c>
      <x:c r="M432" s="19" t="n">
        <x:v>8902245</x:v>
      </x:c>
      <x:c r="N432" t="str">
        <x:v>40355b29bce094aef0e99358bdfd4011b92e72a54440a67760de4afae4883c33</x:v>
      </x:c>
      <x:c r="O432" t="str">
        <x:v>legacy_common_sample_8902245</x:v>
      </x:c>
      <x:c r="P432" t="str">
        <x:v>factor_report/gtja191_batch/gtja_150/ic_summary.csv</x:v>
      </x:c>
    </x:row>
    <x:row r="433">
      <x:c r="A433" t="str">
        <x:v>gtja_150</x:v>
      </x:c>
      <x:c r="B433" s="50" t="n">
        <x:v>10</x:v>
      </x:c>
      <x:c r="C433" s="30" t="n">
        <x:v>-0.034250058174758576</x:v>
      </x:c>
      <x:c r="D433" s="30" t="n">
        <x:v>0.09571713536238947</x:v>
      </x:c>
      <x:c r="E433" s="30" t="n">
        <x:v>-0.35782577534405186</x:v>
      </x:c>
      <x:c r="F433" s="30" t="n">
        <x:v>-0.09224468197712768</x:v>
      </x:c>
      <x:c r="G433" s="30" t="n">
        <x:v>0.1447917197567441</x:v>
      </x:c>
      <x:c r="H433" s="30" t="n">
        <x:v>-0.6370853397701364</x:v>
      </x:c>
      <x:c r="I433" s="30" t="n">
        <x:v>0.25565042692114515</x:v>
      </x:c>
      <x:c r="J433" s="30" t="n">
        <x:v>0.3465595178302361</x:v>
      </x:c>
      <x:c r="K433" s="19" t="n">
        <x:v>1991</x:v>
      </x:c>
      <x:c r="L433" s="74" t="n">
        <x:v>46210.81356047454</x:v>
      </x:c>
      <x:c r="M433" s="19" t="n">
        <x:v>8902245</x:v>
      </x:c>
      <x:c r="N433" t="str">
        <x:v>40355b29bce094aef0e99358bdfd4011b92e72a54440a67760de4afae4883c33</x:v>
      </x:c>
      <x:c r="O433" t="str">
        <x:v>legacy_common_sample_8902245</x:v>
      </x:c>
      <x:c r="P433" t="str">
        <x:v>factor_report/gtja191_batch/gtja_150/ic_summary.csv</x:v>
      </x:c>
    </x:row>
    <x:row r="434">
      <x:c r="A434" t="str">
        <x:v>gtja_150</x:v>
      </x:c>
      <x:c r="B434" s="50" t="n">
        <x:v>20</x:v>
      </x:c>
      <x:c r="C434" s="30" t="n">
        <x:v>-0.04164128666358464</x:v>
      </x:c>
      <x:c r="D434" s="30" t="n">
        <x:v>0.09912613385945228</x:v>
      </x:c>
      <x:c r="E434" s="30" t="n">
        <x:v>-0.42008383704973773</x:v>
      </x:c>
      <x:c r="F434" s="30" t="n">
        <x:v>-0.11156827243879673</x:v>
      </x:c>
      <x:c r="G434" s="30" t="n">
        <x:v>0.1506698916605229</x:v>
      </x:c>
      <x:c r="H434" s="30" t="n">
        <x:v>-0.740481533564604</x:v>
      </x:c>
      <x:c r="I434" s="30" t="n">
        <x:v>0.23119636547198386</x:v>
      </x:c>
      <x:c r="J434" s="30" t="n">
        <x:v>0.31448763250883394</x:v>
      </x:c>
      <x:c r="K434" s="19" t="n">
        <x:v>1981</x:v>
      </x:c>
      <x:c r="L434" s="74" t="n">
        <x:v>46210.81356047454</x:v>
      </x:c>
      <x:c r="M434" s="19" t="n">
        <x:v>8902245</x:v>
      </x:c>
      <x:c r="N434" t="str">
        <x:v>40355b29bce094aef0e99358bdfd4011b92e72a54440a67760de4afae4883c33</x:v>
      </x:c>
      <x:c r="O434" t="str">
        <x:v>legacy_common_sample_8902245</x:v>
      </x:c>
      <x:c r="P434" t="str">
        <x:v>factor_report/gtja191_batch/gtja_150/ic_summary.csv</x:v>
      </x:c>
    </x:row>
    <x:row r="435">
      <x:c r="A435" t="str">
        <x:v>gtja_151</x:v>
      </x:c>
      <x:c r="B435" s="50" t="n">
        <x:v>1</x:v>
      </x:c>
      <x:c r="C435" s="30" t="n">
        <x:v>-0.0048412640669853214</x:v>
      </x:c>
      <x:c r="D435" s="30" t="n">
        <x:v>0.10167974442949779</x:v>
      </x:c>
      <x:c r="E435" s="30" t="n">
        <x:v>-0.047612866202099216</x:v>
      </x:c>
      <x:c r="F435" s="30" t="n">
        <x:v>-0.02290847888460326</x:v>
      </x:c>
      <x:c r="G435" s="30" t="n">
        <x:v>0.15655081749666494</x:v>
      </x:c>
      <x:c r="H435" s="30" t="n">
        <x:v>-0.146332540774444</x:v>
      </x:c>
      <x:c r="I435" s="30" t="n">
        <x:v>0.441</x:v>
      </x:c>
      <x:c r="J435" s="30" t="n">
        <x:v>0.4955</x:v>
      </x:c>
      <x:c r="K435" s="19" t="n">
        <x:v>2000</x:v>
      </x:c>
      <x:c r="L435" s="74" t="n">
        <x:v>46210.81806668981</x:v>
      </x:c>
      <x:c r="M435" s="19" t="n">
        <x:v>8902245</x:v>
      </x:c>
      <x:c r="N435" t="str">
        <x:v>40355b29bce094aef0e99358bdfd4011b92e72a54440a67760de4afae4883c33</x:v>
      </x:c>
      <x:c r="O435" t="str">
        <x:v>legacy_common_sample_8902245</x:v>
      </x:c>
      <x:c r="P435" t="str">
        <x:v>factor_report/gtja191_batch/gtja_151/ic_summary.csv</x:v>
      </x:c>
    </x:row>
    <x:row r="436">
      <x:c r="A436" t="str">
        <x:v>gtja_151</x:v>
      </x:c>
      <x:c r="B436" s="50" t="n">
        <x:v>5</x:v>
      </x:c>
      <x:c r="C436" s="30" t="n">
        <x:v>-0.009289330054914894</x:v>
      </x:c>
      <x:c r="D436" s="30" t="n">
        <x:v>0.09395023341261265</x:v>
      </x:c>
      <x:c r="E436" s="30" t="n">
        <x:v>-0.09887500773007998</x:v>
      </x:c>
      <x:c r="F436" s="30" t="n">
        <x:v>-0.03830023224214012</x:v>
      </x:c>
      <x:c r="G436" s="30" t="n">
        <x:v>0.14583026771426402</x:v>
      </x:c>
      <x:c r="H436" s="30" t="n">
        <x:v>-0.2626356849127136</x:v>
      </x:c>
      <x:c r="I436" s="30" t="n">
        <x:v>0.407314629258517</x:v>
      </x:c>
      <x:c r="J436" s="30" t="n">
        <x:v>0.46593186372745493</x:v>
      </x:c>
      <x:c r="K436" s="19" t="n">
        <x:v>1996</x:v>
      </x:c>
      <x:c r="L436" s="74" t="n">
        <x:v>46210.81806668981</x:v>
      </x:c>
      <x:c r="M436" s="19" t="n">
        <x:v>8902245</x:v>
      </x:c>
      <x:c r="N436" t="str">
        <x:v>40355b29bce094aef0e99358bdfd4011b92e72a54440a67760de4afae4883c33</x:v>
      </x:c>
      <x:c r="O436" t="str">
        <x:v>legacy_common_sample_8902245</x:v>
      </x:c>
      <x:c r="P436" t="str">
        <x:v>factor_report/gtja191_batch/gtja_151/ic_summary.csv</x:v>
      </x:c>
    </x:row>
    <x:row r="437">
      <x:c r="A437" t="str">
        <x:v>gtja_151</x:v>
      </x:c>
      <x:c r="B437" s="50" t="n">
        <x:v>10</x:v>
      </x:c>
      <x:c r="C437" s="30" t="n">
        <x:v>-0.01073591069423631</x:v>
      </x:c>
      <x:c r="D437" s="30" t="n">
        <x:v>0.08967529205524234</x:v>
      </x:c>
      <x:c r="E437" s="30" t="n">
        <x:v>-0.11971982971209848</x:v>
      </x:c>
      <x:c r="F437" s="30" t="n">
        <x:v>-0.04543164372225063</x:v>
      </x:c>
      <x:c r="G437" s="30" t="n">
        <x:v>0.13953071906118122</x:v>
      </x:c>
      <x:c r="H437" s="30" t="n">
        <x:v>-0.32560316486529267</x:v>
      </x:c>
      <x:c r="I437" s="30" t="n">
        <x:v>0.3746860873932697</x:v>
      </x:c>
      <x:c r="J437" s="30" t="n">
        <x:v>0.45454545454545453</x:v>
      </x:c>
      <x:c r="K437" s="19" t="n">
        <x:v>1991</x:v>
      </x:c>
      <x:c r="L437" s="74" t="n">
        <x:v>46210.81806668981</x:v>
      </x:c>
      <x:c r="M437" s="19" t="n">
        <x:v>8902245</x:v>
      </x:c>
      <x:c r="N437" t="str">
        <x:v>40355b29bce094aef0e99358bdfd4011b92e72a54440a67760de4afae4883c33</x:v>
      </x:c>
      <x:c r="O437" t="str">
        <x:v>legacy_common_sample_8902245</x:v>
      </x:c>
      <x:c r="P437" t="str">
        <x:v>factor_report/gtja191_batch/gtja_151/ic_summary.csv</x:v>
      </x:c>
    </x:row>
    <x:row r="438">
      <x:c r="A438" t="str">
        <x:v>gtja_151</x:v>
      </x:c>
      <x:c r="B438" s="50" t="n">
        <x:v>20</x:v>
      </x:c>
      <x:c r="C438" s="30" t="n">
        <x:v>-0.010061863710200701</x:v>
      </x:c>
      <x:c r="D438" s="30" t="n">
        <x:v>0.09009357371324732</x:v>
      </x:c>
      <x:c r="E438" s="30" t="n">
        <x:v>-0.11168236862515765</x:v>
      </x:c>
      <x:c r="F438" s="30" t="n">
        <x:v>-0.048389435009328755</x:v>
      </x:c>
      <x:c r="G438" s="30" t="n">
        <x:v>0.13939499552008833</x:v>
      </x:c>
      <x:c r="H438" s="30" t="n">
        <x:v>-0.3471389688617287</x:v>
      </x:c>
      <x:c r="I438" s="30" t="n">
        <x:v>0.37657748611812214</x:v>
      </x:c>
      <x:c r="J438" s="30" t="n">
        <x:v>0.4603735487127713</x:v>
      </x:c>
      <x:c r="K438" s="19" t="n">
        <x:v>1981</x:v>
      </x:c>
      <x:c r="L438" s="74" t="n">
        <x:v>46210.81806668981</x:v>
      </x:c>
      <x:c r="M438" s="19" t="n">
        <x:v>8902245</x:v>
      </x:c>
      <x:c r="N438" t="str">
        <x:v>40355b29bce094aef0e99358bdfd4011b92e72a54440a67760de4afae4883c33</x:v>
      </x:c>
      <x:c r="O438" t="str">
        <x:v>legacy_common_sample_8902245</x:v>
      </x:c>
      <x:c r="P438" t="str">
        <x:v>factor_report/gtja191_batch/gtja_151/ic_summary.csv</x:v>
      </x:c>
    </x:row>
    <x:row r="439">
      <x:c r="A439" t="str">
        <x:v>gtja_152</x:v>
      </x:c>
      <x:c r="B439" s="50" t="n">
        <x:v>1</x:v>
      </x:c>
      <x:c r="C439" s="30" t="n">
        <x:v>-0.00608912035963732</x:v>
      </x:c>
      <x:c r="D439" s="30" t="n">
        <x:v>0.10300621960970946</x:v>
      </x:c>
      <x:c r="E439" s="30" t="n">
        <x:v>-0.059114103815371494</x:v>
      </x:c>
      <x:c r="F439" s="30" t="n">
        <x:v>-0.01459540524139156</x:v>
      </x:c>
      <x:c r="G439" s="30" t="n">
        <x:v>0.12663285539332156</x:v>
      </x:c>
      <x:c r="H439" s="30" t="n">
        <x:v>-0.11525764933640832</x:v>
      </x:c>
      <x:c r="I439" s="30" t="n">
        <x:v>0.4465</x:v>
      </x:c>
      <x:c r="J439" s="30" t="n">
        <x:v>0.4795</x:v>
      </x:c>
      <x:c r="K439" s="19" t="n">
        <x:v>2000</x:v>
      </x:c>
      <x:c r="L439" s="74" t="n">
        <x:v>46210.823093680556</x:v>
      </x:c>
      <x:c r="M439" s="19" t="n">
        <x:v>8902245</x:v>
      </x:c>
      <x:c r="N439" t="str">
        <x:v>40355b29bce094aef0e99358bdfd4011b92e72a54440a67760de4afae4883c33</x:v>
      </x:c>
      <x:c r="O439" t="str">
        <x:v>legacy_common_sample_8902245</x:v>
      </x:c>
      <x:c r="P439" t="str">
        <x:v>factor_report/gtja191_batch/gtja_152/ic_summary.csv</x:v>
      </x:c>
    </x:row>
    <x:row r="440">
      <x:c r="A440" t="str">
        <x:v>gtja_152</x:v>
      </x:c>
      <x:c r="B440" s="50" t="n">
        <x:v>5</x:v>
      </x:c>
      <x:c r="C440" s="30" t="n">
        <x:v>-0.01138830719594473</x:v>
      </x:c>
      <x:c r="D440" s="30" t="n">
        <x:v>0.10017629442777391</x:v>
      </x:c>
      <x:c r="E440" s="30" t="n">
        <x:v>-0.11368265577197591</x:v>
      </x:c>
      <x:c r="F440" s="30" t="n">
        <x:v>-0.023532595295527762</x:v>
      </x:c>
      <x:c r="G440" s="30" t="n">
        <x:v>0.126079381948476</x:v>
      </x:c>
      <x:c r="H440" s="30" t="n">
        <x:v>-0.18664903754957068</x:v>
      </x:c>
      <x:c r="I440" s="30" t="n">
        <x:v>0.4333667334669339</x:v>
      </x:c>
      <x:c r="J440" s="30" t="n">
        <x:v>0.4724448897795591</x:v>
      </x:c>
      <x:c r="K440" s="19" t="n">
        <x:v>1996</x:v>
      </x:c>
      <x:c r="L440" s="74" t="n">
        <x:v>46210.823093680556</x:v>
      </x:c>
      <x:c r="M440" s="19" t="n">
        <x:v>8902245</x:v>
      </x:c>
      <x:c r="N440" t="str">
        <x:v>40355b29bce094aef0e99358bdfd4011b92e72a54440a67760de4afae4883c33</x:v>
      </x:c>
      <x:c r="O440" t="str">
        <x:v>legacy_common_sample_8902245</x:v>
      </x:c>
      <x:c r="P440" t="str">
        <x:v>factor_report/gtja191_batch/gtja_152/ic_summary.csv</x:v>
      </x:c>
    </x:row>
    <x:row r="441">
      <x:c r="A441" t="str">
        <x:v>gtja_152</x:v>
      </x:c>
      <x:c r="B441" s="50" t="n">
        <x:v>10</x:v>
      </x:c>
      <x:c r="C441" s="30" t="n">
        <x:v>-0.012642183460939298</x:v>
      </x:c>
      <x:c r="D441" s="30" t="n">
        <x:v>0.10168888107928904</x:v>
      </x:c>
      <x:c r="E441" s="30" t="n">
        <x:v>-0.12432218082016176</x:v>
      </x:c>
      <x:c r="F441" s="30" t="n">
        <x:v>-0.027070408073359118</x:v>
      </x:c>
      <x:c r="G441" s="30" t="n">
        <x:v>0.12798637128724902</x:v>
      </x:c>
      <x:c r="H441" s="30" t="n">
        <x:v>-0.21151008346508282</x:v>
      </x:c>
      <x:c r="I441" s="30" t="n">
        <x:v>0.4193872425916625</x:v>
      </x:c>
      <x:c r="J441" s="30" t="n">
        <x:v>0.4686087393269714</x:v>
      </x:c>
      <x:c r="K441" s="19" t="n">
        <x:v>1991</x:v>
      </x:c>
      <x:c r="L441" s="74" t="n">
        <x:v>46210.823093680556</x:v>
      </x:c>
      <x:c r="M441" s="19" t="n">
        <x:v>8902245</x:v>
      </x:c>
      <x:c r="N441" t="str">
        <x:v>40355b29bce094aef0e99358bdfd4011b92e72a54440a67760de4afae4883c33</x:v>
      </x:c>
      <x:c r="O441" t="str">
        <x:v>legacy_common_sample_8902245</x:v>
      </x:c>
      <x:c r="P441" t="str">
        <x:v>factor_report/gtja191_batch/gtja_152/ic_summary.csv</x:v>
      </x:c>
    </x:row>
    <x:row r="442">
      <x:c r="A442" t="str">
        <x:v>gtja_152</x:v>
      </x:c>
      <x:c r="B442" s="50" t="n">
        <x:v>20</x:v>
      </x:c>
      <x:c r="C442" s="30" t="n">
        <x:v>-0.013591082744117938</x:v>
      </x:c>
      <x:c r="D442" s="30" t="n">
        <x:v>0.10191208910686288</x:v>
      </x:c>
      <x:c r="E442" s="30" t="n">
        <x:v>-0.1333608491713541</x:v>
      </x:c>
      <x:c r="F442" s="30" t="n">
        <x:v>-0.0303796035749371</x:v>
      </x:c>
      <x:c r="G442" s="30" t="n">
        <x:v>0.12782482372328205</x:v>
      </x:c>
      <x:c r="H442" s="30" t="n">
        <x:v>-0.23766591410056254</x:v>
      </x:c>
      <x:c r="I442" s="30" t="n">
        <x:v>0.414437152953054</x:v>
      </x:c>
      <x:c r="J442" s="30" t="n">
        <x:v>0.4618879353861686</x:v>
      </x:c>
      <x:c r="K442" s="19" t="n">
        <x:v>1981</x:v>
      </x:c>
      <x:c r="L442" s="74" t="n">
        <x:v>46210.823093680556</x:v>
      </x:c>
      <x:c r="M442" s="19" t="n">
        <x:v>8902245</x:v>
      </x:c>
      <x:c r="N442" t="str">
        <x:v>40355b29bce094aef0e99358bdfd4011b92e72a54440a67760de4afae4883c33</x:v>
      </x:c>
      <x:c r="O442" t="str">
        <x:v>legacy_common_sample_8902245</x:v>
      </x:c>
      <x:c r="P442" t="str">
        <x:v>factor_report/gtja191_batch/gtja_152/ic_summary.csv</x:v>
      </x:c>
    </x:row>
    <x:row r="443">
      <x:c r="A443" t="str">
        <x:v>gtja_153</x:v>
      </x:c>
      <x:c r="B443" s="50" t="n">
        <x:v>1</x:v>
      </x:c>
      <x:c r="C443" s="30" t="n">
        <x:v>-0.003549649916552422</x:v>
      </x:c>
      <x:c r="D443" s="30" t="n">
        <x:v>0.08520626503782158</x:v>
      </x:c>
      <x:c r="E443" s="30" t="n">
        <x:v>-0.04165949434559529</x:v>
      </x:c>
      <x:c r="F443" s="30" t="n">
        <x:v>-0.019613177718020416</x:v>
      </x:c>
      <x:c r="G443" s="30" t="n">
        <x:v>0.16791184140411797</x:v>
      </x:c>
      <x:c r="H443" s="30" t="n">
        <x:v>-0.11680640003712932</x:v>
      </x:c>
      <x:c r="I443" s="30" t="n">
        <x:v>0.458</x:v>
      </x:c>
      <x:c r="J443" s="30" t="n">
        <x:v>0.4815</x:v>
      </x:c>
      <x:c r="K443" s="19" t="n">
        <x:v>2000</x:v>
      </x:c>
      <x:c r="L443" s="74" t="n">
        <x:v>46210.827101863426</x:v>
      </x:c>
      <x:c r="M443" s="19" t="n">
        <x:v>8902245</x:v>
      </x:c>
      <x:c r="N443" t="str">
        <x:v>40355b29bce094aef0e99358bdfd4011b92e72a54440a67760de4afae4883c33</x:v>
      </x:c>
      <x:c r="O443" t="str">
        <x:v>legacy_common_sample_8902245</x:v>
      </x:c>
      <x:c r="P443" t="str">
        <x:v>factor_report/gtja191_batch/gtja_153/ic_summary.csv</x:v>
      </x:c>
    </x:row>
    <x:row r="444">
      <x:c r="A444" t="str">
        <x:v>gtja_153</x:v>
      </x:c>
      <x:c r="B444" s="50" t="n">
        <x:v>5</x:v>
      </x:c>
      <x:c r="C444" s="30" t="n">
        <x:v>-0.007218756900249273</x:v>
      </x:c>
      <x:c r="D444" s="30" t="n">
        <x:v>0.08731666605579096</x:v>
      </x:c>
      <x:c r="E444" s="30" t="n">
        <x:v>-0.08267329968412732</x:v>
      </x:c>
      <x:c r="F444" s="30" t="n">
        <x:v>-0.03067373866235267</x:v>
      </x:c>
      <x:c r="G444" s="30" t="n">
        <x:v>0.17588937403272994</x:v>
      </x:c>
      <x:c r="H444" s="30" t="n">
        <x:v>-0.17439222142347738</x:v>
      </x:c>
      <x:c r="I444" s="30" t="n">
        <x:v>0.46593186372745493</x:v>
      </x:c>
      <x:c r="J444" s="30" t="n">
        <x:v>0.4729458917835671</x:v>
      </x:c>
      <x:c r="K444" s="19" t="n">
        <x:v>1996</x:v>
      </x:c>
      <x:c r="L444" s="74" t="n">
        <x:v>46210.827101863426</x:v>
      </x:c>
      <x:c r="M444" s="19" t="n">
        <x:v>8902245</x:v>
      </x:c>
      <x:c r="N444" t="str">
        <x:v>40355b29bce094aef0e99358bdfd4011b92e72a54440a67760de4afae4883c33</x:v>
      </x:c>
      <x:c r="O444" t="str">
        <x:v>legacy_common_sample_8902245</x:v>
      </x:c>
      <x:c r="P444" t="str">
        <x:v>factor_report/gtja191_batch/gtja_153/ic_summary.csv</x:v>
      </x:c>
    </x:row>
    <x:row r="445">
      <x:c r="A445" t="str">
        <x:v>gtja_153</x:v>
      </x:c>
      <x:c r="B445" s="50" t="n">
        <x:v>10</x:v>
      </x:c>
      <x:c r="C445" s="30" t="n">
        <x:v>-0.010054206431721294</x:v>
      </x:c>
      <x:c r="D445" s="30" t="n">
        <x:v>0.09111354655733055</x:v>
      </x:c>
      <x:c r="E445" s="30" t="n">
        <x:v>-0.11034809654122044</x:v>
      </x:c>
      <x:c r="F445" s="30" t="n">
        <x:v>-0.03994208451855303</x:v>
      </x:c>
      <x:c r="G445" s="30" t="n">
        <x:v>0.18360593322646068</x:v>
      </x:c>
      <x:c r="H445" s="30" t="n">
        <x:v>-0.21754244983623824</x:v>
      </x:c>
      <x:c r="I445" s="30" t="n">
        <x:v>0.4445002511300854</x:v>
      </x:c>
      <x:c r="J445" s="30" t="n">
        <x:v>0.4600703164239076</x:v>
      </x:c>
      <x:c r="K445" s="19" t="n">
        <x:v>1991</x:v>
      </x:c>
      <x:c r="L445" s="74" t="n">
        <x:v>46210.827101863426</x:v>
      </x:c>
      <x:c r="M445" s="19" t="n">
        <x:v>8902245</x:v>
      </x:c>
      <x:c r="N445" t="str">
        <x:v>40355b29bce094aef0e99358bdfd4011b92e72a54440a67760de4afae4883c33</x:v>
      </x:c>
      <x:c r="O445" t="str">
        <x:v>legacy_common_sample_8902245</x:v>
      </x:c>
      <x:c r="P445" t="str">
        <x:v>factor_report/gtja191_batch/gtja_153/ic_summary.csv</x:v>
      </x:c>
    </x:row>
    <x:row r="446">
      <x:c r="A446" t="str">
        <x:v>gtja_153</x:v>
      </x:c>
      <x:c r="B446" s="50" t="n">
        <x:v>20</x:v>
      </x:c>
      <x:c r="C446" s="30" t="n">
        <x:v>-0.014303941234649403</x:v>
      </x:c>
      <x:c r="D446" s="30" t="n">
        <x:v>0.09411080597207137</x:v>
      </x:c>
      <x:c r="E446" s="30" t="n">
        <x:v>-0.15199042327715573</x:v>
      </x:c>
      <x:c r="F446" s="30" t="n">
        <x:v>-0.052101026597468354</x:v>
      </x:c>
      <x:c r="G446" s="30" t="n">
        <x:v>0.18628598892951526</x:v>
      </x:c>
      <x:c r="H446" s="30" t="n">
        <x:v>-0.27968301264558193</x:v>
      </x:c>
      <x:c r="I446" s="30" t="n">
        <x:v>0.425542655224634</x:v>
      </x:c>
      <x:c r="J446" s="30" t="n">
        <x:v>0.42857142857142855</x:v>
      </x:c>
      <x:c r="K446" s="19" t="n">
        <x:v>1981</x:v>
      </x:c>
      <x:c r="L446" s="74" t="n">
        <x:v>46210.827101863426</x:v>
      </x:c>
      <x:c r="M446" s="19" t="n">
        <x:v>8902245</x:v>
      </x:c>
      <x:c r="N446" t="str">
        <x:v>40355b29bce094aef0e99358bdfd4011b92e72a54440a67760de4afae4883c33</x:v>
      </x:c>
      <x:c r="O446" t="str">
        <x:v>legacy_common_sample_8902245</x:v>
      </x:c>
      <x:c r="P446" t="str">
        <x:v>factor_report/gtja191_batch/gtja_153/ic_summary.csv</x:v>
      </x:c>
    </x:row>
    <x:row r="447">
      <x:c r="A447" t="str">
        <x:v>gtja_154</x:v>
      </x:c>
      <x:c r="B447" s="50" t="n">
        <x:v>10</x:v>
      </x:c>
      <x:c r="C447" s="30" t="n">
        <x:v>0.012047097933755828</x:v>
      </x:c>
      <x:c r="D447" s="30" t="n">
        <x:v>0.07005079738411114</x:v>
      </x:c>
      <x:c r="E447" s="30" t="n">
        <x:v>0.17197659960525072</x:v>
      </x:c>
      <x:c r="F447" s="30" t="n">
        <x:v>0.029524560602556423</x:v>
      </x:c>
      <x:c r="G447" s="30" t="n">
        <x:v>0.0810234334057085</x:v>
      </x:c>
      <x:c r="H447" s="30" t="n">
        <x:v>0.3643953281357276</x:v>
      </x:c>
      <x:c r="I447" s="30" t="n">
        <x:v>0.6357258499730167</x:v>
      </x:c>
      <x:c r="J447" s="30" t="n">
        <x:v>0.5623313545601727</x:v>
      </x:c>
      <x:c r="K447" s="19" t="n">
        <x:v>1853</x:v>
      </x:c>
      <x:c r="L447" s="74" t="n">
        <x:v>46211.49520696759</x:v>
      </x:c>
      <x:c r="M447" s="19" t="n">
        <x:v>8902245</x:v>
      </x:c>
      <x:c r="N447" t="str">
        <x:v>8f7e606554926462248cbcc654181861438ca768a0063f6b317223ede37d16fb</x:v>
      </x:c>
      <x:c r="O447" t="str">
        <x:v>legacy_common_sample_8902245</x:v>
      </x:c>
      <x:c r="P447" t="str">
        <x:v>factor_report/gtja191_batch/gtja_154/ic_summary.csv</x:v>
      </x:c>
    </x:row>
    <x:row r="448">
      <x:c r="A448" t="str">
        <x:v>gtja_154</x:v>
      </x:c>
      <x:c r="B448" s="50" t="n">
        <x:v>20</x:v>
      </x:c>
      <x:c r="C448" s="30" t="n">
        <x:v>0.01791759634633691</x:v>
      </x:c>
      <x:c r="D448" s="30" t="n">
        <x:v>0.07410365998673248</x:v>
      </x:c>
      <x:c r="E448" s="30" t="n">
        <x:v>0.2417909769847384</x:v>
      </x:c>
      <x:c r="F448" s="30" t="n">
        <x:v>0.03766733258790282</x:v>
      </x:c>
      <x:c r="G448" s="30" t="n">
        <x:v>0.08357481590984377</x:v>
      </x:c>
      <x:c r="H448" s="30" t="n">
        <x:v>0.45070195103434524</x:v>
      </x:c>
      <x:c r="I448" s="30" t="n">
        <x:v>0.6440586001085187</x:v>
      </x:c>
      <x:c r="J448" s="30" t="n">
        <x:v>0.5843733043950081</x:v>
      </x:c>
      <x:c r="K448" s="19" t="n">
        <x:v>1843</x:v>
      </x:c>
      <x:c r="L448" s="74" t="n">
        <x:v>46211.49520696759</x:v>
      </x:c>
      <x:c r="M448" s="19" t="n">
        <x:v>8902245</x:v>
      </x:c>
      <x:c r="N448" t="str">
        <x:v>8f7e606554926462248cbcc654181861438ca768a0063f6b317223ede37d16fb</x:v>
      </x:c>
      <x:c r="O448" t="str">
        <x:v>legacy_common_sample_8902245</x:v>
      </x:c>
      <x:c r="P448" t="str">
        <x:v>factor_report/gtja191_batch/gtja_154/ic_summary.csv</x:v>
      </x:c>
    </x:row>
    <x:row r="449">
      <x:c r="A449" t="str">
        <x:v>gtja_155</x:v>
      </x:c>
      <x:c r="B449" s="50" t="n">
        <x:v>10</x:v>
      </x:c>
      <x:c r="C449" s="30" t="n">
        <x:v>-0.012521485418973948</x:v>
      </x:c>
      <x:c r="D449" s="30" t="n">
        <x:v>0.05185700707133326</x:v>
      </x:c>
      <x:c r="E449" s="30" t="n">
        <x:v>-0.2414617835878899</x:v>
      </x:c>
      <x:c r="F449" s="30" t="n">
        <x:v>-0.015673193144436708</x:v>
      </x:c>
      <x:c r="G449" s="30" t="n">
        <x:v>0.07706790339787711</x:v>
      </x:c>
      <x:c r="H449" s="30" t="n">
        <x:v>-0.2033686197939107</x:v>
      </x:c>
      <x:c r="I449" s="30" t="n">
        <x:v>0.42089402310396784</x:v>
      </x:c>
      <x:c r="J449" s="30" t="n">
        <x:v>0.401305876443998</x:v>
      </x:c>
      <x:c r="K449" s="19" t="n">
        <x:v>1991</x:v>
      </x:c>
      <x:c r="L449" s="74" t="n">
        <x:v>46211.49922533565</x:v>
      </x:c>
      <x:c r="M449" s="19" t="n">
        <x:v>8902245</x:v>
      </x:c>
      <x:c r="N449" t="str">
        <x:v>8f7e606554926462248cbcc654181861438ca768a0063f6b317223ede37d16fb</x:v>
      </x:c>
      <x:c r="O449" t="str">
        <x:v>legacy_common_sample_8902245</x:v>
      </x:c>
      <x:c r="P449" t="str">
        <x:v>factor_report/gtja191_batch/gtja_155/ic_summary.csv</x:v>
      </x:c>
    </x:row>
    <x:row r="450">
      <x:c r="A450" t="str">
        <x:v>gtja_155</x:v>
      </x:c>
      <x:c r="B450" s="50" t="n">
        <x:v>20</x:v>
      </x:c>
      <x:c r="C450" s="30" t="n">
        <x:v>-0.012354864220983816</x:v>
      </x:c>
      <x:c r="D450" s="30" t="n">
        <x:v>0.0496346563979638</x:v>
      </x:c>
      <x:c r="E450" s="30" t="n">
        <x:v>-0.24891608238252375</x:v>
      </x:c>
      <x:c r="F450" s="30" t="n">
        <x:v>-0.014456809730245502</x:v>
      </x:c>
      <x:c r="G450" s="30" t="n">
        <x:v>0.07603418993094509</x:v>
      </x:c>
      <x:c r="H450" s="30" t="n">
        <x:v>-0.19013564481156836</x:v>
      </x:c>
      <x:c r="I450" s="30" t="n">
        <x:v>0.42453306410903585</x:v>
      </x:c>
      <x:c r="J450" s="30" t="n">
        <x:v>0.41191317516405856</x:v>
      </x:c>
      <x:c r="K450" s="19" t="n">
        <x:v>1981</x:v>
      </x:c>
      <x:c r="L450" s="74" t="n">
        <x:v>46211.49922533565</x:v>
      </x:c>
      <x:c r="M450" s="19" t="n">
        <x:v>8902245</x:v>
      </x:c>
      <x:c r="N450" t="str">
        <x:v>8f7e606554926462248cbcc654181861438ca768a0063f6b317223ede37d16fb</x:v>
      </x:c>
      <x:c r="O450" t="str">
        <x:v>legacy_common_sample_8902245</x:v>
      </x:c>
      <x:c r="P450" t="str">
        <x:v>factor_report/gtja191_batch/gtja_155/ic_summary.csv</x:v>
      </x:c>
    </x:row>
    <x:row r="451">
      <x:c r="A451" t="str">
        <x:v>gtja_156</x:v>
      </x:c>
      <x:c r="B451" s="50" t="n">
        <x:v>10</x:v>
      </x:c>
      <x:c r="C451" s="30" t="n">
        <x:v>0.025070626689873605</x:v>
      </x:c>
      <x:c r="D451" s="30" t="n">
        <x:v>0.08935719499741514</x:v>
      </x:c>
      <x:c r="E451" s="30" t="n">
        <x:v>0.28056640196235827</x:v>
      </x:c>
      <x:c r="F451" s="30" t="n">
        <x:v>0.05501076023105661</x:v>
      </x:c>
      <x:c r="G451" s="30" t="n">
        <x:v>0.10600342168223865</x:v>
      </x:c>
      <x:c r="H451" s="30" t="n">
        <x:v>0.5189526843384331</x:v>
      </x:c>
      <x:c r="I451" s="30" t="n">
        <x:v>0.7026619789050729</x:v>
      </x:c>
      <x:c r="J451" s="30" t="n">
        <x:v>0.6052235057759919</x:v>
      </x:c>
      <x:c r="K451" s="19" t="n">
        <x:v>1991</x:v>
      </x:c>
      <x:c r="L451" s="74" t="n">
        <x:v>46211.50185851852</x:v>
      </x:c>
      <x:c r="M451" s="19" t="n">
        <x:v>8902245</x:v>
      </x:c>
      <x:c r="N451" t="str">
        <x:v>8f7e606554926462248cbcc654181861438ca768a0063f6b317223ede37d16fb</x:v>
      </x:c>
      <x:c r="O451" t="str">
        <x:v>legacy_common_sample_8902245</x:v>
      </x:c>
      <x:c r="P451" t="str">
        <x:v>factor_report/gtja191_batch/gtja_156/ic_summary.csv</x:v>
      </x:c>
    </x:row>
    <x:row r="452">
      <x:c r="A452" t="str">
        <x:v>gtja_156</x:v>
      </x:c>
      <x:c r="B452" s="50" t="n">
        <x:v>20</x:v>
      </x:c>
      <x:c r="C452" s="30" t="n">
        <x:v>0.029310860798907244</x:v>
      </x:c>
      <x:c r="D452" s="30" t="n">
        <x:v>0.09348160298288323</x:v>
      </x:c>
      <x:c r="E452" s="30" t="n">
        <x:v>0.3135468355658616</x:v>
      </x:c>
      <x:c r="F452" s="30" t="n">
        <x:v>0.06318085745008127</x:v>
      </x:c>
      <x:c r="G452" s="30" t="n">
        <x:v>0.11019826229320252</x:v>
      </x:c>
      <x:c r="H452" s="30" t="n">
        <x:v>0.5733380557488021</x:v>
      </x:c>
      <x:c r="I452" s="30" t="n">
        <x:v>0.712771327612317</x:v>
      </x:c>
      <x:c r="J452" s="30" t="n">
        <x:v>0.618879353861686</x:v>
      </x:c>
      <x:c r="K452" s="19" t="n">
        <x:v>1981</x:v>
      </x:c>
      <x:c r="L452" s="74" t="n">
        <x:v>46211.50185851852</x:v>
      </x:c>
      <x:c r="M452" s="19" t="n">
        <x:v>8902245</x:v>
      </x:c>
      <x:c r="N452" t="str">
        <x:v>8f7e606554926462248cbcc654181861438ca768a0063f6b317223ede37d16fb</x:v>
      </x:c>
      <x:c r="O452" t="str">
        <x:v>legacy_common_sample_8902245</x:v>
      </x:c>
      <x:c r="P452" t="str">
        <x:v>factor_report/gtja191_batch/gtja_156/ic_summary.csv</x:v>
      </x:c>
    </x:row>
    <x:row r="453">
      <x:c r="A453" t="str">
        <x:v>gtja_157</x:v>
      </x:c>
      <x:c r="B453" s="50" t="n">
        <x:v>10</x:v>
      </x:c>
      <x:c r="C453" s="30" t="n">
        <x:v>0.021337203703238782</x:v>
      </x:c>
      <x:c r="D453" s="30" t="n">
        <x:v>0.09165794438862136</x:v>
      </x:c>
      <x:c r="E453" s="30" t="n">
        <x:v>0.23279164556397836</x:v>
      </x:c>
      <x:c r="F453" s="30" t="n">
        <x:v>0.044669140138907784</x:v>
      </x:c>
      <x:c r="G453" s="30" t="n">
        <x:v>0.1080889058868639</x:v>
      </x:c>
      <x:c r="H453" s="30" t="n">
        <x:v>0.4132629502759769</x:v>
      </x:c>
      <x:c r="I453" s="30" t="n">
        <x:v>0.6700150678051231</x:v>
      </x:c>
      <x:c r="J453" s="30" t="n">
        <x:v>0.5981918633852336</x:v>
      </x:c>
      <x:c r="K453" s="19" t="n">
        <x:v>1991</x:v>
      </x:c>
      <x:c r="L453" s="74" t="n">
        <x:v>46211.50636057871</x:v>
      </x:c>
      <x:c r="M453" s="19" t="n">
        <x:v>8902245</x:v>
      </x:c>
      <x:c r="N453" t="str">
        <x:v>8f7e606554926462248cbcc654181861438ca768a0063f6b317223ede37d16fb</x:v>
      </x:c>
      <x:c r="O453" t="str">
        <x:v>legacy_common_sample_8902245</x:v>
      </x:c>
      <x:c r="P453" t="str">
        <x:v>factor_report/gtja191_batch/gtja_157/ic_summary.csv</x:v>
      </x:c>
    </x:row>
    <x:row r="454">
      <x:c r="A454" t="str">
        <x:v>gtja_157</x:v>
      </x:c>
      <x:c r="B454" s="50" t="n">
        <x:v>20</x:v>
      </x:c>
      <x:c r="C454" s="30" t="n">
        <x:v>0.026512143412782865</x:v>
      </x:c>
      <x:c r="D454" s="30" t="n">
        <x:v>0.09434741608981433</x:v>
      </x:c>
      <x:c r="E454" s="30" t="n">
        <x:v>0.2810055061555109</x:v>
      </x:c>
      <x:c r="F454" s="30" t="n">
        <x:v>0.05137294362528669</x:v>
      </x:c>
      <x:c r="G454" s="30" t="n">
        <x:v>0.11069149955785575</x:v>
      </x:c>
      <x:c r="H454" s="30" t="n">
        <x:v>0.464109202879082</x:v>
      </x:c>
      <x:c r="I454" s="30" t="n">
        <x:v>0.6774356385663807</x:v>
      </x:c>
      <x:c r="J454" s="30" t="n">
        <x:v>0.6203937405350833</x:v>
      </x:c>
      <x:c r="K454" s="19" t="n">
        <x:v>1981</x:v>
      </x:c>
      <x:c r="L454" s="74" t="n">
        <x:v>46211.50636057871</x:v>
      </x:c>
      <x:c r="M454" s="19" t="n">
        <x:v>8902245</x:v>
      </x:c>
      <x:c r="N454" t="str">
        <x:v>8f7e606554926462248cbcc654181861438ca768a0063f6b317223ede37d16fb</x:v>
      </x:c>
      <x:c r="O454" t="str">
        <x:v>legacy_common_sample_8902245</x:v>
      </x:c>
      <x:c r="P454" t="str">
        <x:v>factor_report/gtja191_batch/gtja_157/ic_summary.csv</x:v>
      </x:c>
    </x:row>
    <x:row r="455">
      <x:c r="A455" t="str">
        <x:v>gtja_158</x:v>
      </x:c>
      <x:c r="B455" s="50" t="n">
        <x:v>1</x:v>
      </x:c>
      <x:c r="C455" s="30" t="n">
        <x:v>-0.019410573268389485</x:v>
      </x:c>
      <x:c r="D455" s="30" t="n">
        <x:v>0.12916965952183557</x:v>
      </x:c>
      <x:c r="E455" s="30" t="n">
        <x:v>-0.1502719240744628</x:v>
      </x:c>
      <x:c r="F455" s="30" t="n">
        <x:v>-0.05200081838059828</x:v>
      </x:c>
      <x:c r="G455" s="30" t="n">
        <x:v>0.15206881249090748</x:v>
      </x:c>
      <x:c r="H455" s="30" t="n">
        <x:v>-0.34195583912847033</x:v>
      </x:c>
      <x:c r="I455" s="30" t="n">
        <x:v>0.3535</x:v>
      </x:c>
      <x:c r="J455" s="30" t="n">
        <x:v>0.4345</x:v>
      </x:c>
      <x:c r="K455" s="19" t="n">
        <x:v>2000</x:v>
      </x:c>
      <x:c r="L455" s="74" t="n">
        <x:v>46210.85092011574</x:v>
      </x:c>
      <x:c r="M455" s="19" t="n">
        <x:v>8902245</x:v>
      </x:c>
      <x:c r="N455" t="str">
        <x:v>40355b29bce094aef0e99358bdfd4011b92e72a54440a67760de4afae4883c33</x:v>
      </x:c>
      <x:c r="O455" t="str">
        <x:v>legacy_common_sample_8902245</x:v>
      </x:c>
      <x:c r="P455" t="str">
        <x:v>factor_report/gtja191_batch/gtja_158/ic_summary.csv</x:v>
      </x:c>
    </x:row>
    <x:row r="456">
      <x:c r="A456" t="str">
        <x:v>gtja_158</x:v>
      </x:c>
      <x:c r="B456" s="50" t="n">
        <x:v>5</x:v>
      </x:c>
      <x:c r="C456" s="30" t="n">
        <x:v>-0.03171309748924288</x:v>
      </x:c>
      <x:c r="D456" s="30" t="n">
        <x:v>0.11899586735942036</x:v>
      </x:c>
      <x:c r="E456" s="30" t="n">
        <x:v>-0.26650587279182764</x:v>
      </x:c>
      <x:c r="F456" s="30" t="n">
        <x:v>-0.0622115405429208</x:v>
      </x:c>
      <x:c r="G456" s="30" t="n">
        <x:v>0.143263592454755</x:v>
      </x:c>
      <x:c r="H456" s="30" t="n">
        <x:v>-0.4342452920309689</x:v>
      </x:c>
      <x:c r="I456" s="30" t="n">
        <x:v>0.3196392785571142</x:v>
      </x:c>
      <x:c r="J456" s="30" t="n">
        <x:v>0.3912825651302605</x:v>
      </x:c>
      <x:c r="K456" s="19" t="n">
        <x:v>1996</x:v>
      </x:c>
      <x:c r="L456" s="74" t="n">
        <x:v>46210.85092011574</x:v>
      </x:c>
      <x:c r="M456" s="19" t="n">
        <x:v>8902245</x:v>
      </x:c>
      <x:c r="N456" t="str">
        <x:v>40355b29bce094aef0e99358bdfd4011b92e72a54440a67760de4afae4883c33</x:v>
      </x:c>
      <x:c r="O456" t="str">
        <x:v>legacy_common_sample_8902245</x:v>
      </x:c>
      <x:c r="P456" t="str">
        <x:v>factor_report/gtja191_batch/gtja_158/ic_summary.csv</x:v>
      </x:c>
    </x:row>
    <x:row r="457">
      <x:c r="A457" t="str">
        <x:v>gtja_158</x:v>
      </x:c>
      <x:c r="B457" s="50" t="n">
        <x:v>10</x:v>
      </x:c>
      <x:c r="C457" s="30" t="n">
        <x:v>-0.03655695590855129</x:v>
      </x:c>
      <x:c r="D457" s="30" t="n">
        <x:v>0.1168439905322527</x:v>
      </x:c>
      <x:c r="E457" s="30" t="n">
        <x:v>-0.3128697996535851</x:v>
      </x:c>
      <x:c r="F457" s="30" t="n">
        <x:v>-0.06798036351326307</x:v>
      </x:c>
      <x:c r="G457" s="30" t="n">
        <x:v>0.1425731170958223</x:v>
      </x:c>
      <x:c r="H457" s="30" t="n">
        <x:v>-0.4768105299091833</x:v>
      </x:c>
      <x:c r="I457" s="30" t="n">
        <x:v>0.3124058262179809</x:v>
      </x:c>
      <x:c r="J457" s="30" t="n">
        <x:v>0.3756906077348066</x:v>
      </x:c>
      <x:c r="K457" s="19" t="n">
        <x:v>1991</x:v>
      </x:c>
      <x:c r="L457" s="74" t="n">
        <x:v>46210.85092011574</x:v>
      </x:c>
      <x:c r="M457" s="19" t="n">
        <x:v>8902245</x:v>
      </x:c>
      <x:c r="N457" t="str">
        <x:v>40355b29bce094aef0e99358bdfd4011b92e72a54440a67760de4afae4883c33</x:v>
      </x:c>
      <x:c r="O457" t="str">
        <x:v>legacy_common_sample_8902245</x:v>
      </x:c>
      <x:c r="P457" t="str">
        <x:v>factor_report/gtja191_batch/gtja_158/ic_summary.csv</x:v>
      </x:c>
    </x:row>
    <x:row r="458">
      <x:c r="A458" t="str">
        <x:v>gtja_158</x:v>
      </x:c>
      <x:c r="B458" s="50" t="n">
        <x:v>20</x:v>
      </x:c>
      <x:c r="C458" s="30" t="n">
        <x:v>-0.04142049505226221</x:v>
      </x:c>
      <x:c r="D458" s="30" t="n">
        <x:v>0.11749437055349544</x:v>
      </x:c>
      <x:c r="E458" s="30" t="n">
        <x:v>-0.352531741368863</x:v>
      </x:c>
      <x:c r="F458" s="30" t="n">
        <x:v>-0.07619005015983824</x:v>
      </x:c>
      <x:c r="G458" s="30" t="n">
        <x:v>0.14653593624438352</x:v>
      </x:c>
      <x:c r="H458" s="30" t="n">
        <x:v>-0.5199410609611366</x:v>
      </x:c>
      <x:c r="I458" s="30" t="n">
        <x:v>0.3008581524482585</x:v>
      </x:c>
      <x:c r="J458" s="30" t="n">
        <x:v>0.36597677940434126</x:v>
      </x:c>
      <x:c r="K458" s="19" t="n">
        <x:v>1981</x:v>
      </x:c>
      <x:c r="L458" s="74" t="n">
        <x:v>46210.85092011574</x:v>
      </x:c>
      <x:c r="M458" s="19" t="n">
        <x:v>8902245</x:v>
      </x:c>
      <x:c r="N458" t="str">
        <x:v>40355b29bce094aef0e99358bdfd4011b92e72a54440a67760de4afae4883c33</x:v>
      </x:c>
      <x:c r="O458" t="str">
        <x:v>legacy_common_sample_8902245</x:v>
      </x:c>
      <x:c r="P458" t="str">
        <x:v>factor_report/gtja191_batch/gtja_158/ic_summary.csv</x:v>
      </x:c>
    </x:row>
    <x:row r="459">
      <x:c r="A459" t="str">
        <x:v>gtja_159</x:v>
      </x:c>
      <x:c r="B459" s="50" t="n">
        <x:v>1</x:v>
      </x:c>
      <x:c r="C459" s="30" t="n">
        <x:v>-0.0035939879379449863</x:v>
      </x:c>
      <x:c r="D459" s="30" t="n">
        <x:v>0.15017308626351855</x:v>
      </x:c>
      <x:c r="E459" s="30" t="n">
        <x:v>-0.023932303899237846</x:v>
      </x:c>
      <x:c r="F459" s="30" t="n">
        <x:v>-0.0564643230896578</x:v>
      </x:c>
      <x:c r="G459" s="30" t="n">
        <x:v>0.18821758490001683</x:v>
      </x:c>
      <x:c r="H459" s="30" t="n">
        <x:v>-0.29999494000335963</x:v>
      </x:c>
      <x:c r="I459" s="30" t="n">
        <x:v>0.383</x:v>
      </x:c>
      <x:c r="J459" s="30" t="n">
        <x:v>0.492</x:v>
      </x:c>
      <x:c r="K459" s="19" t="n">
        <x:v>2000</x:v>
      </x:c>
      <x:c r="L459" s="74" t="n">
        <x:v>46210.85484907407</x:v>
      </x:c>
      <x:c r="M459" s="19" t="n">
        <x:v>8902245</x:v>
      </x:c>
      <x:c r="N459" t="str">
        <x:v>40355b29bce094aef0e99358bdfd4011b92e72a54440a67760de4afae4883c33</x:v>
      </x:c>
      <x:c r="O459" t="str">
        <x:v>legacy_common_sample_8902245</x:v>
      </x:c>
      <x:c r="P459" t="str">
        <x:v>factor_report/gtja191_batch/gtja_159/ic_summary.csv</x:v>
      </x:c>
    </x:row>
    <x:row r="460">
      <x:c r="A460" t="str">
        <x:v>gtja_159</x:v>
      </x:c>
      <x:c r="B460" s="50" t="n">
        <x:v>5</x:v>
      </x:c>
      <x:c r="C460" s="30" t="n">
        <x:v>-0.014288588658110188</x:v>
      </x:c>
      <x:c r="D460" s="30" t="n">
        <x:v>0.143693278668741</x:v>
      </x:c>
      <x:c r="E460" s="30" t="n">
        <x:v>-0.09943811422836248</x:v>
      </x:c>
      <x:c r="F460" s="30" t="n">
        <x:v>-0.07569628027837899</x:v>
      </x:c>
      <x:c r="G460" s="30" t="n">
        <x:v>0.17996308082224172</x:v>
      </x:c>
      <x:c r="H460" s="30" t="n">
        <x:v>-0.42062116258805266</x:v>
      </x:c>
      <x:c r="I460" s="30" t="n">
        <x:v>0.33216432865731466</x:v>
      </x:c>
      <x:c r="J460" s="30" t="n">
        <x:v>0.4774549098196393</x:v>
      </x:c>
      <x:c r="K460" s="19" t="n">
        <x:v>1996</x:v>
      </x:c>
      <x:c r="L460" s="74" t="n">
        <x:v>46210.85484907407</x:v>
      </x:c>
      <x:c r="M460" s="19" t="n">
        <x:v>8902245</x:v>
      </x:c>
      <x:c r="N460" t="str">
        <x:v>40355b29bce094aef0e99358bdfd4011b92e72a54440a67760de4afae4883c33</x:v>
      </x:c>
      <x:c r="O460" t="str">
        <x:v>legacy_common_sample_8902245</x:v>
      </x:c>
      <x:c r="P460" t="str">
        <x:v>factor_report/gtja191_batch/gtja_159/ic_summary.csv</x:v>
      </x:c>
    </x:row>
    <x:row r="461">
      <x:c r="A461" t="str">
        <x:v>gtja_159</x:v>
      </x:c>
      <x:c r="B461" s="50" t="n">
        <x:v>10</x:v>
      </x:c>
      <x:c r="C461" s="30" t="n">
        <x:v>-0.01992487081315758</x:v>
      </x:c>
      <x:c r="D461" s="30" t="n">
        <x:v>0.14435389668102522</x:v>
      </x:c>
      <x:c r="E461" s="30" t="n">
        <x:v>-0.1380279387759446</x:v>
      </x:c>
      <x:c r="F461" s="30" t="n">
        <x:v>-0.08558369624505881</x:v>
      </x:c>
      <x:c r="G461" s="30" t="n">
        <x:v>0.17934245882606162</x:v>
      </x:c>
      <x:c r="H461" s="30" t="n">
        <x:v>-0.4772082238933929</x:v>
      </x:c>
      <x:c r="I461" s="30" t="n">
        <x:v>0.3068809643395279</x:v>
      </x:c>
      <x:c r="J461" s="30" t="n">
        <x:v>0.44701155198392767</x:v>
      </x:c>
      <x:c r="K461" s="19" t="n">
        <x:v>1991</x:v>
      </x:c>
      <x:c r="L461" s="74" t="n">
        <x:v>46210.85484907407</x:v>
      </x:c>
      <x:c r="M461" s="19" t="n">
        <x:v>8902245</x:v>
      </x:c>
      <x:c r="N461" t="str">
        <x:v>40355b29bce094aef0e99358bdfd4011b92e72a54440a67760de4afae4883c33</x:v>
      </x:c>
      <x:c r="O461" t="str">
        <x:v>legacy_common_sample_8902245</x:v>
      </x:c>
      <x:c r="P461" t="str">
        <x:v>factor_report/gtja191_batch/gtja_159/ic_summary.csv</x:v>
      </x:c>
    </x:row>
    <x:row r="462">
      <x:c r="A462" t="str">
        <x:v>gtja_159</x:v>
      </x:c>
      <x:c r="B462" s="50" t="n">
        <x:v>20</x:v>
      </x:c>
      <x:c r="C462" s="30" t="n">
        <x:v>-0.02577757565719447</x:v>
      </x:c>
      <x:c r="D462" s="30" t="n">
        <x:v>0.14904826170243612</x:v>
      </x:c>
      <x:c r="E462" s="30" t="n">
        <x:v>-0.17294784496485777</x:v>
      </x:c>
      <x:c r="F462" s="30" t="n">
        <x:v>-0.09704336413748631</x:v>
      </x:c>
      <x:c r="G462" s="30" t="n">
        <x:v>0.18561403500389465</x:v>
      </x:c>
      <x:c r="H462" s="30" t="n">
        <x:v>-0.5228234176119823</x:v>
      </x:c>
      <x:c r="I462" s="30" t="n">
        <x:v>0.2922766279656739</x:v>
      </x:c>
      <x:c r="J462" s="30" t="n">
        <x:v>0.4482584553255931</x:v>
      </x:c>
      <x:c r="K462" s="19" t="n">
        <x:v>1981</x:v>
      </x:c>
      <x:c r="L462" s="74" t="n">
        <x:v>46210.85484907407</x:v>
      </x:c>
      <x:c r="M462" s="19" t="n">
        <x:v>8902245</x:v>
      </x:c>
      <x:c r="N462" t="str">
        <x:v>40355b29bce094aef0e99358bdfd4011b92e72a54440a67760de4afae4883c33</x:v>
      </x:c>
      <x:c r="O462" t="str">
        <x:v>legacy_common_sample_8902245</x:v>
      </x:c>
      <x:c r="P462" t="str">
        <x:v>factor_report/gtja191_batch/gtja_159/ic_summary.csv</x:v>
      </x:c>
    </x:row>
    <x:row r="463">
      <x:c r="A463" t="str">
        <x:v>gtja_160</x:v>
      </x:c>
      <x:c r="B463" s="50" t="n">
        <x:v>1</x:v>
      </x:c>
      <x:c r="C463" s="30" t="n">
        <x:v>-0.001313067200133201</x:v>
      </x:c>
      <x:c r="D463" s="30" t="n">
        <x:v>0.10762375206712384</x:v>
      </x:c>
      <x:c r="E463" s="30" t="n">
        <x:v>-0.012200533571011857</x:v>
      </x:c>
      <x:c r="F463" s="30" t="n">
        <x:v>-0.02416931820708422</x:v>
      </x:c>
      <x:c r="G463" s="30" t="n">
        <x:v>0.1851482061683731</x:v>
      </x:c>
      <x:c r="H463" s="30" t="n">
        <x:v>-0.1305403854958483</x:v>
      </x:c>
      <x:c r="I463" s="30" t="n">
        <x:v>0.4445</x:v>
      </x:c>
      <x:c r="J463" s="30" t="n">
        <x:v>0.494</x:v>
      </x:c>
      <x:c r="K463" s="19" t="n">
        <x:v>2000</x:v>
      </x:c>
      <x:c r="L463" s="74" t="n">
        <x:v>46210.859459722225</x:v>
      </x:c>
      <x:c r="M463" s="19" t="n">
        <x:v>8902245</x:v>
      </x:c>
      <x:c r="N463" t="str">
        <x:v>40355b29bce094aef0e99358bdfd4011b92e72a54440a67760de4afae4883c33</x:v>
      </x:c>
      <x:c r="O463" t="str">
        <x:v>legacy_common_sample_8902245</x:v>
      </x:c>
      <x:c r="P463" t="str">
        <x:v>factor_report/gtja191_batch/gtja_160/ic_summary.csv</x:v>
      </x:c>
    </x:row>
    <x:row r="464">
      <x:c r="A464" t="str">
        <x:v>gtja_160</x:v>
      </x:c>
      <x:c r="B464" s="50" t="n">
        <x:v>5</x:v>
      </x:c>
      <x:c r="C464" s="30" t="n">
        <x:v>-0.005760415274453441</x:v>
      </x:c>
      <x:c r="D464" s="30" t="n">
        <x:v>0.10929666883038072</x:v>
      </x:c>
      <x:c r="E464" s="30" t="n">
        <x:v>-0.052704399284054335</x:v>
      </x:c>
      <x:c r="F464" s="30" t="n">
        <x:v>-0.035838686284958336</x:v>
      </x:c>
      <x:c r="G464" s="30" t="n">
        <x:v>0.1890162665195768</x:v>
      </x:c>
      <x:c r="H464" s="30" t="n">
        <x:v>-0.18960636004968626</x:v>
      </x:c>
      <x:c r="I464" s="30" t="n">
        <x:v>0.4473947895791583</x:v>
      </x:c>
      <x:c r="J464" s="30" t="n">
        <x:v>0.47945891783567135</x:v>
      </x:c>
      <x:c r="K464" s="19" t="n">
        <x:v>1996</x:v>
      </x:c>
      <x:c r="L464" s="74" t="n">
        <x:v>46210.859459722225</x:v>
      </x:c>
      <x:c r="M464" s="19" t="n">
        <x:v>8902245</x:v>
      </x:c>
      <x:c r="N464" t="str">
        <x:v>40355b29bce094aef0e99358bdfd4011b92e72a54440a67760de4afae4883c33</x:v>
      </x:c>
      <x:c r="O464" t="str">
        <x:v>legacy_common_sample_8902245</x:v>
      </x:c>
      <x:c r="P464" t="str">
        <x:v>factor_report/gtja191_batch/gtja_160/ic_summary.csv</x:v>
      </x:c>
    </x:row>
    <x:row r="465">
      <x:c r="A465" t="str">
        <x:v>gtja_160</x:v>
      </x:c>
      <x:c r="B465" s="50" t="n">
        <x:v>10</x:v>
      </x:c>
      <x:c r="C465" s="30" t="n">
        <x:v>-0.009295237853912735</x:v>
      </x:c>
      <x:c r="D465" s="30" t="n">
        <x:v>0.11227292667160788</x:v>
      </x:c>
      <x:c r="E465" s="30" t="n">
        <x:v>-0.0827914451816224</x:v>
      </x:c>
      <x:c r="F465" s="30" t="n">
        <x:v>-0.04511477824717248</x:v>
      </x:c>
      <x:c r="G465" s="30" t="n">
        <x:v>0.19401638603805693</x:v>
      </x:c>
      <x:c r="H465" s="30" t="n">
        <x:v>-0.23253076283115112</x:v>
      </x:c>
      <x:c r="I465" s="30" t="n">
        <x:v>0.4244098442993471</x:v>
      </x:c>
      <x:c r="J465" s="30" t="n">
        <x:v>0.472626820693119</x:v>
      </x:c>
      <x:c r="K465" s="19" t="n">
        <x:v>1991</x:v>
      </x:c>
      <x:c r="L465" s="74" t="n">
        <x:v>46210.859459722225</x:v>
      </x:c>
      <x:c r="M465" s="19" t="n">
        <x:v>8902245</x:v>
      </x:c>
      <x:c r="N465" t="str">
        <x:v>40355b29bce094aef0e99358bdfd4011b92e72a54440a67760de4afae4883c33</x:v>
      </x:c>
      <x:c r="O465" t="str">
        <x:v>legacy_common_sample_8902245</x:v>
      </x:c>
      <x:c r="P465" t="str">
        <x:v>factor_report/gtja191_batch/gtja_160/ic_summary.csv</x:v>
      </x:c>
    </x:row>
    <x:row r="466">
      <x:c r="A466" t="str">
        <x:v>gtja_160</x:v>
      </x:c>
      <x:c r="B466" s="50" t="n">
        <x:v>20</x:v>
      </x:c>
      <x:c r="C466" s="30" t="n">
        <x:v>-0.01565309856777198</x:v>
      </x:c>
      <x:c r="D466" s="30" t="n">
        <x:v>0.11488678369965913</x:v>
      </x:c>
      <x:c r="E466" s="30" t="n">
        <x:v>-0.13624803535881755</x:v>
      </x:c>
      <x:c r="F466" s="30" t="n">
        <x:v>-0.05881287740967297</x:v>
      </x:c>
      <x:c r="G466" s="30" t="n">
        <x:v>0.19602200862915456</x:v>
      </x:c>
      <x:c r="H466" s="30" t="n">
        <x:v>-0.3000320107980246</x:v>
      </x:c>
      <x:c r="I466" s="30" t="n">
        <x:v>0.3917213528520949</x:v>
      </x:c>
      <x:c r="J466" s="30" t="n">
        <x:v>0.4437152953054013</x:v>
      </x:c>
      <x:c r="K466" s="19" t="n">
        <x:v>1981</x:v>
      </x:c>
      <x:c r="L466" s="74" t="n">
        <x:v>46210.859459722225</x:v>
      </x:c>
      <x:c r="M466" s="19" t="n">
        <x:v>8902245</x:v>
      </x:c>
      <x:c r="N466" t="str">
        <x:v>40355b29bce094aef0e99358bdfd4011b92e72a54440a67760de4afae4883c33</x:v>
      </x:c>
      <x:c r="O466" t="str">
        <x:v>legacy_common_sample_8902245</x:v>
      </x:c>
      <x:c r="P466" t="str">
        <x:v>factor_report/gtja191_batch/gtja_160/ic_summary.csv</x:v>
      </x:c>
    </x:row>
    <x:row r="467">
      <x:c r="A467" t="str">
        <x:v>gtja_161</x:v>
      </x:c>
      <x:c r="B467" s="50" t="n">
        <x:v>1</x:v>
      </x:c>
      <x:c r="C467" s="30" t="n">
        <x:v>-0.00638414817635337</x:v>
      </x:c>
      <x:c r="D467" s="30" t="n">
        <x:v>0.11328616707735029</x:v>
      </x:c>
      <x:c r="E467" s="30" t="n">
        <x:v>-0.056354172279430716</x:v>
      </x:c>
      <x:c r="F467" s="30" t="n">
        <x:v>-0.03704604830156317</x:v>
      </x:c>
      <x:c r="G467" s="30" t="n">
        <x:v>0.18438145300643663</x:v>
      </x:c>
      <x:c r="H467" s="30" t="n">
        <x:v>-0.20092068750683897</x:v>
      </x:c>
      <x:c r="I467" s="30" t="n">
        <x:v>0.4235</x:v>
      </x:c>
      <x:c r="J467" s="30" t="n">
        <x:v>0.4805</x:v>
      </x:c>
      <x:c r="K467" s="19" t="n">
        <x:v>2000</x:v>
      </x:c>
      <x:c r="L467" s="74" t="n">
        <x:v>46210.86347449074</x:v>
      </x:c>
      <x:c r="M467" s="19" t="n">
        <x:v>8902245</x:v>
      </x:c>
      <x:c r="N467" t="str">
        <x:v>40355b29bce094aef0e99358bdfd4011b92e72a54440a67760de4afae4883c33</x:v>
      </x:c>
      <x:c r="O467" t="str">
        <x:v>legacy_common_sample_8902245</x:v>
      </x:c>
      <x:c r="P467" t="str">
        <x:v>factor_report/gtja191_batch/gtja_161/ic_summary.csv</x:v>
      </x:c>
    </x:row>
    <x:row r="468">
      <x:c r="A468" t="str">
        <x:v>gtja_161</x:v>
      </x:c>
      <x:c r="B468" s="50" t="n">
        <x:v>5</x:v>
      </x:c>
      <x:c r="C468" s="30" t="n">
        <x:v>-0.014412155182972865</x:v>
      </x:c>
      <x:c r="D468" s="30" t="n">
        <x:v>0.11488764884461646</x:v>
      </x:c>
      <x:c r="E468" s="30" t="n">
        <x:v>-0.1254456447486801</x:v>
      </x:c>
      <x:c r="F468" s="30" t="n">
        <x:v>-0.05466940533677726</x:v>
      </x:c>
      <x:c r="G468" s="30" t="n">
        <x:v>0.18794128064135981</x:v>
      </x:c>
      <x:c r="H468" s="30" t="n">
        <x:v>-0.29088556356652967</x:v>
      </x:c>
      <x:c r="I468" s="30" t="n">
        <x:v>0.4088176352705411</x:v>
      </x:c>
      <x:c r="J468" s="30" t="n">
        <x:v>0.44639278557114226</x:v>
      </x:c>
      <x:c r="K468" s="19" t="n">
        <x:v>1996</x:v>
      </x:c>
      <x:c r="L468" s="74" t="n">
        <x:v>46210.86347449074</x:v>
      </x:c>
      <x:c r="M468" s="19" t="n">
        <x:v>8902245</x:v>
      </x:c>
      <x:c r="N468" t="str">
        <x:v>40355b29bce094aef0e99358bdfd4011b92e72a54440a67760de4afae4883c33</x:v>
      </x:c>
      <x:c r="O468" t="str">
        <x:v>legacy_common_sample_8902245</x:v>
      </x:c>
      <x:c r="P468" t="str">
        <x:v>factor_report/gtja191_batch/gtja_161/ic_summary.csv</x:v>
      </x:c>
    </x:row>
    <x:row r="469">
      <x:c r="A469" t="str">
        <x:v>gtja_161</x:v>
      </x:c>
      <x:c r="B469" s="50" t="n">
        <x:v>10</x:v>
      </x:c>
      <x:c r="C469" s="30" t="n">
        <x:v>-0.019156772473892764</x:v>
      </x:c>
      <x:c r="D469" s="30" t="n">
        <x:v>0.11884496157835059</x:v>
      </x:c>
      <x:c r="E469" s="30" t="n">
        <x:v>-0.16119128837669178</x:v>
      </x:c>
      <x:c r="F469" s="30" t="n">
        <x:v>-0.06624620031295926</x:v>
      </x:c>
      <x:c r="G469" s="30" t="n">
        <x:v>0.1940851068409498</x:v>
      </x:c>
      <x:c r="H469" s="30" t="n">
        <x:v>-0.3413255215262197</x:v>
      </x:c>
      <x:c r="I469" s="30" t="n">
        <x:v>0.3902561526870919</x:v>
      </x:c>
      <x:c r="J469" s="30" t="n">
        <x:v>0.44249121044701156</x:v>
      </x:c>
      <x:c r="K469" s="19" t="n">
        <x:v>1991</x:v>
      </x:c>
      <x:c r="L469" s="74" t="n">
        <x:v>46210.86347449074</x:v>
      </x:c>
      <x:c r="M469" s="19" t="n">
        <x:v>8902245</x:v>
      </x:c>
      <x:c r="N469" t="str">
        <x:v>40355b29bce094aef0e99358bdfd4011b92e72a54440a67760de4afae4883c33</x:v>
      </x:c>
      <x:c r="O469" t="str">
        <x:v>legacy_common_sample_8902245</x:v>
      </x:c>
      <x:c r="P469" t="str">
        <x:v>factor_report/gtja191_batch/gtja_161/ic_summary.csv</x:v>
      </x:c>
    </x:row>
    <x:row r="470">
      <x:c r="A470" t="str">
        <x:v>gtja_161</x:v>
      </x:c>
      <x:c r="B470" s="50" t="n">
        <x:v>20</x:v>
      </x:c>
      <x:c r="C470" s="30" t="n">
        <x:v>-0.024833076660142603</x:v>
      </x:c>
      <x:c r="D470" s="30" t="n">
        <x:v>0.124062675928089</x:v>
      </x:c>
      <x:c r="E470" s="30" t="n">
        <x:v>-0.2001655733633918</x:v>
      </x:c>
      <x:c r="F470" s="30" t="n">
        <x:v>-0.08018019777096075</x:v>
      </x:c>
      <x:c r="G470" s="30" t="n">
        <x:v>0.1990911488113105</x:v>
      </x:c>
      <x:c r="H470" s="30" t="n">
        <x:v>-0.4027311020589463</x:v>
      </x:c>
      <x:c r="I470" s="30" t="n">
        <x:v>0.37001514386673395</x:v>
      </x:c>
      <x:c r="J470" s="30" t="n">
        <x:v>0.4174659262998486</x:v>
      </x:c>
      <x:c r="K470" s="19" t="n">
        <x:v>1981</x:v>
      </x:c>
      <x:c r="L470" s="74" t="n">
        <x:v>46210.86347449074</x:v>
      </x:c>
      <x:c r="M470" s="19" t="n">
        <x:v>8902245</x:v>
      </x:c>
      <x:c r="N470" t="str">
        <x:v>40355b29bce094aef0e99358bdfd4011b92e72a54440a67760de4afae4883c33</x:v>
      </x:c>
      <x:c r="O470" t="str">
        <x:v>legacy_common_sample_8902245</x:v>
      </x:c>
      <x:c r="P470" t="str">
        <x:v>factor_report/gtja191_batch/gtja_161/ic_summary.csv</x:v>
      </x:c>
    </x:row>
    <x:row r="471">
      <x:c r="A471" t="str">
        <x:v>gtja_162</x:v>
      </x:c>
      <x:c r="B471" s="50" t="n">
        <x:v>10</x:v>
      </x:c>
      <x:c r="C471" s="30" t="n">
        <x:v>-0.004858560259851774</x:v>
      </x:c>
      <x:c r="D471" s="30" t="n">
        <x:v>0.09666698380863857</x:v>
      </x:c>
      <x:c r="E471" s="30" t="n">
        <x:v>-0.05026080331077417</x:v>
      </x:c>
      <x:c r="F471" s="30" t="n">
        <x:v>-0.007836269014980184</x:v>
      </x:c>
      <x:c r="G471" s="30" t="n">
        <x:v>0.1163811553507725</x:v>
      </x:c>
      <x:c r="H471" s="30" t="n">
        <x:v>-0.06733279963892513</x:v>
      </x:c>
      <x:c r="I471" s="30" t="n">
        <x:v>0.4861878453038674</x:v>
      </x:c>
      <x:c r="J471" s="30" t="n">
        <x:v>0.4897036664992466</x:v>
      </x:c>
      <x:c r="K471" s="19" t="n">
        <x:v>1991</x:v>
      </x:c>
      <x:c r="L471" s="74" t="n">
        <x:v>46211.50984748843</x:v>
      </x:c>
      <x:c r="M471" s="19" t="n">
        <x:v>8902245</x:v>
      </x:c>
      <x:c r="N471" t="str">
        <x:v>8f7e606554926462248cbcc654181861438ca768a0063f6b317223ede37d16fb</x:v>
      </x:c>
      <x:c r="O471" t="str">
        <x:v>legacy_common_sample_8902245</x:v>
      </x:c>
      <x:c r="P471" t="str">
        <x:v>factor_report/gtja191_batch/gtja_162/ic_summary.csv</x:v>
      </x:c>
    </x:row>
    <x:row r="472">
      <x:c r="A472" t="str">
        <x:v>gtja_162</x:v>
      </x:c>
      <x:c r="B472" s="50" t="n">
        <x:v>20</x:v>
      </x:c>
      <x:c r="C472" s="30" t="n">
        <x:v>-0.006015114277992968</x:v>
      </x:c>
      <x:c r="D472" s="30" t="n">
        <x:v>0.09429134428371552</x:v>
      </x:c>
      <x:c r="E472" s="30" t="n">
        <x:v>-0.06379285737929395</x:v>
      </x:c>
      <x:c r="F472" s="30" t="n">
        <x:v>-0.008626401057658625</x:v>
      </x:c>
      <x:c r="G472" s="30" t="n">
        <x:v>0.11428365490215456</x:v>
      </x:c>
      <x:c r="H472" s="30" t="n">
        <x:v>-0.07548236941708095</x:v>
      </x:c>
      <x:c r="I472" s="30" t="n">
        <x:v>0.47147905098435133</x:v>
      </x:c>
      <x:c r="J472" s="30" t="n">
        <x:v>0.475012619888945</x:v>
      </x:c>
      <x:c r="K472" s="19" t="n">
        <x:v>1981</x:v>
      </x:c>
      <x:c r="L472" s="74" t="n">
        <x:v>46211.50984748843</x:v>
      </x:c>
      <x:c r="M472" s="19" t="n">
        <x:v>8902245</x:v>
      </x:c>
      <x:c r="N472" t="str">
        <x:v>8f7e606554926462248cbcc654181861438ca768a0063f6b317223ede37d16fb</x:v>
      </x:c>
      <x:c r="O472" t="str">
        <x:v>legacy_common_sample_8902245</x:v>
      </x:c>
      <x:c r="P472" t="str">
        <x:v>factor_report/gtja191_batch/gtja_162/ic_summary.csv</x:v>
      </x:c>
    </x:row>
    <x:row r="473">
      <x:c r="A473" t="str">
        <x:v>gtja_163</x:v>
      </x:c>
      <x:c r="B473" s="50" t="n">
        <x:v>10</x:v>
      </x:c>
      <x:c r="C473" s="30" t="n">
        <x:v>0.003126232564102723</x:v>
      </x:c>
      <x:c r="D473" s="30" t="n">
        <x:v>0.09654854695464583</x:v>
      </x:c>
      <x:c r="E473" s="30" t="n">
        <x:v>0.03237990278166782</x:v>
      </x:c>
      <x:c r="F473" s="30" t="n">
        <x:v>0.004280049698009344</x:v>
      </x:c>
      <x:c r="G473" s="30" t="n">
        <x:v>0.11505100717817177</x:v>
      </x:c>
      <x:c r="H473" s="30" t="n">
        <x:v>0.037201323160788315</x:v>
      </x:c>
      <x:c r="I473" s="30" t="n">
        <x:v>0.5052737317930688</x:v>
      </x:c>
      <x:c r="J473" s="30" t="n">
        <x:v>0.5067805123053741</x:v>
      </x:c>
      <x:c r="K473" s="19" t="n">
        <x:v>1991</x:v>
      </x:c>
      <x:c r="L473" s="74" t="n">
        <x:v>46211.5122449537</x:v>
      </x:c>
      <x:c r="M473" s="19" t="n">
        <x:v>8902245</x:v>
      </x:c>
      <x:c r="N473" t="str">
        <x:v>8f7e606554926462248cbcc654181861438ca768a0063f6b317223ede37d16fb</x:v>
      </x:c>
      <x:c r="O473" t="str">
        <x:v>legacy_common_sample_8902245</x:v>
      </x:c>
      <x:c r="P473" t="str">
        <x:v>factor_report/gtja191_batch/gtja_163/ic_summary.csv</x:v>
      </x:c>
    </x:row>
    <x:row r="474">
      <x:c r="A474" t="str">
        <x:v>gtja_163</x:v>
      </x:c>
      <x:c r="B474" s="50" t="n">
        <x:v>20</x:v>
      </x:c>
      <x:c r="C474" s="30" t="n">
        <x:v>0.0034597726525617384</x:v>
      </x:c>
      <x:c r="D474" s="30" t="n">
        <x:v>0.09629301300627328</x:v>
      </x:c>
      <x:c r="E474" s="30" t="n">
        <x:v>0.035929633361211175</x:v>
      </x:c>
      <x:c r="F474" s="30" t="n">
        <x:v>0.004966602728574565</x:v>
      </x:c>
      <x:c r="G474" s="30" t="n">
        <x:v>0.11356715674606098</x:v>
      </x:c>
      <x:c r="H474" s="30" t="n">
        <x:v>0.043732738151400705</x:v>
      </x:c>
      <x:c r="I474" s="30" t="n">
        <x:v>0.5204442200908632</x:v>
      </x:c>
      <x:c r="J474" s="30" t="n">
        <x:v>0.5164058556284705</x:v>
      </x:c>
      <x:c r="K474" s="19" t="n">
        <x:v>1981</x:v>
      </x:c>
      <x:c r="L474" s="74" t="n">
        <x:v>46211.5122449537</x:v>
      </x:c>
      <x:c r="M474" s="19" t="n">
        <x:v>8902245</x:v>
      </x:c>
      <x:c r="N474" t="str">
        <x:v>8f7e606554926462248cbcc654181861438ca768a0063f6b317223ede37d16fb</x:v>
      </x:c>
      <x:c r="O474" t="str">
        <x:v>legacy_common_sample_8902245</x:v>
      </x:c>
      <x:c r="P474" t="str">
        <x:v>factor_report/gtja191_batch/gtja_163/ic_summary.csv</x:v>
      </x:c>
    </x:row>
    <x:row r="475">
      <x:c r="A475" t="str">
        <x:v>gtja_164</x:v>
      </x:c>
      <x:c r="B475" s="50" t="n">
        <x:v>10</x:v>
      </x:c>
      <x:c r="C475" s="30" t="n">
        <x:v>0.015227190171499828</x:v>
      </x:c>
      <x:c r="D475" s="30" t="n">
        <x:v>0.09887163833477734</x:v>
      </x:c>
      <x:c r="E475" s="30" t="n">
        <x:v>0.1540096879950636</x:v>
      </x:c>
      <x:c r="F475" s="30" t="n">
        <x:v>0.05937842965949153</x:v>
      </x:c>
      <x:c r="G475" s="30" t="n">
        <x:v>0.18339244463409524</x:v>
      </x:c>
      <x:c r="H475" s="30" t="n">
        <x:v>0.32377794940224186</x:v>
      </x:c>
      <x:c r="I475" s="30" t="n">
        <x:v>0.6027122049221497</x:v>
      </x:c>
      <x:c r="J475" s="30" t="n">
        <x:v>0.5364138623807132</x:v>
      </x:c>
      <x:c r="K475" s="19" t="n">
        <x:v>1991</x:v>
      </x:c>
      <x:c r="L475" s="74" t="n">
        <x:v>46211.51530107639</x:v>
      </x:c>
      <x:c r="M475" s="19" t="n">
        <x:v>8902245</x:v>
      </x:c>
      <x:c r="N475" t="str">
        <x:v>8f7e606554926462248cbcc654181861438ca768a0063f6b317223ede37d16fb</x:v>
      </x:c>
      <x:c r="O475" t="str">
        <x:v>legacy_common_sample_8902245</x:v>
      </x:c>
      <x:c r="P475" t="str">
        <x:v>factor_report/gtja191_batch/gtja_164/ic_summary.csv</x:v>
      </x:c>
    </x:row>
    <x:row r="476">
      <x:c r="A476" t="str">
        <x:v>gtja_164</x:v>
      </x:c>
      <x:c r="B476" s="50" t="n">
        <x:v>20</x:v>
      </x:c>
      <x:c r="C476" s="30" t="n">
        <x:v>0.02099955359403606</x:v>
      </x:c>
      <x:c r="D476" s="30" t="n">
        <x:v>0.10271037624671171</x:v>
      </x:c>
      <x:c r="E476" s="30" t="n">
        <x:v>0.20445406161880714</x:v>
      </x:c>
      <x:c r="F476" s="30" t="n">
        <x:v>0.07173398532509588</x:v>
      </x:c>
      <x:c r="G476" s="30" t="n">
        <x:v>0.18793592471919088</x:v>
      </x:c>
      <x:c r="H476" s="30" t="n">
        <x:v>0.3816938429003342</x:v>
      </x:c>
      <x:c r="I476" s="30" t="n">
        <x:v>0.6234225138818779</x:v>
      </x:c>
      <x:c r="J476" s="30" t="n">
        <x:v>0.541645633518425</x:v>
      </x:c>
      <x:c r="K476" s="19" t="n">
        <x:v>1981</x:v>
      </x:c>
      <x:c r="L476" s="74" t="n">
        <x:v>46211.51530107639</x:v>
      </x:c>
      <x:c r="M476" s="19" t="n">
        <x:v>8902245</x:v>
      </x:c>
      <x:c r="N476" t="str">
        <x:v>8f7e606554926462248cbcc654181861438ca768a0063f6b317223ede37d16fb</x:v>
      </x:c>
      <x:c r="O476" t="str">
        <x:v>legacy_common_sample_8902245</x:v>
      </x:c>
      <x:c r="P476" t="str">
        <x:v>factor_report/gtja191_batch/gtja_164/ic_summary.csv</x:v>
      </x:c>
    </x:row>
    <x:row r="477">
      <x:c r="A477" t="str">
        <x:v>gtja_165</x:v>
      </x:c>
      <x:c r="B477" s="50" t="n">
        <x:v>10</x:v>
      </x:c>
      <x:c r="C477" s="30" t="n">
        <x:v>-0.0033893343377688913</x:v>
      </x:c>
      <x:c r="D477" s="30" t="n">
        <x:v>0.0666792088576982</x:v>
      </x:c>
      <x:c r="E477" s="30" t="n">
        <x:v>-0.05083045218790998</x:v>
      </x:c>
      <x:c r="F477" s="30" t="n">
        <x:v>0.004761957217324623</x:v>
      </x:c>
      <x:c r="G477" s="30" t="n">
        <x:v>0.08510343411218707</x:v>
      </x:c>
      <x:c r="H477" s="30" t="n">
        <x:v>0.05595493609631784</x:v>
      </x:c>
      <x:c r="I477" s="30" t="n">
        <x:v>0.5167714884696016</x:v>
      </x:c>
      <x:c r="J477" s="30" t="n">
        <x:v>0.46750524109014674</x:v>
      </x:c>
      <x:c r="K477" s="19" t="n">
        <x:v>1908</x:v>
      </x:c>
      <x:c r="L477" s="74" t="n">
        <x:v>46211.5176621412</x:v>
      </x:c>
      <x:c r="M477" s="19" t="n">
        <x:v>8902245</x:v>
      </x:c>
      <x:c r="N477" t="str">
        <x:v>8f7e606554926462248cbcc654181861438ca768a0063f6b317223ede37d16fb</x:v>
      </x:c>
      <x:c r="O477" t="str">
        <x:v>legacy_common_sample_8902245</x:v>
      </x:c>
      <x:c r="P477" t="str">
        <x:v>factor_report/gtja191_batch/gtja_165/ic_summary.csv</x:v>
      </x:c>
    </x:row>
    <x:row r="478">
      <x:c r="A478" t="str">
        <x:v>gtja_165</x:v>
      </x:c>
      <x:c r="B478" s="50" t="n">
        <x:v>20</x:v>
      </x:c>
      <x:c r="C478" s="30" t="n">
        <x:v>-0.0034879275889864187</x:v>
      </x:c>
      <x:c r="D478" s="30" t="n">
        <x:v>0.06467806609944621</x:v>
      </x:c>
      <x:c r="E478" s="30" t="n">
        <x:v>-0.05392751823506181</x:v>
      </x:c>
      <x:c r="F478" s="30" t="n">
        <x:v>0.005974237224172743</x:v>
      </x:c>
      <x:c r="G478" s="30" t="n">
        <x:v>0.08434995342638171</x:v>
      </x:c>
      <x:c r="H478" s="30" t="n">
        <x:v>0.07082679932226507</x:v>
      </x:c>
      <x:c r="I478" s="30" t="n">
        <x:v>0.5321390937829295</x:v>
      </x:c>
      <x:c r="J478" s="30" t="n">
        <x:v>0.4673340358271865</x:v>
      </x:c>
      <x:c r="K478" s="19" t="n">
        <x:v>1898</x:v>
      </x:c>
      <x:c r="L478" s="74" t="n">
        <x:v>46211.5176621412</x:v>
      </x:c>
      <x:c r="M478" s="19" t="n">
        <x:v>8902245</x:v>
      </x:c>
      <x:c r="N478" t="str">
        <x:v>8f7e606554926462248cbcc654181861438ca768a0063f6b317223ede37d16fb</x:v>
      </x:c>
      <x:c r="O478" t="str">
        <x:v>legacy_common_sample_8902245</x:v>
      </x:c>
      <x:c r="P478" t="str">
        <x:v>factor_report/gtja191_batch/gtja_165/ic_summary.csv</x:v>
      </x:c>
    </x:row>
    <x:row r="479">
      <x:c r="A479" t="str">
        <x:v>gtja_166</x:v>
      </x:c>
      <x:c r="B479" s="50" t="n">
        <x:v>10</x:v>
      </x:c>
      <x:c r="C479" s="30" t="n">
        <x:v>0.01677278711383993</x:v>
      </x:c>
      <x:c r="D479" s="30" t="n">
        <x:v>0.0711408919014414</x:v>
      </x:c>
      <x:c r="E479" s="30" t="n">
        <x:v>0.23576858070709814</x:v>
      </x:c>
      <x:c r="F479" s="30" t="n">
        <x:v>0.030843813362062756</x:v>
      </x:c>
      <x:c r="G479" s="30" t="n">
        <x:v>0.08696498295327573</x:v>
      </x:c>
      <x:c r="H479" s="30" t="n">
        <x:v>0.3546693429312166</x:v>
      </x:c>
      <x:c r="I479" s="30" t="n">
        <x:v>0.6368658965344048</x:v>
      </x:c>
      <x:c r="J479" s="30" t="n">
        <x:v>0.5881466599698644</x:v>
      </x:c>
      <x:c r="K479" s="19" t="n">
        <x:v>1991</x:v>
      </x:c>
      <x:c r="L479" s="74" t="n">
        <x:v>46211.52024034722</x:v>
      </x:c>
      <x:c r="M479" s="19" t="n">
        <x:v>8902245</x:v>
      </x:c>
      <x:c r="N479" t="str">
        <x:v>8f7e606554926462248cbcc654181861438ca768a0063f6b317223ede37d16fb</x:v>
      </x:c>
      <x:c r="O479" t="str">
        <x:v>legacy_common_sample_8902245</x:v>
      </x:c>
      <x:c r="P479" t="str">
        <x:v>factor_report/gtja191_batch/gtja_166/ic_summary.csv</x:v>
      </x:c>
    </x:row>
    <x:row r="480">
      <x:c r="A480" t="str">
        <x:v>gtja_166</x:v>
      </x:c>
      <x:c r="B480" s="50" t="n">
        <x:v>20</x:v>
      </x:c>
      <x:c r="C480" s="30" t="n">
        <x:v>0.01687771058154601</x:v>
      </x:c>
      <x:c r="D480" s="30" t="n">
        <x:v>0.07415512488467735</x:v>
      </x:c>
      <x:c r="E480" s="30" t="n">
        <x:v>0.22760005606886174</x:v>
      </x:c>
      <x:c r="F480" s="30" t="n">
        <x:v>0.031560567818774</x:v>
      </x:c>
      <x:c r="G480" s="30" t="n">
        <x:v>0.09028592668954233</x:v>
      </x:c>
      <x:c r="H480" s="30" t="n">
        <x:v>0.34956242878580995</x:v>
      </x:c>
      <x:c r="I480" s="30" t="n">
        <x:v>0.6395759717314488</x:v>
      </x:c>
      <x:c r="J480" s="30" t="n">
        <x:v>0.5795053003533569</x:v>
      </x:c>
      <x:c r="K480" s="19" t="n">
        <x:v>1981</x:v>
      </x:c>
      <x:c r="L480" s="74" t="n">
        <x:v>46211.52024034722</x:v>
      </x:c>
      <x:c r="M480" s="19" t="n">
        <x:v>8902245</x:v>
      </x:c>
      <x:c r="N480" t="str">
        <x:v>8f7e606554926462248cbcc654181861438ca768a0063f6b317223ede37d16fb</x:v>
      </x:c>
      <x:c r="O480" t="str">
        <x:v>legacy_common_sample_8902245</x:v>
      </x:c>
      <x:c r="P480" t="str">
        <x:v>factor_report/gtja191_batch/gtja_166/ic_summary.csv</x:v>
      </x:c>
    </x:row>
    <x:row r="481">
      <x:c r="A481" t="str">
        <x:v>gtja_167</x:v>
      </x:c>
      <x:c r="B481" s="50" t="n">
        <x:v>1</x:v>
      </x:c>
      <x:c r="C481" s="30" t="n">
        <x:v>-0.010245247295683754</x:v>
      </x:c>
      <x:c r="D481" s="30" t="n">
        <x:v>0.10836319140932649</x:v>
      </x:c>
      <x:c r="E481" s="30" t="n">
        <x:v>-0.09454545554111446</x:v>
      </x:c>
      <x:c r="F481" s="30" t="n">
        <x:v>-0.043729670941198354</x:v>
      </x:c>
      <x:c r="G481" s="30" t="n">
        <x:v>0.17407929196414548</x:v>
      </x:c>
      <x:c r="H481" s="30" t="n">
        <x:v>-0.25120547336672994</x:v>
      </x:c>
      <x:c r="I481" s="30" t="n">
        <x:v>0.402</x:v>
      </x:c>
      <x:c r="J481" s="30" t="n">
        <x:v>0.457</x:v>
      </x:c>
      <x:c r="K481" s="19" t="n">
        <x:v>2000</x:v>
      </x:c>
      <x:c r="L481" s="74" t="n">
        <x:v>46210.888780636575</x:v>
      </x:c>
      <x:c r="M481" s="19" t="n">
        <x:v>8902245</x:v>
      </x:c>
      <x:c r="N481" t="str">
        <x:v>40355b29bce094aef0e99358bdfd4011b92e72a54440a67760de4afae4883c33</x:v>
      </x:c>
      <x:c r="O481" t="str">
        <x:v>legacy_common_sample_8902245</x:v>
      </x:c>
      <x:c r="P481" t="str">
        <x:v>factor_report/gtja191_batch/gtja_167/ic_summary.csv</x:v>
      </x:c>
    </x:row>
    <x:row r="482">
      <x:c r="A482" t="str">
        <x:v>gtja_167</x:v>
      </x:c>
      <x:c r="B482" s="50" t="n">
        <x:v>5</x:v>
      </x:c>
      <x:c r="C482" s="30" t="n">
        <x:v>-0.021587589667776852</x:v>
      </x:c>
      <x:c r="D482" s="30" t="n">
        <x:v>0.10787087747051935</x:v>
      </x:c>
      <x:c r="E482" s="30" t="n">
        <x:v>-0.20012435398679915</x:v>
      </x:c>
      <x:c r="F482" s="30" t="n">
        <x:v>-0.06424370984943072</x:v>
      </x:c>
      <x:c r="G482" s="30" t="n">
        <x:v>0.17534525394503353</x:v>
      </x:c>
      <x:c r="H482" s="30" t="n">
        <x:v>-0.366384081713267</x:v>
      </x:c>
      <x:c r="I482" s="30" t="n">
        <x:v>0.3807615230460922</x:v>
      </x:c>
      <x:c r="J482" s="30" t="n">
        <x:v>0.41783567134268534</x:v>
      </x:c>
      <x:c r="K482" s="19" t="n">
        <x:v>1996</x:v>
      </x:c>
      <x:c r="L482" s="74" t="n">
        <x:v>46210.888780636575</x:v>
      </x:c>
      <x:c r="M482" s="19" t="n">
        <x:v>8902245</x:v>
      </x:c>
      <x:c r="N482" t="str">
        <x:v>40355b29bce094aef0e99358bdfd4011b92e72a54440a67760de4afae4883c33</x:v>
      </x:c>
      <x:c r="O482" t="str">
        <x:v>legacy_common_sample_8902245</x:v>
      </x:c>
      <x:c r="P482" t="str">
        <x:v>factor_report/gtja191_batch/gtja_167/ic_summary.csv</x:v>
      </x:c>
    </x:row>
    <x:row r="483">
      <x:c r="A483" t="str">
        <x:v>gtja_167</x:v>
      </x:c>
      <x:c r="B483" s="50" t="n">
        <x:v>10</x:v>
      </x:c>
      <x:c r="C483" s="30" t="n">
        <x:v>-0.027599714324323975</x:v>
      </x:c>
      <x:c r="D483" s="30" t="n">
        <x:v>0.11155803271872183</x:v>
      </x:c>
      <x:c r="E483" s="30" t="n">
        <x:v>-0.24740230400004312</x:v>
      </x:c>
      <x:c r="F483" s="30" t="n">
        <x:v>-0.07656174607108787</x:v>
      </x:c>
      <x:c r="G483" s="30" t="n">
        <x:v>0.1806564724880464</x:v>
      </x:c>
      <x:c r="H483" s="30" t="n">
        <x:v>-0.4237974151529709</x:v>
      </x:c>
      <x:c r="I483" s="30" t="n">
        <x:v>0.35760924158714213</x:v>
      </x:c>
      <x:c r="J483" s="30" t="n">
        <x:v>0.40281265695630336</x:v>
      </x:c>
      <x:c r="K483" s="19" t="n">
        <x:v>1991</x:v>
      </x:c>
      <x:c r="L483" s="74" t="n">
        <x:v>46210.888780636575</x:v>
      </x:c>
      <x:c r="M483" s="19" t="n">
        <x:v>8902245</x:v>
      </x:c>
      <x:c r="N483" t="str">
        <x:v>40355b29bce094aef0e99358bdfd4011b92e72a54440a67760de4afae4883c33</x:v>
      </x:c>
      <x:c r="O483" t="str">
        <x:v>legacy_common_sample_8902245</x:v>
      </x:c>
      <x:c r="P483" t="str">
        <x:v>factor_report/gtja191_batch/gtja_167/ic_summary.csv</x:v>
      </x:c>
    </x:row>
    <x:row r="484">
      <x:c r="A484" t="str">
        <x:v>gtja_167</x:v>
      </x:c>
      <x:c r="B484" s="50" t="n">
        <x:v>20</x:v>
      </x:c>
      <x:c r="C484" s="30" t="n">
        <x:v>-0.033358734743939716</x:v>
      </x:c>
      <x:c r="D484" s="30" t="n">
        <x:v>0.1183105462344364</x:v>
      </x:c>
      <x:c r="E484" s="30" t="n">
        <x:v>-0.2819590966796674</x:v>
      </x:c>
      <x:c r="F484" s="30" t="n">
        <x:v>-0.09096780095381629</x:v>
      </x:c>
      <x:c r="G484" s="30" t="n">
        <x:v>0.18836487208923902</x:v>
      </x:c>
      <x:c r="H484" s="30" t="n">
        <x:v>-0.48293399902461503</x:v>
      </x:c>
      <x:c r="I484" s="30" t="n">
        <x:v>0.3341746592629985</x:v>
      </x:c>
      <x:c r="J484" s="30" t="n">
        <x:v>0.381120646138314</x:v>
      </x:c>
      <x:c r="K484" s="19" t="n">
        <x:v>1981</x:v>
      </x:c>
      <x:c r="L484" s="74" t="n">
        <x:v>46210.888780636575</x:v>
      </x:c>
      <x:c r="M484" s="19" t="n">
        <x:v>8902245</x:v>
      </x:c>
      <x:c r="N484" t="str">
        <x:v>40355b29bce094aef0e99358bdfd4011b92e72a54440a67760de4afae4883c33</x:v>
      </x:c>
      <x:c r="O484" t="str">
        <x:v>legacy_common_sample_8902245</x:v>
      </x:c>
      <x:c r="P484" t="str">
        <x:v>factor_report/gtja191_batch/gtja_167/ic_summary.csv</x:v>
      </x:c>
    </x:row>
    <x:row r="485">
      <x:c r="A485" t="str">
        <x:v>gtja_168</x:v>
      </x:c>
      <x:c r="B485" s="50" t="n">
        <x:v>10</x:v>
      </x:c>
      <x:c r="C485" s="30" t="n">
        <x:v>0.03313636369940044</x:v>
      </x:c>
      <x:c r="D485" s="30" t="n">
        <x:v>0.06936271071162035</x:v>
      </x:c>
      <x:c r="E485" s="30" t="n">
        <x:v>0.47772590429988915</x:v>
      </x:c>
      <x:c r="F485" s="30" t="n">
        <x:v>0.02736438952349721</x:v>
      </x:c>
      <x:c r="G485" s="30" t="n">
        <x:v>0.08383360621500861</x:v>
      </x:c>
      <x:c r="H485" s="30" t="n">
        <x:v>0.3264131266560999</x:v>
      </x:c>
      <x:c r="I485" s="30" t="n">
        <x:v>0.6438975389251632</x:v>
      </x:c>
      <x:c r="J485" s="30" t="n">
        <x:v>0.7051732797589151</x:v>
      </x:c>
      <x:c r="K485" s="19" t="n">
        <x:v>1991</x:v>
      </x:c>
      <x:c r="L485" s="74" t="n">
        <x:v>46211.52286168982</x:v>
      </x:c>
      <x:c r="M485" s="19" t="n">
        <x:v>8902245</x:v>
      </x:c>
      <x:c r="N485" t="str">
        <x:v>8f7e606554926462248cbcc654181861438ca768a0063f6b317223ede37d16fb</x:v>
      </x:c>
      <x:c r="O485" t="str">
        <x:v>legacy_common_sample_8902245</x:v>
      </x:c>
      <x:c r="P485" t="str">
        <x:v>factor_report/gtja191_batch/gtja_168/ic_summary.csv</x:v>
      </x:c>
    </x:row>
    <x:row r="486">
      <x:c r="A486" t="str">
        <x:v>gtja_168</x:v>
      </x:c>
      <x:c r="B486" s="50" t="n">
        <x:v>20</x:v>
      </x:c>
      <x:c r="C486" s="30" t="n">
        <x:v>0.03196551747138004</x:v>
      </x:c>
      <x:c r="D486" s="30" t="n">
        <x:v>0.06331203411661691</x:v>
      </x:c>
      <x:c r="E486" s="30" t="n">
        <x:v>0.50488849264425</x:v>
      </x:c>
      <x:c r="F486" s="30" t="n">
        <x:v>0.027973862548659086</x:v>
      </x:c>
      <x:c r="G486" s="30" t="n">
        <x:v>0.08046810068219426</x:v>
      </x:c>
      <x:c r="H486" s="30" t="n">
        <x:v>0.34763915528640105</x:v>
      </x:c>
      <x:c r="I486" s="30" t="n">
        <x:v>0.6400807672892479</x:v>
      </x:c>
      <x:c r="J486" s="30" t="n">
        <x:v>0.7036850075719334</x:v>
      </x:c>
      <x:c r="K486" s="19" t="n">
        <x:v>1981</x:v>
      </x:c>
      <x:c r="L486" s="74" t="n">
        <x:v>46211.52286168982</x:v>
      </x:c>
      <x:c r="M486" s="19" t="n">
        <x:v>8902245</x:v>
      </x:c>
      <x:c r="N486" t="str">
        <x:v>8f7e606554926462248cbcc654181861438ca768a0063f6b317223ede37d16fb</x:v>
      </x:c>
      <x:c r="O486" t="str">
        <x:v>legacy_common_sample_8902245</x:v>
      </x:c>
      <x:c r="P486" t="str">
        <x:v>factor_report/gtja191_batch/gtja_168/ic_summary.csv</x:v>
      </x:c>
    </x:row>
    <x:row r="487">
      <x:c r="A487" t="str">
        <x:v>gtja_169</x:v>
      </x:c>
      <x:c r="B487" s="50" t="n">
        <x:v>1</x:v>
      </x:c>
      <x:c r="C487" s="30" t="n">
        <x:v>-0.0049060465225575604</x:v>
      </x:c>
      <x:c r="D487" s="30" t="n">
        <x:v>0.07695715203469752</x:v>
      </x:c>
      <x:c r="E487" s="30" t="n">
        <x:v>-0.0637503648828582</x:v>
      </x:c>
      <x:c r="F487" s="30" t="n">
        <x:v>-0.019095546005785394</x:v>
      </x:c>
      <x:c r="G487" s="30" t="n">
        <x:v>0.12432931948453992</x:v>
      </x:c>
      <x:c r="H487" s="30" t="n">
        <x:v>-0.1535884382296477</x:v>
      </x:c>
      <x:c r="I487" s="30" t="n">
        <x:v>0.43</x:v>
      </x:c>
      <x:c r="J487" s="30" t="n">
        <x:v>0.465</x:v>
      </x:c>
      <x:c r="K487" s="19" t="n">
        <x:v>2000</x:v>
      </x:c>
      <x:c r="L487" s="74" t="n">
        <x:v>46210.89785068287</x:v>
      </x:c>
      <x:c r="M487" s="19" t="n">
        <x:v>8902245</x:v>
      </x:c>
      <x:c r="N487" t="str">
        <x:v>40355b29bce094aef0e99358bdfd4011b92e72a54440a67760de4afae4883c33</x:v>
      </x:c>
      <x:c r="O487" t="str">
        <x:v>legacy_common_sample_8902245</x:v>
      </x:c>
      <x:c r="P487" t="str">
        <x:v>factor_report/gtja191_batch/gtja_169/ic_summary.csv</x:v>
      </x:c>
    </x:row>
    <x:row r="488">
      <x:c r="A488" t="str">
        <x:v>gtja_169</x:v>
      </x:c>
      <x:c r="B488" s="50" t="n">
        <x:v>5</x:v>
      </x:c>
      <x:c r="C488" s="30" t="n">
        <x:v>-0.010097874283100116</x:v>
      </x:c>
      <x:c r="D488" s="30" t="n">
        <x:v>0.0763891540512523</x:v>
      </x:c>
      <x:c r="E488" s="30" t="n">
        <x:v>-0.13218989539176046</x:v>
      </x:c>
      <x:c r="F488" s="30" t="n">
        <x:v>-0.029981264926010935</x:v>
      </x:c>
      <x:c r="G488" s="30" t="n">
        <x:v>0.1234401233512225</x:v>
      </x:c>
      <x:c r="H488" s="30" t="n">
        <x:v>-0.2428810350481071</x:v>
      </x:c>
      <x:c r="I488" s="30" t="n">
        <x:v>0.3967935871743487</x:v>
      </x:c>
      <x:c r="J488" s="30" t="n">
        <x:v>0.4504008016032064</x:v>
      </x:c>
      <x:c r="K488" s="19" t="n">
        <x:v>1996</x:v>
      </x:c>
      <x:c r="L488" s="74" t="n">
        <x:v>46210.89785068287</x:v>
      </x:c>
      <x:c r="M488" s="19" t="n">
        <x:v>8902245</x:v>
      </x:c>
      <x:c r="N488" t="str">
        <x:v>40355b29bce094aef0e99358bdfd4011b92e72a54440a67760de4afae4883c33</x:v>
      </x:c>
      <x:c r="O488" t="str">
        <x:v>legacy_common_sample_8902245</x:v>
      </x:c>
      <x:c r="P488" t="str">
        <x:v>factor_report/gtja191_batch/gtja_169/ic_summary.csv</x:v>
      </x:c>
    </x:row>
    <x:row r="489">
      <x:c r="A489" t="str">
        <x:v>gtja_169</x:v>
      </x:c>
      <x:c r="B489" s="50" t="n">
        <x:v>10</x:v>
      </x:c>
      <x:c r="C489" s="30" t="n">
        <x:v>-0.012268271408027236</x:v>
      </x:c>
      <x:c r="D489" s="30" t="n">
        <x:v>0.07457769830399531</x:v>
      </x:c>
      <x:c r="E489" s="30" t="n">
        <x:v>-0.16450321861663025</x:v>
      </x:c>
      <x:c r="F489" s="30" t="n">
        <x:v>-0.03531465236762509</x:v>
      </x:c>
      <x:c r="G489" s="30" t="n">
        <x:v>0.12099802504427162</x:v>
      </x:c>
      <x:c r="H489" s="30" t="n">
        <x:v>-0.2918613948839571</x:v>
      </x:c>
      <x:c r="I489" s="30" t="n">
        <x:v>0.38824711200401807</x:v>
      </x:c>
      <x:c r="J489" s="30" t="n">
        <x:v>0.4324460070316424</x:v>
      </x:c>
      <x:c r="K489" s="19" t="n">
        <x:v>1991</x:v>
      </x:c>
      <x:c r="L489" s="74" t="n">
        <x:v>46210.89785068287</x:v>
      </x:c>
      <x:c r="M489" s="19" t="n">
        <x:v>8902245</x:v>
      </x:c>
      <x:c r="N489" t="str">
        <x:v>40355b29bce094aef0e99358bdfd4011b92e72a54440a67760de4afae4883c33</x:v>
      </x:c>
      <x:c r="O489" t="str">
        <x:v>legacy_common_sample_8902245</x:v>
      </x:c>
      <x:c r="P489" t="str">
        <x:v>factor_report/gtja191_batch/gtja_169/ic_summary.csv</x:v>
      </x:c>
    </x:row>
    <x:row r="490">
      <x:c r="A490" t="str">
        <x:v>gtja_169</x:v>
      </x:c>
      <x:c r="B490" s="50" t="n">
        <x:v>20</x:v>
      </x:c>
      <x:c r="C490" s="30" t="n">
        <x:v>-0.011776841827623752</x:v>
      </x:c>
      <x:c r="D490" s="30" t="n">
        <x:v>0.0760060802472727</x:v>
      </x:c>
      <x:c r="E490" s="30" t="n">
        <x:v>-0.1549460489122689</x:v>
      </x:c>
      <x:c r="F490" s="30" t="n">
        <x:v>-0.03854590185149994</x:v>
      </x:c>
      <x:c r="G490" s="30" t="n">
        <x:v>0.12520568048083566</x:v>
      </x:c>
      <x:c r="H490" s="30" t="n">
        <x:v>-0.3078606474040919</x:v>
      </x:c>
      <x:c r="I490" s="30" t="n">
        <x:v>0.3685007571933367</x:v>
      </x:c>
      <x:c r="J490" s="30" t="n">
        <x:v>0.45229681978798586</x:v>
      </x:c>
      <x:c r="K490" s="19" t="n">
        <x:v>1981</x:v>
      </x:c>
      <x:c r="L490" s="74" t="n">
        <x:v>46210.89785068287</x:v>
      </x:c>
      <x:c r="M490" s="19" t="n">
        <x:v>8902245</x:v>
      </x:c>
      <x:c r="N490" t="str">
        <x:v>40355b29bce094aef0e99358bdfd4011b92e72a54440a67760de4afae4883c33</x:v>
      </x:c>
      <x:c r="O490" t="str">
        <x:v>legacy_common_sample_8902245</x:v>
      </x:c>
      <x:c r="P490" t="str">
        <x:v>factor_report/gtja191_batch/gtja_169/ic_summary.csv</x:v>
      </x:c>
    </x:row>
    <x:row r="491">
      <x:c r="A491" t="str">
        <x:v>gtja_170</x:v>
      </x:c>
      <x:c r="B491" s="50" t="n">
        <x:v>10</x:v>
      </x:c>
      <x:c r="C491" s="30" t="n">
        <x:v>0.005596994118297488</x:v>
      </x:c>
      <x:c r="D491" s="30" t="n">
        <x:v>0.09300072361157065</x:v>
      </x:c>
      <x:c r="E491" s="30" t="n">
        <x:v>0.06018226419048142</x:v>
      </x:c>
      <x:c r="F491" s="30" t="n">
        <x:v>0.006814785039770921</x:v>
      </x:c>
      <x:c r="G491" s="30" t="n">
        <x:v>0.1202017890590247</x:v>
      </x:c>
      <x:c r="H491" s="30" t="n">
        <x:v>0.056694539183809844</x:v>
      </x:c>
      <x:c r="I491" s="30" t="n">
        <x:v>0.4992466097438473</x:v>
      </x:c>
      <x:c r="J491" s="30" t="n">
        <x:v>0.508789552988448</x:v>
      </x:c>
      <x:c r="K491" s="19" t="n">
        <x:v>1991</x:v>
      </x:c>
      <x:c r="L491" s="74" t="n">
        <x:v>46211.52554471065</x:v>
      </x:c>
      <x:c r="M491" s="19" t="n">
        <x:v>8902245</x:v>
      </x:c>
      <x:c r="N491" t="str">
        <x:v>8f7e606554926462248cbcc654181861438ca768a0063f6b317223ede37d16fb</x:v>
      </x:c>
      <x:c r="O491" t="str">
        <x:v>legacy_common_sample_8902245</x:v>
      </x:c>
      <x:c r="P491" t="str">
        <x:v>factor_report/gtja191_batch/gtja_170/ic_summary.csv</x:v>
      </x:c>
    </x:row>
    <x:row r="492">
      <x:c r="A492" t="str">
        <x:v>gtja_170</x:v>
      </x:c>
      <x:c r="B492" s="50" t="n">
        <x:v>20</x:v>
      </x:c>
      <x:c r="C492" s="30" t="n">
        <x:v>0.009564159353710217</x:v>
      </x:c>
      <x:c r="D492" s="30" t="n">
        <x:v>0.09079582507356987</x:v>
      </x:c>
      <x:c r="E492" s="30" t="n">
        <x:v>0.10533699480081367</x:v>
      </x:c>
      <x:c r="F492" s="30" t="n">
        <x:v>0.010736159541389215</x:v>
      </x:c>
      <x:c r="G492" s="30" t="n">
        <x:v>0.1159345468536043</x:v>
      </x:c>
      <x:c r="H492" s="30" t="n">
        <x:v>0.09260535218157398</x:v>
      </x:c>
      <x:c r="I492" s="30" t="n">
        <x:v>0.5249873801110551</x:v>
      </x:c>
      <x:c r="J492" s="30" t="n">
        <x:v>0.5254921756688541</x:v>
      </x:c>
      <x:c r="K492" s="19" t="n">
        <x:v>1981</x:v>
      </x:c>
      <x:c r="L492" s="74" t="n">
        <x:v>46211.52554471065</x:v>
      </x:c>
      <x:c r="M492" s="19" t="n">
        <x:v>8902245</x:v>
      </x:c>
      <x:c r="N492" t="str">
        <x:v>8f7e606554926462248cbcc654181861438ca768a0063f6b317223ede37d16fb</x:v>
      </x:c>
      <x:c r="O492" t="str">
        <x:v>legacy_common_sample_8902245</x:v>
      </x:c>
      <x:c r="P492" t="str">
        <x:v>factor_report/gtja191_batch/gtja_170/ic_summary.csv</x:v>
      </x:c>
    </x:row>
    <x:row r="493">
      <x:c r="A493" t="str">
        <x:v>gtja_171</x:v>
      </x:c>
      <x:c r="B493" s="50" t="n">
        <x:v>10</x:v>
      </x:c>
      <x:c r="C493" s="30" t="n">
        <x:v>0.008874583085112828</x:v>
      </x:c>
      <x:c r="D493" s="30" t="n">
        <x:v>0.045188874967451144</x:v>
      </x:c>
      <x:c r="E493" s="30" t="n">
        <x:v>0.19638867069616261</x:v>
      </x:c>
      <x:c r="F493" s="30" t="n">
        <x:v>-0.0015023745819483184</x:v>
      </x:c>
      <x:c r="G493" s="30" t="n">
        <x:v>0.0979458021620016</x:v>
      </x:c>
      <x:c r="H493" s="30" t="n">
        <x:v>-0.01533883585396955</x:v>
      </x:c>
      <x:c r="I493" s="30" t="n">
        <x:v>0.47965846308387744</x:v>
      </x:c>
      <x:c r="J493" s="30" t="n">
        <x:v>0.5946760421898544</x:v>
      </x:c>
      <x:c r="K493" s="19" t="n">
        <x:v>1991</x:v>
      </x:c>
      <x:c r="L493" s="74" t="n">
        <x:v>46211.52808474537</x:v>
      </x:c>
      <x:c r="M493" s="19" t="n">
        <x:v>8902245</x:v>
      </x:c>
      <x:c r="N493" t="str">
        <x:v>8f7e606554926462248cbcc654181861438ca768a0063f6b317223ede37d16fb</x:v>
      </x:c>
      <x:c r="O493" t="str">
        <x:v>legacy_common_sample_8902245</x:v>
      </x:c>
      <x:c r="P493" t="str">
        <x:v>factor_report/gtja191_batch/gtja_171/ic_summary.csv</x:v>
      </x:c>
    </x:row>
    <x:row r="494">
      <x:c r="A494" t="str">
        <x:v>gtja_171</x:v>
      </x:c>
      <x:c r="B494" s="50" t="n">
        <x:v>20</x:v>
      </x:c>
      <x:c r="C494" s="30" t="n">
        <x:v>0.00861631624807976</x:v>
      </x:c>
      <x:c r="D494" s="30" t="n">
        <x:v>0.04317970116364495</x:v>
      </x:c>
      <x:c r="E494" s="30" t="n">
        <x:v>0.19954552754835292</x:v>
      </x:c>
      <x:c r="F494" s="30" t="n">
        <x:v>-0.0014913989789205086</x:v>
      </x:c>
      <x:c r="G494" s="30" t="n">
        <x:v>0.09372969700325982</x:v>
      </x:c>
      <x:c r="H494" s="30" t="n">
        <x:v>-0.015911701697580855</x:v>
      </x:c>
      <x:c r="I494" s="30" t="n">
        <x:v>0.48662291771832406</x:v>
      </x:c>
      <x:c r="J494" s="30" t="n">
        <x:v>0.6012115093387178</x:v>
      </x:c>
      <x:c r="K494" s="19" t="n">
        <x:v>1981</x:v>
      </x:c>
      <x:c r="L494" s="74" t="n">
        <x:v>46211.52808474537</x:v>
      </x:c>
      <x:c r="M494" s="19" t="n">
        <x:v>8902245</x:v>
      </x:c>
      <x:c r="N494" t="str">
        <x:v>8f7e606554926462248cbcc654181861438ca768a0063f6b317223ede37d16fb</x:v>
      </x:c>
      <x:c r="O494" t="str">
        <x:v>legacy_common_sample_8902245</x:v>
      </x:c>
      <x:c r="P494" t="str">
        <x:v>factor_report/gtja191_batch/gtja_171/ic_summary.csv</x:v>
      </x:c>
    </x:row>
    <x:row r="495">
      <x:c r="A495" t="str">
        <x:v>gtja_172</x:v>
      </x:c>
      <x:c r="B495" s="50" t="n">
        <x:v>10</x:v>
      </x:c>
      <x:c r="C495" s="30" t="n">
        <x:v>-0.00044559110151065764</x:v>
      </x:c>
      <x:c r="D495" s="30" t="n">
        <x:v>0.0680853911180743</x:v>
      </x:c>
      <x:c r="E495" s="30" t="n">
        <x:v>-0.006544591933648579</x:v>
      </x:c>
      <x:c r="F495" s="30" t="n">
        <x:v>-0.0028721415964441267</x:v>
      </x:c>
      <x:c r="G495" s="30" t="n">
        <x:v>0.08067057032116376</x:v>
      </x:c>
      <x:c r="H495" s="30" t="n">
        <x:v>-0.03560333818156516</x:v>
      </x:c>
      <x:c r="I495" s="30" t="n">
        <x:v>0.4630838774485183</x:v>
      </x:c>
      <x:c r="J495" s="30" t="n">
        <x:v>0.46559517830236063</x:v>
      </x:c>
      <x:c r="K495" s="19" t="n">
        <x:v>1991</x:v>
      </x:c>
      <x:c r="L495" s="74" t="n">
        <x:v>46211.5309509838</x:v>
      </x:c>
      <x:c r="M495" s="19" t="n">
        <x:v>8902245</x:v>
      </x:c>
      <x:c r="N495" t="str">
        <x:v>8f7e606554926462248cbcc654181861438ca768a0063f6b317223ede37d16fb</x:v>
      </x:c>
      <x:c r="O495" t="str">
        <x:v>legacy_common_sample_8902245</x:v>
      </x:c>
      <x:c r="P495" t="str">
        <x:v>factor_report/gtja191_batch/gtja_172/ic_summary.csv</x:v>
      </x:c>
    </x:row>
    <x:row r="496">
      <x:c r="A496" t="str">
        <x:v>gtja_172</x:v>
      </x:c>
      <x:c r="B496" s="50" t="n">
        <x:v>20</x:v>
      </x:c>
      <x:c r="C496" s="30" t="n">
        <x:v>0.0032261457900436895</x:v>
      </x:c>
      <x:c r="D496" s="30" t="n">
        <x:v>0.07067010660824247</x:v>
      </x:c>
      <x:c r="E496" s="30" t="n">
        <x:v>0.04565078425490042</x:v>
      </x:c>
      <x:c r="F496" s="30" t="n">
        <x:v>-0.00048523091950950875</x:v>
      </x:c>
      <x:c r="G496" s="30" t="n">
        <x:v>0.08369551266032782</x:v>
      </x:c>
      <x:c r="H496" s="30" t="n">
        <x:v>-0.005797573897166785</x:v>
      </x:c>
      <x:c r="I496" s="30" t="n">
        <x:v>0.4719838465421504</x:v>
      </x:c>
      <x:c r="J496" s="30" t="n">
        <x:v>0.4734982332155477</x:v>
      </x:c>
      <x:c r="K496" s="19" t="n">
        <x:v>1981</x:v>
      </x:c>
      <x:c r="L496" s="74" t="n">
        <x:v>46211.5309509838</x:v>
      </x:c>
      <x:c r="M496" s="19" t="n">
        <x:v>8902245</x:v>
      </x:c>
      <x:c r="N496" t="str">
        <x:v>8f7e606554926462248cbcc654181861438ca768a0063f6b317223ede37d16fb</x:v>
      </x:c>
      <x:c r="O496" t="str">
        <x:v>legacy_common_sample_8902245</x:v>
      </x:c>
      <x:c r="P496" t="str">
        <x:v>factor_report/gtja191_batch/gtja_172/ic_summary.csv</x:v>
      </x:c>
    </x:row>
    <x:row r="497">
      <x:c r="A497" t="str">
        <x:v>gtja_173</x:v>
      </x:c>
      <x:c r="B497" s="50" t="n">
        <x:v>1</x:v>
      </x:c>
      <x:c r="C497" s="30" t="n">
        <x:v>-0.004286733186243646</x:v>
      </x:c>
      <x:c r="D497" s="30" t="n">
        <x:v>0.08783729636156358</x:v>
      </x:c>
      <x:c r="E497" s="30" t="n">
        <x:v>-0.048803109428575984</x:v>
      </x:c>
      <x:c r="F497" s="30" t="n">
        <x:v>-0.021278486728351535</x:v>
      </x:c>
      <x:c r="G497" s="30" t="n">
        <x:v>0.1674400942772943</x:v>
      </x:c>
      <x:c r="H497" s="30" t="n">
        <x:v>-0.12708119175513985</x:v>
      </x:c>
      <x:c r="I497" s="30" t="n">
        <x:v>0.45</x:v>
      </x:c>
      <x:c r="J497" s="30" t="n">
        <x:v>0.475</x:v>
      </x:c>
      <x:c r="K497" s="19" t="n">
        <x:v>2000</x:v>
      </x:c>
      <x:c r="L497" s="74" t="n">
        <x:v>46210.91649931713</x:v>
      </x:c>
      <x:c r="M497" s="19" t="n">
        <x:v>8902245</x:v>
      </x:c>
      <x:c r="N497" t="str">
        <x:v>40355b29bce094aef0e99358bdfd4011b92e72a54440a67760de4afae4883c33</x:v>
      </x:c>
      <x:c r="O497" t="str">
        <x:v>legacy_common_sample_8902245</x:v>
      </x:c>
      <x:c r="P497" t="str">
        <x:v>factor_report/gtja191_batch/gtja_173/ic_summary.csv</x:v>
      </x:c>
    </x:row>
    <x:row r="498">
      <x:c r="A498" t="str">
        <x:v>gtja_173</x:v>
      </x:c>
      <x:c r="B498" s="50" t="n">
        <x:v>5</x:v>
      </x:c>
      <x:c r="C498" s="30" t="n">
        <x:v>-0.008761905692747585</x:v>
      </x:c>
      <x:c r="D498" s="30" t="n">
        <x:v>0.09018939869673047</x:v>
      </x:c>
      <x:c r="E498" s="30" t="n">
        <x:v>-0.09715006219533893</x:v>
      </x:c>
      <x:c r="F498" s="30" t="n">
        <x:v>-0.033439889745327314</x:v>
      </x:c>
      <x:c r="G498" s="30" t="n">
        <x:v>0.1754474138054183</x:v>
      </x:c>
      <x:c r="H498" s="30" t="n">
        <x:v>-0.19059779235283658</x:v>
      </x:c>
      <x:c r="I498" s="30" t="n">
        <x:v>0.46292585170340683</x:v>
      </x:c>
      <x:c r="J498" s="30" t="n">
        <x:v>0.47044088176352705</x:v>
      </x:c>
      <x:c r="K498" s="19" t="n">
        <x:v>1996</x:v>
      </x:c>
      <x:c r="L498" s="74" t="n">
        <x:v>46210.91649931713</x:v>
      </x:c>
      <x:c r="M498" s="19" t="n">
        <x:v>8902245</x:v>
      </x:c>
      <x:c r="N498" t="str">
        <x:v>40355b29bce094aef0e99358bdfd4011b92e72a54440a67760de4afae4883c33</x:v>
      </x:c>
      <x:c r="O498" t="str">
        <x:v>legacy_common_sample_8902245</x:v>
      </x:c>
      <x:c r="P498" t="str">
        <x:v>factor_report/gtja191_batch/gtja_173/ic_summary.csv</x:v>
      </x:c>
    </x:row>
    <x:row r="499">
      <x:c r="A499" t="str">
        <x:v>gtja_173</x:v>
      </x:c>
      <x:c r="B499" s="50" t="n">
        <x:v>10</x:v>
      </x:c>
      <x:c r="C499" s="30" t="n">
        <x:v>-0.012017363443812084</x:v>
      </x:c>
      <x:c r="D499" s="30" t="n">
        <x:v>0.09420354514624783</x:v>
      </x:c>
      <x:c r="E499" s="30" t="n">
        <x:v>-0.12756805940960642</x:v>
      </x:c>
      <x:c r="F499" s="30" t="n">
        <x:v>-0.04325381637287457</x:v>
      </x:c>
      <x:c r="G499" s="30" t="n">
        <x:v>0.18323903446816028</x:v>
      </x:c>
      <x:c r="H499" s="30" t="n">
        <x:v>-0.236051322243735</x:v>
      </x:c>
      <x:c r="I499" s="30" t="n">
        <x:v>0.4339527875439478</x:v>
      </x:c>
      <x:c r="J499" s="30" t="n">
        <x:v>0.4490205926670015</x:v>
      </x:c>
      <x:c r="K499" s="19" t="n">
        <x:v>1991</x:v>
      </x:c>
      <x:c r="L499" s="74" t="n">
        <x:v>46210.91649931713</x:v>
      </x:c>
      <x:c r="M499" s="19" t="n">
        <x:v>8902245</x:v>
      </x:c>
      <x:c r="N499" t="str">
        <x:v>40355b29bce094aef0e99358bdfd4011b92e72a54440a67760de4afae4883c33</x:v>
      </x:c>
      <x:c r="O499" t="str">
        <x:v>legacy_common_sample_8902245</x:v>
      </x:c>
      <x:c r="P499" t="str">
        <x:v>factor_report/gtja191_batch/gtja_173/ic_summary.csv</x:v>
      </x:c>
    </x:row>
    <x:row r="500">
      <x:c r="A500" t="str">
        <x:v>gtja_173</x:v>
      </x:c>
      <x:c r="B500" s="50" t="n">
        <x:v>20</x:v>
      </x:c>
      <x:c r="C500" s="30" t="n">
        <x:v>-0.016606189853636717</x:v>
      </x:c>
      <x:c r="D500" s="30" t="n">
        <x:v>0.09771864558670562</x:v>
      </x:c>
      <x:c r="E500" s="30" t="n">
        <x:v>-0.16993880496329708</x:v>
      </x:c>
      <x:c r="F500" s="30" t="n">
        <x:v>-0.05594958936404615</x:v>
      </x:c>
      <x:c r="G500" s="30" t="n">
        <x:v>0.1865803304529382</x:v>
      </x:c>
      <x:c r="H500" s="30" t="n">
        <x:v>-0.2998686368934184</x:v>
      </x:c>
      <x:c r="I500" s="30" t="n">
        <x:v>0.4164563351842504</x:v>
      </x:c>
      <x:c r="J500" s="30" t="n">
        <x:v>0.4230186774356386</x:v>
      </x:c>
      <x:c r="K500" s="19" t="n">
        <x:v>1981</x:v>
      </x:c>
      <x:c r="L500" s="74" t="n">
        <x:v>46210.91649931713</x:v>
      </x:c>
      <x:c r="M500" s="19" t="n">
        <x:v>8902245</x:v>
      </x:c>
      <x:c r="N500" t="str">
        <x:v>40355b29bce094aef0e99358bdfd4011b92e72a54440a67760de4afae4883c33</x:v>
      </x:c>
      <x:c r="O500" t="str">
        <x:v>legacy_common_sample_8902245</x:v>
      </x:c>
      <x:c r="P500" t="str">
        <x:v>factor_report/gtja191_batch/gtja_173/ic_summary.csv</x:v>
      </x:c>
    </x:row>
    <x:row r="501">
      <x:c r="A501" t="str">
        <x:v>gtja_174</x:v>
      </x:c>
      <x:c r="B501" s="50" t="n">
        <x:v>1</x:v>
      </x:c>
      <x:c r="C501" s="30" t="n">
        <x:v>-0.003669004553180412</x:v>
      </x:c>
      <x:c r="D501" s="30" t="n">
        <x:v>0.11036149030910546</x:v>
      </x:c>
      <x:c r="E501" s="30" t="n">
        <x:v>-0.03324533352081508</x:v>
      </x:c>
      <x:c r="F501" s="30" t="n">
        <x:v>-0.02791735957948747</x:v>
      </x:c>
      <x:c r="G501" s="30" t="n">
        <x:v>0.1863135956841658</x:v>
      </x:c>
      <x:c r="H501" s="30" t="n">
        <x:v>-0.14984069990690474</x:v>
      </x:c>
      <x:c r="I501" s="30" t="n">
        <x:v>0.4355</x:v>
      </x:c>
      <x:c r="J501" s="30" t="n">
        <x:v>0.4855</x:v>
      </x:c>
      <x:c r="K501" s="19" t="n">
        <x:v>2000</x:v>
      </x:c>
      <x:c r="L501" s="74" t="n">
        <x:v>46210.92118445602</x:v>
      </x:c>
      <x:c r="M501" s="19" t="n">
        <x:v>8902245</x:v>
      </x:c>
      <x:c r="N501" t="str">
        <x:v>40355b29bce094aef0e99358bdfd4011b92e72a54440a67760de4afae4883c33</x:v>
      </x:c>
      <x:c r="O501" t="str">
        <x:v>legacy_common_sample_8902245</x:v>
      </x:c>
      <x:c r="P501" t="str">
        <x:v>factor_report/gtja191_batch/gtja_174/ic_summary.csv</x:v>
      </x:c>
    </x:row>
    <x:row r="502">
      <x:c r="A502" t="str">
        <x:v>gtja_174</x:v>
      </x:c>
      <x:c r="B502" s="50" t="n">
        <x:v>5</x:v>
      </x:c>
      <x:c r="C502" s="30" t="n">
        <x:v>-0.009793690478449841</x:v>
      </x:c>
      <x:c r="D502" s="30" t="n">
        <x:v>0.11215472598317214</x:v>
      </x:c>
      <x:c r="E502" s="30" t="n">
        <x:v>-0.08732302979296032</x:v>
      </x:c>
      <x:c r="F502" s="30" t="n">
        <x:v>-0.04182333979945225</x:v>
      </x:c>
      <x:c r="G502" s="30" t="n">
        <x:v>0.18958019341650842</x:v>
      </x:c>
      <x:c r="H502" s="30" t="n">
        <x:v>-0.2206102813048946</x:v>
      </x:c>
      <x:c r="I502" s="30" t="n">
        <x:v>0.437374749498998</x:v>
      </x:c>
      <x:c r="J502" s="30" t="n">
        <x:v>0.46893787575150303</x:v>
      </x:c>
      <x:c r="K502" s="19" t="n">
        <x:v>1996</x:v>
      </x:c>
      <x:c r="L502" s="74" t="n">
        <x:v>46210.92118445602</x:v>
      </x:c>
      <x:c r="M502" s="19" t="n">
        <x:v>8902245</x:v>
      </x:c>
      <x:c r="N502" t="str">
        <x:v>40355b29bce094aef0e99358bdfd4011b92e72a54440a67760de4afae4883c33</x:v>
      </x:c>
      <x:c r="O502" t="str">
        <x:v>legacy_common_sample_8902245</x:v>
      </x:c>
      <x:c r="P502" t="str">
        <x:v>factor_report/gtja191_batch/gtja_174/ic_summary.csv</x:v>
      </x:c>
    </x:row>
    <x:row r="503">
      <x:c r="A503" t="str">
        <x:v>gtja_174</x:v>
      </x:c>
      <x:c r="B503" s="50" t="n">
        <x:v>10</x:v>
      </x:c>
      <x:c r="C503" s="30" t="n">
        <x:v>-0.013777827805586281</x:v>
      </x:c>
      <x:c r="D503" s="30" t="n">
        <x:v>0.11634584433379073</x:v>
      </x:c>
      <x:c r="E503" s="30" t="n">
        <x:v>-0.11842131435359517</x:v>
      </x:c>
      <x:c r="F503" s="30" t="n">
        <x:v>-0.05213777627165509</x:v>
      </x:c>
      <x:c r="G503" s="30" t="n">
        <x:v>0.19446770880498002</x:v>
      </x:c>
      <x:c r="H503" s="30" t="n">
        <x:v>-0.2681050576059439</x:v>
      </x:c>
      <x:c r="I503" s="30" t="n">
        <x:v>0.41637368156705173</x:v>
      </x:c>
      <x:c r="J503" s="30" t="n">
        <x:v>0.46760421898543447</x:v>
      </x:c>
      <x:c r="K503" s="19" t="n">
        <x:v>1991</x:v>
      </x:c>
      <x:c r="L503" s="74" t="n">
        <x:v>46210.92118445602</x:v>
      </x:c>
      <x:c r="M503" s="19" t="n">
        <x:v>8902245</x:v>
      </x:c>
      <x:c r="N503" t="str">
        <x:v>40355b29bce094aef0e99358bdfd4011b92e72a54440a67760de4afae4883c33</x:v>
      </x:c>
      <x:c r="O503" t="str">
        <x:v>legacy_common_sample_8902245</x:v>
      </x:c>
      <x:c r="P503" t="str">
        <x:v>factor_report/gtja191_batch/gtja_174/ic_summary.csv</x:v>
      </x:c>
    </x:row>
    <x:row r="504">
      <x:c r="A504" t="str">
        <x:v>gtja_174</x:v>
      </x:c>
      <x:c r="B504" s="50" t="n">
        <x:v>20</x:v>
      </x:c>
      <x:c r="C504" s="30" t="n">
        <x:v>-0.02033816585298569</x:v>
      </x:c>
      <x:c r="D504" s="30" t="n">
        <x:v>0.12093787505907717</x:v>
      </x:c>
      <x:c r="E504" s="30" t="n">
        <x:v>-0.16817035889749726</x:v>
      </x:c>
      <x:c r="F504" s="30" t="n">
        <x:v>-0.0671005193785548</x:v>
      </x:c>
      <x:c r="G504" s="30" t="n">
        <x:v>0.1978973692421543</x:v>
      </x:c>
      <x:c r="H504" s="30" t="n">
        <x:v>-0.3390672631754301</x:v>
      </x:c>
      <x:c r="I504" s="30" t="n">
        <x:v>0.3871781928319031</x:v>
      </x:c>
      <x:c r="J504" s="30" t="n">
        <x:v>0.4316002019182231</x:v>
      </x:c>
      <x:c r="K504" s="19" t="n">
        <x:v>1981</x:v>
      </x:c>
      <x:c r="L504" s="74" t="n">
        <x:v>46210.92118445602</x:v>
      </x:c>
      <x:c r="M504" s="19" t="n">
        <x:v>8902245</x:v>
      </x:c>
      <x:c r="N504" t="str">
        <x:v>40355b29bce094aef0e99358bdfd4011b92e72a54440a67760de4afae4883c33</x:v>
      </x:c>
      <x:c r="O504" t="str">
        <x:v>legacy_common_sample_8902245</x:v>
      </x:c>
      <x:c r="P504" t="str">
        <x:v>factor_report/gtja191_batch/gtja_174/ic_summary.csv</x:v>
      </x:c>
    </x:row>
    <x:row r="505">
      <x:c r="A505" t="str">
        <x:v>gtja_175</x:v>
      </x:c>
      <x:c r="B505" s="50" t="n">
        <x:v>1</x:v>
      </x:c>
      <x:c r="C505" s="30" t="n">
        <x:v>-0.007850136118410603</x:v>
      </x:c>
      <x:c r="D505" s="30" t="n">
        <x:v>0.11270769895235386</x:v>
      </x:c>
      <x:c r="E505" s="30" t="n">
        <x:v>-0.06965039825477384</x:v>
      </x:c>
      <x:c r="F505" s="30" t="n">
        <x:v>-0.04022078430442937</x:v>
      </x:c>
      <x:c r="G505" s="30" t="n">
        <x:v>0.18180958226160174</x:v>
      </x:c>
      <x:c r="H505" s="30" t="n">
        <x:v>-0.22122477706679172</x:v>
      </x:c>
      <x:c r="I505" s="30" t="n">
        <x:v>0.417</x:v>
      </x:c>
      <x:c r="J505" s="30" t="n">
        <x:v>0.4675</x:v>
      </x:c>
      <x:c r="K505" s="19" t="n">
        <x:v>2000</x:v>
      </x:c>
      <x:c r="L505" s="74" t="n">
        <x:v>46210.925217731485</x:v>
      </x:c>
      <x:c r="M505" s="19" t="n">
        <x:v>8902245</x:v>
      </x:c>
      <x:c r="N505" t="str">
        <x:v>40355b29bce094aef0e99358bdfd4011b92e72a54440a67760de4afae4883c33</x:v>
      </x:c>
      <x:c r="O505" t="str">
        <x:v>legacy_common_sample_8902245</x:v>
      </x:c>
      <x:c r="P505" t="str">
        <x:v>factor_report/gtja191_batch/gtja_175/ic_summary.csv</x:v>
      </x:c>
    </x:row>
    <x:row r="506">
      <x:c r="A506" t="str">
        <x:v>gtja_175</x:v>
      </x:c>
      <x:c r="B506" s="50" t="n">
        <x:v>5</x:v>
      </x:c>
      <x:c r="C506" s="30" t="n">
        <x:v>-0.01665040409173456</x:v>
      </x:c>
      <x:c r="D506" s="30" t="n">
        <x:v>0.11397864243278591</x:v>
      </x:c>
      <x:c r="E506" s="30" t="n">
        <x:v>-0.14608354456891723</x:v>
      </x:c>
      <x:c r="F506" s="30" t="n">
        <x:v>-0.058075668845902644</x:v>
      </x:c>
      <x:c r="G506" s="30" t="n">
        <x:v>0.18528352093487885</x:v>
      </x:c>
      <x:c r="H506" s="30" t="n">
        <x:v>-0.3134421698857631</x:v>
      </x:c>
      <x:c r="I506" s="30" t="n">
        <x:v>0.4003006012024048</x:v>
      </x:c>
      <x:c r="J506" s="30" t="n">
        <x:v>0.437374749498998</x:v>
      </x:c>
      <x:c r="K506" s="19" t="n">
        <x:v>1996</x:v>
      </x:c>
      <x:c r="L506" s="74" t="n">
        <x:v>46210.925217731485</x:v>
      </x:c>
      <x:c r="M506" s="19" t="n">
        <x:v>8902245</x:v>
      </x:c>
      <x:c r="N506" t="str">
        <x:v>40355b29bce094aef0e99358bdfd4011b92e72a54440a67760de4afae4883c33</x:v>
      </x:c>
      <x:c r="O506" t="str">
        <x:v>legacy_common_sample_8902245</x:v>
      </x:c>
      <x:c r="P506" t="str">
        <x:v>factor_report/gtja191_batch/gtja_175/ic_summary.csv</x:v>
      </x:c>
    </x:row>
    <x:row r="507">
      <x:c r="A507" t="str">
        <x:v>gtja_175</x:v>
      </x:c>
      <x:c r="B507" s="50" t="n">
        <x:v>10</x:v>
      </x:c>
      <x:c r="C507" s="30" t="n">
        <x:v>-0.021775359758837418</x:v>
      </x:c>
      <x:c r="D507" s="30" t="n">
        <x:v>0.11772854683333747</x:v>
      </x:c>
      <x:c r="E507" s="30" t="n">
        <x:v>-0.18496244406773937</x:v>
      </x:c>
      <x:c r="F507" s="30" t="n">
        <x:v>-0.06974166759422153</x:v>
      </x:c>
      <x:c r="G507" s="30" t="n">
        <x:v>0.19172470275958414</x:v>
      </x:c>
      <x:c r="H507" s="30" t="n">
        <x:v>-0.3637594247918854</x:v>
      </x:c>
      <x:c r="I507" s="30" t="n">
        <x:v>0.38623807132094423</x:v>
      </x:c>
      <x:c r="J507" s="30" t="n">
        <x:v>0.4404821697639377</x:v>
      </x:c>
      <x:c r="K507" s="19" t="n">
        <x:v>1991</x:v>
      </x:c>
      <x:c r="L507" s="74" t="n">
        <x:v>46210.925217731485</x:v>
      </x:c>
      <x:c r="M507" s="19" t="n">
        <x:v>8902245</x:v>
      </x:c>
      <x:c r="N507" t="str">
        <x:v>40355b29bce094aef0e99358bdfd4011b92e72a54440a67760de4afae4883c33</x:v>
      </x:c>
      <x:c r="O507" t="str">
        <x:v>legacy_common_sample_8902245</x:v>
      </x:c>
      <x:c r="P507" t="str">
        <x:v>factor_report/gtja191_batch/gtja_175/ic_summary.csv</x:v>
      </x:c>
    </x:row>
    <x:row r="508">
      <x:c r="A508" t="str">
        <x:v>gtja_175</x:v>
      </x:c>
      <x:c r="B508" s="50" t="n">
        <x:v>20</x:v>
      </x:c>
      <x:c r="C508" s="30" t="n">
        <x:v>-0.02718753607111106</x:v>
      </x:c>
      <x:c r="D508" s="30" t="n">
        <x:v>0.12310916515471446</x:v>
      </x:c>
      <x:c r="E508" s="30" t="n">
        <x:v>-0.22084087758164703</x:v>
      </x:c>
      <x:c r="F508" s="30" t="n">
        <x:v>-0.08375038278283142</x:v>
      </x:c>
      <x:c r="G508" s="30" t="n">
        <x:v>0.19712506240832867</x:v>
      </x:c>
      <x:c r="H508" s="30" t="n">
        <x:v>-0.4248591313536239</x:v>
      </x:c>
      <x:c r="I508" s="30" t="n">
        <x:v>0.3674911660777385</x:v>
      </x:c>
      <x:c r="J508" s="30" t="n">
        <x:v>0.4078748107016658</x:v>
      </x:c>
      <x:c r="K508" s="19" t="n">
        <x:v>1981</x:v>
      </x:c>
      <x:c r="L508" s="74" t="n">
        <x:v>46210.925217731485</x:v>
      </x:c>
      <x:c r="M508" s="19" t="n">
        <x:v>8902245</x:v>
      </x:c>
      <x:c r="N508" t="str">
        <x:v>40355b29bce094aef0e99358bdfd4011b92e72a54440a67760de4afae4883c33</x:v>
      </x:c>
      <x:c r="O508" t="str">
        <x:v>legacy_common_sample_8902245</x:v>
      </x:c>
      <x:c r="P508" t="str">
        <x:v>factor_report/gtja191_batch/gtja_175/ic_summary.csv</x:v>
      </x:c>
    </x:row>
    <x:row r="509">
      <x:c r="A509" t="str">
        <x:v>gtja_176</x:v>
      </x:c>
      <x:c r="B509" s="50" t="n">
        <x:v>1</x:v>
      </x:c>
      <x:c r="C509" s="30" t="n">
        <x:v>-0.005729394983489028</x:v>
      </x:c>
      <x:c r="D509" s="30" t="n">
        <x:v>0.045674662505679565</x:v>
      </x:c>
      <x:c r="E509" s="30" t="n">
        <x:v>-0.12543924069010007</x:v>
      </x:c>
      <x:c r="F509" s="30" t="n">
        <x:v>-0.024133419582179818</x:v>
      </x:c>
      <x:c r="G509" s="30" t="n">
        <x:v>0.05368903981017534</x:v>
      </x:c>
      <x:c r="H509" s="30" t="n">
        <x:v>-0.4495036541444343</x:v>
      </x:c>
      <x:c r="I509" s="30" t="n">
        <x:v>0.32</x:v>
      </x:c>
      <x:c r="J509" s="30" t="n">
        <x:v>0.451</x:v>
      </x:c>
      <x:c r="K509" s="19" t="n">
        <x:v>2000</x:v>
      </x:c>
      <x:c r="L509" s="74" t="n">
        <x:v>46210.92925570602</x:v>
      </x:c>
      <x:c r="M509" s="19" t="n">
        <x:v>8902245</x:v>
      </x:c>
      <x:c r="N509" t="str">
        <x:v>40355b29bce094aef0e99358bdfd4011b92e72a54440a67760de4afae4883c33</x:v>
      </x:c>
      <x:c r="O509" t="str">
        <x:v>legacy_common_sample_8902245</x:v>
      </x:c>
      <x:c r="P509" t="str">
        <x:v>factor_report/gtja191_batch/gtja_176/ic_summary.csv</x:v>
      </x:c>
    </x:row>
    <x:row r="510">
      <x:c r="A510" t="str">
        <x:v>gtja_176</x:v>
      </x:c>
      <x:c r="B510" s="50" t="n">
        <x:v>5</x:v>
      </x:c>
      <x:c r="C510" s="30" t="n">
        <x:v>-0.010646708424519192</x:v>
      </x:c>
      <x:c r="D510" s="30" t="n">
        <x:v>0.04378344552401847</x:v>
      </x:c>
      <x:c r="E510" s="30" t="n">
        <x:v>-0.24316744141752575</x:v>
      </x:c>
      <x:c r="F510" s="30" t="n">
        <x:v>-0.030987803007717876</x:v>
      </x:c>
      <x:c r="G510" s="30" t="n">
        <x:v>0.051167337377863865</x:v>
      </x:c>
      <x:c r="H510" s="30" t="n">
        <x:v>-0.6056168758377467</x:v>
      </x:c>
      <x:c r="I510" s="30" t="n">
        <x:v>0.26452905811623245</x:v>
      </x:c>
      <x:c r="J510" s="30" t="n">
        <x:v>0.4028056112224449</x:v>
      </x:c>
      <x:c r="K510" s="19" t="n">
        <x:v>1996</x:v>
      </x:c>
      <x:c r="L510" s="74" t="n">
        <x:v>46210.92925570602</x:v>
      </x:c>
      <x:c r="M510" s="19" t="n">
        <x:v>8902245</x:v>
      </x:c>
      <x:c r="N510" t="str">
        <x:v>40355b29bce094aef0e99358bdfd4011b92e72a54440a67760de4afae4883c33</x:v>
      </x:c>
      <x:c r="O510" t="str">
        <x:v>legacy_common_sample_8902245</x:v>
      </x:c>
      <x:c r="P510" t="str">
        <x:v>factor_report/gtja191_batch/gtja_176/ic_summary.csv</x:v>
      </x:c>
    </x:row>
    <x:row r="511">
      <x:c r="A511" t="str">
        <x:v>gtja_176</x:v>
      </x:c>
      <x:c r="B511" s="50" t="n">
        <x:v>10</x:v>
      </x:c>
      <x:c r="C511" s="30" t="n">
        <x:v>-0.013671968433248019</x:v>
      </x:c>
      <x:c r="D511" s="30" t="n">
        <x:v>0.04421783712900727</x:v>
      </x:c>
      <x:c r="E511" s="30" t="n">
        <x:v>-0.3091957753012549</x:v>
      </x:c>
      <x:c r="F511" s="30" t="n">
        <x:v>-0.035213922106757604</x:v>
      </x:c>
      <x:c r="G511" s="30" t="n">
        <x:v>0.052146497362368406</x:v>
      </x:c>
      <x:c r="H511" s="30" t="n">
        <x:v>-0.6752883489384616</x:v>
      </x:c>
      <x:c r="I511" s="30" t="n">
        <x:v>0.23254645906579607</x:v>
      </x:c>
      <x:c r="J511" s="30" t="n">
        <x:v>0.3736815670517328</x:v>
      </x:c>
      <x:c r="K511" s="19" t="n">
        <x:v>1991</x:v>
      </x:c>
      <x:c r="L511" s="74" t="n">
        <x:v>46210.92925570602</x:v>
      </x:c>
      <x:c r="M511" s="19" t="n">
        <x:v>8902245</x:v>
      </x:c>
      <x:c r="N511" t="str">
        <x:v>40355b29bce094aef0e99358bdfd4011b92e72a54440a67760de4afae4883c33</x:v>
      </x:c>
      <x:c r="O511" t="str">
        <x:v>legacy_common_sample_8902245</x:v>
      </x:c>
      <x:c r="P511" t="str">
        <x:v>factor_report/gtja191_batch/gtja_176/ic_summary.csv</x:v>
      </x:c>
    </x:row>
    <x:row r="512">
      <x:c r="A512" t="str">
        <x:v>gtja_176</x:v>
      </x:c>
      <x:c r="B512" s="50" t="n">
        <x:v>20</x:v>
      </x:c>
      <x:c r="C512" s="30" t="n">
        <x:v>-0.018569389397674618</x:v>
      </x:c>
      <x:c r="D512" s="30" t="n">
        <x:v>0.0425395832342059</x:v>
      </x:c>
      <x:c r="E512" s="30" t="n">
        <x:v>-0.4365202473996748</x:v>
      </x:c>
      <x:c r="F512" s="30" t="n">
        <x:v>-0.039441726766842995</x:v>
      </x:c>
      <x:c r="G512" s="30" t="n">
        <x:v>0.04936834272163876</x:v>
      </x:c>
      <x:c r="H512" s="30" t="n">
        <x:v>-0.7989275027771024</x:v>
      </x:c>
      <x:c r="I512" s="30" t="n">
        <x:v>0.20797576981322563</x:v>
      </x:c>
      <x:c r="J512" s="30" t="n">
        <x:v>0.32407874810701665</x:v>
      </x:c>
      <x:c r="K512" s="19" t="n">
        <x:v>1981</x:v>
      </x:c>
      <x:c r="L512" s="74" t="n">
        <x:v>46210.92925570602</x:v>
      </x:c>
      <x:c r="M512" s="19" t="n">
        <x:v>8902245</x:v>
      </x:c>
      <x:c r="N512" t="str">
        <x:v>40355b29bce094aef0e99358bdfd4011b92e72a54440a67760de4afae4883c33</x:v>
      </x:c>
      <x:c r="O512" t="str">
        <x:v>legacy_common_sample_8902245</x:v>
      </x:c>
      <x:c r="P512" t="str">
        <x:v>factor_report/gtja191_batch/gtja_176/ic_summary.csv</x:v>
      </x:c>
    </x:row>
    <x:row r="513">
      <x:c r="A513" t="str">
        <x:v>gtja_177</x:v>
      </x:c>
      <x:c r="B513" s="50" t="n">
        <x:v>1</x:v>
      </x:c>
      <x:c r="C513" s="30" t="n">
        <x:v>-0.008746127511925085</x:v>
      </x:c>
      <x:c r="D513" s="30" t="n">
        <x:v>0.09947937378057399</x:v>
      </x:c>
      <x:c r="E513" s="30" t="n">
        <x:v>-0.08791900450858085</x:v>
      </x:c>
      <x:c r="F513" s="30" t="n">
        <x:v>-0.025157689246815995</x:v>
      </x:c>
      <x:c r="G513" s="30" t="n">
        <x:v>0.11006671475413533</x:v>
      </x:c>
      <x:c r="H513" s="30" t="n">
        <x:v>-0.2285676401172934</x:v>
      </x:c>
      <x:c r="I513" s="30" t="n">
        <x:v>0.395</x:v>
      </x:c>
      <x:c r="J513" s="30" t="n">
        <x:v>0.4635</x:v>
      </x:c>
      <x:c r="K513" s="19" t="n">
        <x:v>2000</x:v>
      </x:c>
      <x:c r="L513" s="74" t="n">
        <x:v>46210.93332200232</x:v>
      </x:c>
      <x:c r="M513" s="19" t="n">
        <x:v>8902245</x:v>
      </x:c>
      <x:c r="N513" t="str">
        <x:v>40355b29bce094aef0e99358bdfd4011b92e72a54440a67760de4afae4883c33</x:v>
      </x:c>
      <x:c r="O513" t="str">
        <x:v>legacy_common_sample_8902245</x:v>
      </x:c>
      <x:c r="P513" t="str">
        <x:v>factor_report/gtja191_batch/gtja_177/ic_summary.csv</x:v>
      </x:c>
    </x:row>
    <x:row r="514">
      <x:c r="A514" t="str">
        <x:v>gtja_177</x:v>
      </x:c>
      <x:c r="B514" s="50" t="n">
        <x:v>5</x:v>
      </x:c>
      <x:c r="C514" s="30" t="n">
        <x:v>-0.016321348650792333</x:v>
      </x:c>
      <x:c r="D514" s="30" t="n">
        <x:v>0.09154172108659668</x:v>
      </x:c>
      <x:c r="E514" s="30" t="n">
        <x:v>-0.17829409865860676</x:v>
      </x:c>
      <x:c r="F514" s="30" t="n">
        <x:v>-0.032231683722138145</x:v>
      </x:c>
      <x:c r="G514" s="30" t="n">
        <x:v>0.10321207654549351</x:v>
      </x:c>
      <x:c r="H514" s="30" t="n">
        <x:v>-0.31228597273625397</x:v>
      </x:c>
      <x:c r="I514" s="30" t="n">
        <x:v>0.3712424849699399</x:v>
      </x:c>
      <x:c r="J514" s="30" t="n">
        <x:v>0.42935871743486975</x:v>
      </x:c>
      <x:c r="K514" s="19" t="n">
        <x:v>1996</x:v>
      </x:c>
      <x:c r="L514" s="74" t="n">
        <x:v>46210.93332200232</x:v>
      </x:c>
      <x:c r="M514" s="19" t="n">
        <x:v>8902245</x:v>
      </x:c>
      <x:c r="N514" t="str">
        <x:v>40355b29bce094aef0e99358bdfd4011b92e72a54440a67760de4afae4883c33</x:v>
      </x:c>
      <x:c r="O514" t="str">
        <x:v>legacy_common_sample_8902245</x:v>
      </x:c>
      <x:c r="P514" t="str">
        <x:v>factor_report/gtja191_batch/gtja_177/ic_summary.csv</x:v>
      </x:c>
    </x:row>
    <x:row r="515">
      <x:c r="A515" t="str">
        <x:v>gtja_177</x:v>
      </x:c>
      <x:c r="B515" s="50" t="n">
        <x:v>10</x:v>
      </x:c>
      <x:c r="C515" s="30" t="n">
        <x:v>-0.020202266396632317</x:v>
      </x:c>
      <x:c r="D515" s="30" t="n">
        <x:v>0.088747427049928</x:v>
      </x:c>
      <x:c r="E515" s="30" t="n">
        <x:v>-0.2276377701098514</x:v>
      </x:c>
      <x:c r="F515" s="30" t="n">
        <x:v>-0.036733152768811825</x:v>
      </x:c>
      <x:c r="G515" s="30" t="n">
        <x:v>0.10002325138444372</x:v>
      </x:c>
      <x:c r="H515" s="30" t="n">
        <x:v>-0.3672461378767458</x:v>
      </x:c>
      <x:c r="I515" s="30" t="n">
        <x:v>0.34555499748869917</x:v>
      </x:c>
      <x:c r="J515" s="30" t="n">
        <x:v>0.4143646408839779</x:v>
      </x:c>
      <x:c r="K515" s="19" t="n">
        <x:v>1991</x:v>
      </x:c>
      <x:c r="L515" s="74" t="n">
        <x:v>46210.93332200232</x:v>
      </x:c>
      <x:c r="M515" s="19" t="n">
        <x:v>8902245</x:v>
      </x:c>
      <x:c r="N515" t="str">
        <x:v>40355b29bce094aef0e99358bdfd4011b92e72a54440a67760de4afae4883c33</x:v>
      </x:c>
      <x:c r="O515" t="str">
        <x:v>legacy_common_sample_8902245</x:v>
      </x:c>
      <x:c r="P515" t="str">
        <x:v>factor_report/gtja191_batch/gtja_177/ic_summary.csv</x:v>
      </x:c>
    </x:row>
    <x:row r="516">
      <x:c r="A516" t="str">
        <x:v>gtja_177</x:v>
      </x:c>
      <x:c r="B516" s="50" t="n">
        <x:v>20</x:v>
      </x:c>
      <x:c r="C516" s="30" t="n">
        <x:v>-0.02326012765743274</x:v>
      </x:c>
      <x:c r="D516" s="30" t="n">
        <x:v>0.08842187120531352</x:v>
      </x:c>
      <x:c r="E516" s="30" t="n">
        <x:v>-0.26305853224281206</x:v>
      </x:c>
      <x:c r="F516" s="30" t="n">
        <x:v>-0.04136338386476683</x:v>
      </x:c>
      <x:c r="G516" s="30" t="n">
        <x:v>0.10039328048995054</x:v>
      </x:c>
      <x:c r="H516" s="30" t="n">
        <x:v>-0.4120134700539778</x:v>
      </x:c>
      <x:c r="I516" s="30" t="n">
        <x:v>0.3462897526501767</x:v>
      </x:c>
      <x:c r="J516" s="30" t="n">
        <x:v>0.3952549217566885</x:v>
      </x:c>
      <x:c r="K516" s="19" t="n">
        <x:v>1981</x:v>
      </x:c>
      <x:c r="L516" s="74" t="n">
        <x:v>46210.93332200232</x:v>
      </x:c>
      <x:c r="M516" s="19" t="n">
        <x:v>8902245</x:v>
      </x:c>
      <x:c r="N516" t="str">
        <x:v>40355b29bce094aef0e99358bdfd4011b92e72a54440a67760de4afae4883c33</x:v>
      </x:c>
      <x:c r="O516" t="str">
        <x:v>legacy_common_sample_8902245</x:v>
      </x:c>
      <x:c r="P516" t="str">
        <x:v>factor_report/gtja191_batch/gtja_177/ic_summary.csv</x:v>
      </x:c>
    </x:row>
    <x:row r="517">
      <x:c r="A517" t="str">
        <x:v>gtja_178</x:v>
      </x:c>
      <x:c r="B517" s="50" t="n">
        <x:v>10</x:v>
      </x:c>
      <x:c r="C517" s="30" t="n">
        <x:v>-0.013020184450874736</x:v>
      </x:c>
      <x:c r="D517" s="30" t="n">
        <x:v>0.056995338766337486</x:v>
      </x:c>
      <x:c r="E517" s="30" t="n">
        <x:v>-0.22844296977079642</x:v>
      </x:c>
      <x:c r="F517" s="30" t="n">
        <x:v>-0.011486471822643162</x:v>
      </x:c>
      <x:c r="G517" s="30" t="n">
        <x:v>0.10400808814059855</x:v>
      </x:c>
      <x:c r="H517" s="30" t="n">
        <x:v>-0.11043825560100387</x:v>
      </x:c>
      <x:c r="I517" s="30" t="n">
        <x:v>0.45102963335007534</x:v>
      </x:c>
      <x:c r="J517" s="30" t="n">
        <x:v>0.40180813661476644</x:v>
      </x:c>
      <x:c r="K517" s="19" t="n">
        <x:v>1991</x:v>
      </x:c>
      <x:c r="L517" s="74" t="n">
        <x:v>46211.5335721875</x:v>
      </x:c>
      <x:c r="M517" s="19" t="n">
        <x:v>8902245</x:v>
      </x:c>
      <x:c r="N517" t="str">
        <x:v>8f7e606554926462248cbcc654181861438ca768a0063f6b317223ede37d16fb</x:v>
      </x:c>
      <x:c r="O517" t="str">
        <x:v>legacy_common_sample_8902245</x:v>
      </x:c>
      <x:c r="P517" t="str">
        <x:v>factor_report/gtja191_batch/gtja_178/ic_summary.csv</x:v>
      </x:c>
    </x:row>
    <x:row r="518">
      <x:c r="A518" t="str">
        <x:v>gtja_178</x:v>
      </x:c>
      <x:c r="B518" s="50" t="n">
        <x:v>20</x:v>
      </x:c>
      <x:c r="C518" s="30" t="n">
        <x:v>-0.014190544156942268</x:v>
      </x:c>
      <x:c r="D518" s="30" t="n">
        <x:v>0.05348566234343744</x:v>
      </x:c>
      <x:c r="E518" s="30" t="n">
        <x:v>-0.26531491871266716</x:v>
      </x:c>
      <x:c r="F518" s="30" t="n">
        <x:v>-0.011558780832637798</x:v>
      </x:c>
      <x:c r="G518" s="30" t="n">
        <x:v>0.10272819585594392</x:v>
      </x:c>
      <x:c r="H518" s="30" t="n">
        <x:v>-0.11251809433942278</x:v>
      </x:c>
      <x:c r="I518" s="30" t="n">
        <x:v>0.45229681978798586</x:v>
      </x:c>
      <x:c r="J518" s="30" t="n">
        <x:v>0.392226148409894</x:v>
      </x:c>
      <x:c r="K518" s="19" t="n">
        <x:v>1981</x:v>
      </x:c>
      <x:c r="L518" s="74" t="n">
        <x:v>46211.5335721875</x:v>
      </x:c>
      <x:c r="M518" s="19" t="n">
        <x:v>8902245</x:v>
      </x:c>
      <x:c r="N518" t="str">
        <x:v>8f7e606554926462248cbcc654181861438ca768a0063f6b317223ede37d16fb</x:v>
      </x:c>
      <x:c r="O518" t="str">
        <x:v>legacy_common_sample_8902245</x:v>
      </x:c>
      <x:c r="P518" t="str">
        <x:v>factor_report/gtja191_batch/gtja_178/ic_summary.csv</x:v>
      </x:c>
    </x:row>
    <x:row r="519">
      <x:c r="A519" t="str">
        <x:v>gtja_179</x:v>
      </x:c>
      <x:c r="B519" s="50" t="n">
        <x:v>1</x:v>
      </x:c>
      <x:c r="C519" s="30" t="n">
        <x:v>-0.012311934116564907</x:v>
      </x:c>
      <x:c r="D519" s="30" t="n">
        <x:v>0.06210605790337784</x:v>
      </x:c>
      <x:c r="E519" s="30" t="n">
        <x:v>-0.19824047012804016</x:v>
      </x:c>
      <x:c r="F519" s="30" t="n">
        <x:v>-0.025089057116048225</x:v>
      </x:c>
      <x:c r="G519" s="30" t="n">
        <x:v>0.06365497793423676</x:v>
      </x:c>
      <x:c r="H519" s="30" t="n">
        <x:v>-0.3941413213899506</x:v>
      </x:c>
      <x:c r="I519" s="30" t="n">
        <x:v>0.3283283283283283</x:v>
      </x:c>
      <x:c r="J519" s="30" t="n">
        <x:v>0.4039039039039039</x:v>
      </x:c>
      <x:c r="K519" s="19" t="n">
        <x:v>1998</x:v>
      </x:c>
      <x:c r="L519" s="74" t="n">
        <x:v>46210.941301631945</x:v>
      </x:c>
      <x:c r="M519" s="19" t="n">
        <x:v>8902245</x:v>
      </x:c>
      <x:c r="N519" t="str">
        <x:v>40355b29bce094aef0e99358bdfd4011b92e72a54440a67760de4afae4883c33</x:v>
      </x:c>
      <x:c r="O519" t="str">
        <x:v>legacy_common_sample_8902245</x:v>
      </x:c>
      <x:c r="P519" t="str">
        <x:v>factor_report/gtja191_batch/gtja_179/ic_summary.csv</x:v>
      </x:c>
    </x:row>
    <x:row r="520">
      <x:c r="A520" t="str">
        <x:v>gtja_179</x:v>
      </x:c>
      <x:c r="B520" s="50" t="n">
        <x:v>5</x:v>
      </x:c>
      <x:c r="C520" s="30" t="n">
        <x:v>-0.020376322863388287</x:v>
      </x:c>
      <x:c r="D520" s="30" t="n">
        <x:v>0.058303777471335014</x:v>
      </x:c>
      <x:c r="E520" s="30" t="n">
        <x:v>-0.34948546641607026</x:v>
      </x:c>
      <x:c r="F520" s="30" t="n">
        <x:v>-0.03259132189627406</x:v>
      </x:c>
      <x:c r="G520" s="30" t="n">
        <x:v>0.06245861936286806</x:v>
      </x:c>
      <x:c r="H520" s="30" t="n">
        <x:v>-0.5218066333955783</x:v>
      </x:c>
      <x:c r="I520" s="30" t="n">
        <x:v>0.27833500501504516</x:v>
      </x:c>
      <x:c r="J520" s="30" t="n">
        <x:v>0.3440320962888666</x:v>
      </x:c>
      <x:c r="K520" s="19" t="n">
        <x:v>1994</x:v>
      </x:c>
      <x:c r="L520" s="74" t="n">
        <x:v>46210.941301631945</x:v>
      </x:c>
      <x:c r="M520" s="19" t="n">
        <x:v>8902245</x:v>
      </x:c>
      <x:c r="N520" t="str">
        <x:v>40355b29bce094aef0e99358bdfd4011b92e72a54440a67760de4afae4883c33</x:v>
      </x:c>
      <x:c r="O520" t="str">
        <x:v>legacy_common_sample_8902245</x:v>
      </x:c>
      <x:c r="P520" t="str">
        <x:v>factor_report/gtja191_batch/gtja_179/ic_summary.csv</x:v>
      </x:c>
    </x:row>
    <x:row r="521">
      <x:c r="A521" t="str">
        <x:v>gtja_179</x:v>
      </x:c>
      <x:c r="B521" s="50" t="n">
        <x:v>10</x:v>
      </x:c>
      <x:c r="C521" s="30" t="n">
        <x:v>-0.023884530546318856</x:v>
      </x:c>
      <x:c r="D521" s="30" t="n">
        <x:v>0.05577801624626757</x:v>
      </x:c>
      <x:c r="E521" s="30" t="n">
        <x:v>-0.42820688424746745</x:v>
      </x:c>
      <x:c r="F521" s="30" t="n">
        <x:v>-0.0363942798172005</x:v>
      </x:c>
      <x:c r="G521" s="30" t="n">
        <x:v>0.06120507896136871</x:v>
      </x:c>
      <x:c r="H521" s="30" t="n">
        <x:v>-0.5946284268364683</x:v>
      </x:c>
      <x:c r="I521" s="30" t="n">
        <x:v>0.26143790849673204</x:v>
      </x:c>
      <x:c r="J521" s="30" t="n">
        <x:v>0.322272498743087</x:v>
      </x:c>
      <x:c r="K521" s="19" t="n">
        <x:v>1989</x:v>
      </x:c>
      <x:c r="L521" s="74" t="n">
        <x:v>46210.941301631945</x:v>
      </x:c>
      <x:c r="M521" s="19" t="n">
        <x:v>8902245</x:v>
      </x:c>
      <x:c r="N521" t="str">
        <x:v>40355b29bce094aef0e99358bdfd4011b92e72a54440a67760de4afae4883c33</x:v>
      </x:c>
      <x:c r="O521" t="str">
        <x:v>legacy_common_sample_8902245</x:v>
      </x:c>
      <x:c r="P521" t="str">
        <x:v>factor_report/gtja191_batch/gtja_179/ic_summary.csv</x:v>
      </x:c>
    </x:row>
    <x:row r="522">
      <x:c r="A522" t="str">
        <x:v>gtja_179</x:v>
      </x:c>
      <x:c r="B522" s="50" t="n">
        <x:v>20</x:v>
      </x:c>
      <x:c r="C522" s="30" t="n">
        <x:v>-0.027334511466920466</x:v>
      </x:c>
      <x:c r="D522" s="30" t="n">
        <x:v>0.05383797001193046</x:v>
      </x:c>
      <x:c r="E522" s="30" t="n">
        <x:v>-0.5077180930273403</x:v>
      </x:c>
      <x:c r="F522" s="30" t="n">
        <x:v>-0.04046567729271906</x:v>
      </x:c>
      <x:c r="G522" s="30" t="n">
        <x:v>0.059247047686089876</x:v>
      </x:c>
      <x:c r="H522" s="30" t="n">
        <x:v>-0.682999050131905</x:v>
      </x:c>
      <x:c r="I522" s="30" t="n">
        <x:v>0.22839818089944416</x:v>
      </x:c>
      <x:c r="J522" s="30" t="n">
        <x:v>0.28650833754421423</x:v>
      </x:c>
      <x:c r="K522" s="19" t="n">
        <x:v>1979</x:v>
      </x:c>
      <x:c r="L522" s="74" t="n">
        <x:v>46210.941301631945</x:v>
      </x:c>
      <x:c r="M522" s="19" t="n">
        <x:v>8902245</x:v>
      </x:c>
      <x:c r="N522" t="str">
        <x:v>40355b29bce094aef0e99358bdfd4011b92e72a54440a67760de4afae4883c33</x:v>
      </x:c>
      <x:c r="O522" t="str">
        <x:v>legacy_common_sample_8902245</x:v>
      </x:c>
      <x:c r="P522" t="str">
        <x:v>factor_report/gtja191_batch/gtja_179/ic_summary.csv</x:v>
      </x:c>
    </x:row>
    <x:row r="523">
      <x:c r="A523" t="str">
        <x:v>gtja_180</x:v>
      </x:c>
      <x:c r="B523" s="50" t="n">
        <x:v>10</x:v>
      </x:c>
      <x:c r="C523" s="30" t="n">
        <x:v>0.011623747901690396</x:v>
      </x:c>
      <x:c r="D523" s="30" t="n">
        <x:v>0.05666628514113432</x:v>
      </x:c>
      <x:c r="E523" s="30" t="n">
        <x:v>0.20512634404637659</x:v>
      </x:c>
      <x:c r="F523" s="30" t="n">
        <x:v>0.007859838396532771</x:v>
      </x:c>
      <x:c r="G523" s="30" t="n">
        <x:v>0.07507463235858297</x:v>
      </x:c>
      <x:c r="H523" s="30" t="n">
        <x:v>0.10469366481864881</x:v>
      </x:c>
      <x:c r="I523" s="30" t="n">
        <x:v>0.5479658463083877</x:v>
      </x:c>
      <x:c r="J523" s="30" t="n">
        <x:v>0.6137619286790558</x:v>
      </x:c>
      <x:c r="K523" s="19" t="n">
        <x:v>1991</x:v>
      </x:c>
      <x:c r="L523" s="74" t="n">
        <x:v>46211.53854369213</x:v>
      </x:c>
      <x:c r="M523" s="19" t="n">
        <x:v>8902245</x:v>
      </x:c>
      <x:c r="N523" t="str">
        <x:v>8f7e606554926462248cbcc654181861438ca768a0063f6b317223ede37d16fb</x:v>
      </x:c>
      <x:c r="O523" t="str">
        <x:v>legacy_common_sample_8902245</x:v>
      </x:c>
      <x:c r="P523" t="str">
        <x:v>factor_report/gtja191_batch/gtja_180/ic_summary.csv</x:v>
      </x:c>
    </x:row>
    <x:row r="524">
      <x:c r="A524" t="str">
        <x:v>gtja_180</x:v>
      </x:c>
      <x:c r="B524" s="50" t="n">
        <x:v>20</x:v>
      </x:c>
      <x:c r="C524" s="30" t="n">
        <x:v>0.015343773388232779</x:v>
      </x:c>
      <x:c r="D524" s="30" t="n">
        <x:v>0.05746059498460173</x:v>
      </x:c>
      <x:c r="E524" s="30" t="n">
        <x:v>0.2670312305736583</x:v>
      </x:c>
      <x:c r="F524" s="30" t="n">
        <x:v>0.011468082114046265</x:v>
      </x:c>
      <x:c r="G524" s="30" t="n">
        <x:v>0.07368641640340497</x:v>
      </x:c>
      <x:c r="H524" s="30" t="n">
        <x:v>0.1556335980740724</x:v>
      </x:c>
      <x:c r="I524" s="30" t="n">
        <x:v>0.5729429581019687</x:v>
      </x:c>
      <x:c r="J524" s="30" t="n">
        <x:v>0.6400807672892479</x:v>
      </x:c>
      <x:c r="K524" s="19" t="n">
        <x:v>1981</x:v>
      </x:c>
      <x:c r="L524" s="74" t="n">
        <x:v>46211.53854369213</x:v>
      </x:c>
      <x:c r="M524" s="19" t="n">
        <x:v>8902245</x:v>
      </x:c>
      <x:c r="N524" t="str">
        <x:v>8f7e606554926462248cbcc654181861438ca768a0063f6b317223ede37d16fb</x:v>
      </x:c>
      <x:c r="O524" t="str">
        <x:v>legacy_common_sample_8902245</x:v>
      </x:c>
      <x:c r="P524" t="str">
        <x:v>factor_report/gtja191_batch/gtja_180/ic_summary.csv</x:v>
      </x:c>
    </x:row>
    <x:row r="525">
      <x:c r="A525" t="str">
        <x:v>gtja_183</x:v>
      </x:c>
      <x:c r="B525" s="50" t="n">
        <x:v>10</x:v>
      </x:c>
      <x:c r="C525" s="30" t="n">
        <x:v>0.002409611103857615</x:v>
      </x:c>
      <x:c r="D525" s="30" t="n">
        <x:v>0.06841153344223055</x:v>
      </x:c>
      <x:c r="E525" s="30" t="n">
        <x:v>0.03522229341478491</x:v>
      </x:c>
      <x:c r="F525" s="30" t="n">
        <x:v>0.01674646395746224</x:v>
      </x:c>
      <x:c r="G525" s="30" t="n">
        <x:v>0.08637433289463878</x:v>
      </x:c>
      <x:c r="H525" s="30" t="n">
        <x:v>0.1938824115479992</x:v>
      </x:c>
      <x:c r="I525" s="30" t="n">
        <x:v>0.5994949494949495</x:v>
      </x:c>
      <x:c r="J525" s="30" t="n">
        <x:v>0.5227272727272727</x:v>
      </x:c>
      <x:c r="K525" s="19" t="n">
        <x:v>1980</x:v>
      </x:c>
      <x:c r="L525" s="74" t="n">
        <x:v>46211.5411328125</x:v>
      </x:c>
      <x:c r="M525" s="19" t="n">
        <x:v>8902245</x:v>
      </x:c>
      <x:c r="N525" t="str">
        <x:v>8f7e606554926462248cbcc654181861438ca768a0063f6b317223ede37d16fb</x:v>
      </x:c>
      <x:c r="O525" t="str">
        <x:v>legacy_common_sample_8902245</x:v>
      </x:c>
      <x:c r="P525" t="str">
        <x:v>factor_report/gtja191_batch/gtja_183/ic_summary.csv</x:v>
      </x:c>
    </x:row>
    <x:row r="526">
      <x:c r="A526" t="str">
        <x:v>gtja_183</x:v>
      </x:c>
      <x:c r="B526" s="50" t="n">
        <x:v>20</x:v>
      </x:c>
      <x:c r="C526" s="30" t="n">
        <x:v>0.002510143862127624</x:v>
      </x:c>
      <x:c r="D526" s="30" t="n">
        <x:v>0.06622571244554368</x:v>
      </x:c>
      <x:c r="E526" s="30" t="n">
        <x:v>0.03790285931905488</x:v>
      </x:c>
      <x:c r="F526" s="30" t="n">
        <x:v>0.01964685471091268</x:v>
      </x:c>
      <x:c r="G526" s="30" t="n">
        <x:v>0.08211819556773677</x:v>
      </x:c>
      <x:c r="H526" s="30" t="n">
        <x:v>0.23925093062604616</x:v>
      </x:c>
      <x:c r="I526" s="30" t="n">
        <x:v>0.6035532994923858</x:v>
      </x:c>
      <x:c r="J526" s="30" t="n">
        <x:v>0.5142131979695431</x:v>
      </x:c>
      <x:c r="K526" s="19" t="n">
        <x:v>1970</x:v>
      </x:c>
      <x:c r="L526" s="74" t="n">
        <x:v>46211.5411328125</x:v>
      </x:c>
      <x:c r="M526" s="19" t="n">
        <x:v>8902245</x:v>
      </x:c>
      <x:c r="N526" t="str">
        <x:v>8f7e606554926462248cbcc654181861438ca768a0063f6b317223ede37d16fb</x:v>
      </x:c>
      <x:c r="O526" t="str">
        <x:v>legacy_common_sample_8902245</x:v>
      </x:c>
      <x:c r="P526" t="str">
        <x:v>factor_report/gtja191_batch/gtja_183/ic_summary.csv</x:v>
      </x:c>
    </x:row>
    <x:row r="527">
      <x:c r="A527" t="str">
        <x:v>gtja_184</x:v>
      </x:c>
      <x:c r="B527" s="50" t="n">
        <x:v>10</x:v>
      </x:c>
      <x:c r="C527" s="30" t="n">
        <x:v>0.016970638076864275</x:v>
      </x:c>
      <x:c r="D527" s="30" t="n">
        <x:v>0.08908847908387552</x:v>
      </x:c>
      <x:c r="E527" s="30" t="n">
        <x:v>0.19049194970414374</x:v>
      </x:c>
      <x:c r="F527" s="30" t="n">
        <x:v>0.02710165719105542</x:v>
      </x:c>
      <x:c r="G527" s="30" t="n">
        <x:v>0.10365133916922002</x:v>
      </x:c>
      <x:c r="H527" s="30" t="n">
        <x:v>0.26146943597911027</x:v>
      </x:c>
      <x:c r="I527" s="30" t="n">
        <x:v>0.6122228231476474</x:v>
      </x:c>
      <x:c r="J527" s="30" t="n">
        <x:v>0.5797728501892915</x:v>
      </x:c>
      <x:c r="K527" s="19" t="n">
        <x:v>1849</x:v>
      </x:c>
      <x:c r="L527" s="74" t="n">
        <x:v>46211.54342018518</x:v>
      </x:c>
      <x:c r="M527" s="19" t="n">
        <x:v>8902245</x:v>
      </x:c>
      <x:c r="N527" t="str">
        <x:v>8f7e606554926462248cbcc654181861438ca768a0063f6b317223ede37d16fb</x:v>
      </x:c>
      <x:c r="O527" t="str">
        <x:v>legacy_common_sample_8902245</x:v>
      </x:c>
      <x:c r="P527" t="str">
        <x:v>factor_report/gtja191_batch/gtja_184/ic_summary.csv</x:v>
      </x:c>
    </x:row>
    <x:row r="528">
      <x:c r="A528" t="str">
        <x:v>gtja_184</x:v>
      </x:c>
      <x:c r="B528" s="50" t="n">
        <x:v>20</x:v>
      </x:c>
      <x:c r="C528" s="30" t="n">
        <x:v>0.020498136470244108</x:v>
      </x:c>
      <x:c r="D528" s="30" t="n">
        <x:v>0.0883683219638308</x:v>
      </x:c>
      <x:c r="E528" s="30" t="n">
        <x:v>0.23196249532308652</x:v>
      </x:c>
      <x:c r="F528" s="30" t="n">
        <x:v>0.03304714221422142</x:v>
      </x:c>
      <x:c r="G528" s="30" t="n">
        <x:v>0.1029528743334474</x:v>
      </x:c>
      <x:c r="H528" s="30" t="n">
        <x:v>0.32099290503718403</x:v>
      </x:c>
      <x:c r="I528" s="30" t="n">
        <x:v>0.6400217509516042</x:v>
      </x:c>
      <x:c r="J528" s="30" t="n">
        <x:v>0.6079390973355084</x:v>
      </x:c>
      <x:c r="K528" s="19" t="n">
        <x:v>1839</x:v>
      </x:c>
      <x:c r="L528" s="74" t="n">
        <x:v>46211.54342018518</x:v>
      </x:c>
      <x:c r="M528" s="19" t="n">
        <x:v>8902245</x:v>
      </x:c>
      <x:c r="N528" t="str">
        <x:v>8f7e606554926462248cbcc654181861438ca768a0063f6b317223ede37d16fb</x:v>
      </x:c>
      <x:c r="O528" t="str">
        <x:v>legacy_common_sample_8902245</x:v>
      </x:c>
      <x:c r="P528" t="str">
        <x:v>factor_report/gtja191_batch/gtja_184/ic_summary.csv</x:v>
      </x:c>
    </x:row>
    <x:row r="529">
      <x:c r="A529" t="str">
        <x:v>gtja_185</x:v>
      </x:c>
      <x:c r="B529" s="50" t="n">
        <x:v>10</x:v>
      </x:c>
      <x:c r="C529" s="30" t="n">
        <x:v>0.012780237431474672</x:v>
      </x:c>
      <x:c r="D529" s="30" t="n">
        <x:v>0.08762208878625881</x:v>
      </x:c>
      <x:c r="E529" s="30" t="n">
        <x:v>0.14585634294395994</x:v>
      </x:c>
      <x:c r="F529" s="30" t="n">
        <x:v>0.03876024836720656</x:v>
      </x:c>
      <x:c r="G529" s="30" t="n">
        <x:v>0.10360042939084213</x:v>
      </x:c>
      <x:c r="H529" s="30" t="n">
        <x:v>0.37413212083301284</x:v>
      </x:c>
      <x:c r="I529" s="30" t="n">
        <x:v>0.6880964339527875</x:v>
      </x:c>
      <x:c r="J529" s="30" t="n">
        <x:v>0.5670517327975891</x:v>
      </x:c>
      <x:c r="K529" s="19" t="n">
        <x:v>1991</x:v>
      </x:c>
      <x:c r="L529" s="74" t="n">
        <x:v>46211.545996712965</x:v>
      </x:c>
      <x:c r="M529" s="19" t="n">
        <x:v>8902245</x:v>
      </x:c>
      <x:c r="N529" t="str">
        <x:v>8f7e606554926462248cbcc654181861438ca768a0063f6b317223ede37d16fb</x:v>
      </x:c>
      <x:c r="O529" t="str">
        <x:v>legacy_common_sample_8902245</x:v>
      </x:c>
      <x:c r="P529" t="str">
        <x:v>factor_report/gtja191_batch/gtja_185/ic_summary.csv</x:v>
      </x:c>
    </x:row>
    <x:row r="530">
      <x:c r="A530" t="str">
        <x:v>gtja_185</x:v>
      </x:c>
      <x:c r="B530" s="50" t="n">
        <x:v>20</x:v>
      </x:c>
      <x:c r="C530" s="30" t="n">
        <x:v>0.015731237187731232</x:v>
      </x:c>
      <x:c r="D530" s="30" t="n">
        <x:v>0.08723234094174868</x:v>
      </x:c>
      <x:c r="E530" s="30" t="n">
        <x:v>0.18033721229877472</x:v>
      </x:c>
      <x:c r="F530" s="30" t="n">
        <x:v>0.04305487070574985</x:v>
      </x:c>
      <x:c r="G530" s="30" t="n">
        <x:v>0.10316897199019846</x:v>
      </x:c>
      <x:c r="H530" s="30" t="n">
        <x:v>0.4173238317218113</x:v>
      </x:c>
      <x:c r="I530" s="30" t="n">
        <x:v>0.6910651186269561</x:v>
      </x:c>
      <x:c r="J530" s="30" t="n">
        <x:v>0.5840484603735487</x:v>
      </x:c>
      <x:c r="K530" s="19" t="n">
        <x:v>1981</x:v>
      </x:c>
      <x:c r="L530" s="74" t="n">
        <x:v>46211.545996712965</x:v>
      </x:c>
      <x:c r="M530" s="19" t="n">
        <x:v>8902245</x:v>
      </x:c>
      <x:c r="N530" t="str">
        <x:v>8f7e606554926462248cbcc654181861438ca768a0063f6b317223ede37d16fb</x:v>
      </x:c>
      <x:c r="O530" t="str">
        <x:v>legacy_common_sample_8902245</x:v>
      </x:c>
      <x:c r="P530" t="str">
        <x:v>factor_report/gtja191_batch/gtja_185/ic_summary.csv</x:v>
      </x:c>
    </x:row>
    <x:row r="531">
      <x:c r="A531" t="str">
        <x:v>gtja_186</x:v>
      </x:c>
      <x:c r="B531" s="50" t="n">
        <x:v>10</x:v>
      </x:c>
      <x:c r="C531" s="30" t="n">
        <x:v>0.0017179931596794109</x:v>
      </x:c>
      <x:c r="D531" s="30" t="n">
        <x:v>0.06796494532679079</x:v>
      </x:c>
      <x:c r="E531" s="30" t="n">
        <x:v>0.02527763616109617</x:v>
      </x:c>
      <x:c r="F531" s="30" t="n">
        <x:v>-0.0023580811704866154</x:v>
      </x:c>
      <x:c r="G531" s="30" t="n">
        <x:v>0.08103642870233961</x:v>
      </x:c>
      <x:c r="H531" s="30" t="n">
        <x:v>-0.02909902630517249</x:v>
      </x:c>
      <x:c r="I531" s="30" t="n">
        <x:v>0.4635861376192868</x:v>
      </x:c>
      <x:c r="J531" s="30" t="n">
        <x:v>0.48669010547463587</x:v>
      </x:c>
      <x:c r="K531" s="19" t="n">
        <x:v>1991</x:v>
      </x:c>
      <x:c r="L531" s="74" t="n">
        <x:v>46211.5485016088</x:v>
      </x:c>
      <x:c r="M531" s="19" t="n">
        <x:v>8902245</x:v>
      </x:c>
      <x:c r="N531" t="str">
        <x:v>8f7e606554926462248cbcc654181861438ca768a0063f6b317223ede37d16fb</x:v>
      </x:c>
      <x:c r="O531" t="str">
        <x:v>legacy_common_sample_8902245</x:v>
      </x:c>
      <x:c r="P531" t="str">
        <x:v>factor_report/gtja191_batch/gtja_186/ic_summary.csv</x:v>
      </x:c>
    </x:row>
    <x:row r="532">
      <x:c r="A532" t="str">
        <x:v>gtja_186</x:v>
      </x:c>
      <x:c r="B532" s="50" t="n">
        <x:v>20</x:v>
      </x:c>
      <x:c r="C532" s="30" t="n">
        <x:v>0.004681967008378103</x:v>
      </x:c>
      <x:c r="D532" s="30" t="n">
        <x:v>0.07049724010526037</x:v>
      </x:c>
      <x:c r="E532" s="30" t="n">
        <x:v>0.06641347946937208</x:v>
      </x:c>
      <x:c r="F532" s="30" t="n">
        <x:v>-0.0002276851864431226</x:v>
      </x:c>
      <x:c r="G532" s="30" t="n">
        <x:v>0.08267717695048045</x:v>
      </x:c>
      <x:c r="H532" s="30" t="n">
        <x:v>-0.0027539061545303464</x:v>
      </x:c>
      <x:c r="I532" s="30" t="n">
        <x:v>0.46138313982836954</x:v>
      </x:c>
      <x:c r="J532" s="30" t="n">
        <x:v>0.4840989399293286</x:v>
      </x:c>
      <x:c r="K532" s="19" t="n">
        <x:v>1981</x:v>
      </x:c>
      <x:c r="L532" s="74" t="n">
        <x:v>46211.5485016088</x:v>
      </x:c>
      <x:c r="M532" s="19" t="n">
        <x:v>8902245</x:v>
      </x:c>
      <x:c r="N532" t="str">
        <x:v>8f7e606554926462248cbcc654181861438ca768a0063f6b317223ede37d16fb</x:v>
      </x:c>
      <x:c r="O532" t="str">
        <x:v>legacy_common_sample_8902245</x:v>
      </x:c>
      <x:c r="P532" t="str">
        <x:v>factor_report/gtja191_batch/gtja_186/ic_summary.csv</x:v>
      </x:c>
    </x:row>
    <x:row r="533">
      <x:c r="A533" t="str">
        <x:v>gtja_187</x:v>
      </x:c>
      <x:c r="B533" s="50" t="n">
        <x:v>1</x:v>
      </x:c>
      <x:c r="C533" s="30" t="n">
        <x:v>-0.00795211804903487</x:v>
      </x:c>
      <x:c r="D533" s="30" t="n">
        <x:v>0.11100283379355186</x:v>
      </x:c>
      <x:c r="E533" s="30" t="n">
        <x:v>-0.07163887422752271</x:v>
      </x:c>
      <x:c r="F533" s="30" t="n">
        <x:v>-0.04001399004176851</x:v>
      </x:c>
      <x:c r="G533" s="30" t="n">
        <x:v>0.1792688518476856</x:v>
      </x:c>
      <x:c r="H533" s="30" t="n">
        <x:v>-0.22320659517452643</x:v>
      </x:c>
      <x:c r="I533" s="30" t="n">
        <x:v>0.419</x:v>
      </x:c>
      <x:c r="J533" s="30" t="n">
        <x:v>0.4655</x:v>
      </x:c>
      <x:c r="K533" s="19" t="n">
        <x:v>2000</x:v>
      </x:c>
      <x:c r="L533" s="74" t="n">
        <x:v>46210.96675238426</x:v>
      </x:c>
      <x:c r="M533" s="19" t="n">
        <x:v>8902245</x:v>
      </x:c>
      <x:c r="N533" t="str">
        <x:v>40355b29bce094aef0e99358bdfd4011b92e72a54440a67760de4afae4883c33</x:v>
      </x:c>
      <x:c r="O533" t="str">
        <x:v>legacy_common_sample_8902245</x:v>
      </x:c>
      <x:c r="P533" t="str">
        <x:v>factor_report/gtja191_batch/gtja_187/ic_summary.csv</x:v>
      </x:c>
    </x:row>
    <x:row r="534">
      <x:c r="A534" t="str">
        <x:v>gtja_187</x:v>
      </x:c>
      <x:c r="B534" s="50" t="n">
        <x:v>5</x:v>
      </x:c>
      <x:c r="C534" s="30" t="n">
        <x:v>-0.0174219635127603</x:v>
      </x:c>
      <x:c r="D534" s="30" t="n">
        <x:v>0.11225751049397828</x:v>
      </x:c>
      <x:c r="E534" s="30" t="n">
        <x:v>-0.15519641791535055</x:v>
      </x:c>
      <x:c r="F534" s="30" t="n">
        <x:v>-0.05934867361119837</x:v>
      </x:c>
      <x:c r="G534" s="30" t="n">
        <x:v>0.18108932960212376</x:v>
      </x:c>
      <x:c r="H534" s="30" t="n">
        <x:v>-0.3277314778380092</x:v>
      </x:c>
      <x:c r="I534" s="30" t="n">
        <x:v>0.39228456913827653</x:v>
      </x:c>
      <x:c r="J534" s="30" t="n">
        <x:v>0.4253507014028056</x:v>
      </x:c>
      <x:c r="K534" s="19" t="n">
        <x:v>1996</x:v>
      </x:c>
      <x:c r="L534" s="74" t="n">
        <x:v>46210.96675238426</x:v>
      </x:c>
      <x:c r="M534" s="19" t="n">
        <x:v>8902245</x:v>
      </x:c>
      <x:c r="N534" t="str">
        <x:v>40355b29bce094aef0e99358bdfd4011b92e72a54440a67760de4afae4883c33</x:v>
      </x:c>
      <x:c r="O534" t="str">
        <x:v>legacy_common_sample_8902245</x:v>
      </x:c>
      <x:c r="P534" t="str">
        <x:v>factor_report/gtja191_batch/gtja_187/ic_summary.csv</x:v>
      </x:c>
    </x:row>
    <x:row r="535">
      <x:c r="A535" t="str">
        <x:v>gtja_187</x:v>
      </x:c>
      <x:c r="B535" s="50" t="n">
        <x:v>10</x:v>
      </x:c>
      <x:c r="C535" s="30" t="n">
        <x:v>-0.022812143742415223</x:v>
      </x:c>
      <x:c r="D535" s="30" t="n">
        <x:v>0.1164249076093593</x:v>
      </x:c>
      <x:c r="E535" s="30" t="n">
        <x:v>-0.19593868881525636</x:v>
      </x:c>
      <x:c r="F535" s="30" t="n">
        <x:v>-0.07167235594661475</x:v>
      </x:c>
      <x:c r="G535" s="30" t="n">
        <x:v>0.18685390242020566</x:v>
      </x:c>
      <x:c r="H535" s="30" t="n">
        <x:v>-0.3835743060128049</x:v>
      </x:c>
      <x:c r="I535" s="30" t="n">
        <x:v>0.37267704671019586</x:v>
      </x:c>
      <x:c r="J535" s="30" t="n">
        <x:v>0.42189854344550476</x:v>
      </x:c>
      <x:c r="K535" s="19" t="n">
        <x:v>1991</x:v>
      </x:c>
      <x:c r="L535" s="74" t="n">
        <x:v>46210.96675238426</x:v>
      </x:c>
      <x:c r="M535" s="19" t="n">
        <x:v>8902245</x:v>
      </x:c>
      <x:c r="N535" t="str">
        <x:v>40355b29bce094aef0e99358bdfd4011b92e72a54440a67760de4afae4883c33</x:v>
      </x:c>
      <x:c r="O535" t="str">
        <x:v>legacy_common_sample_8902245</x:v>
      </x:c>
      <x:c r="P535" t="str">
        <x:v>factor_report/gtja191_batch/gtja_187/ic_summary.csv</x:v>
      </x:c>
    </x:row>
    <x:row r="536">
      <x:c r="A536" t="str">
        <x:v>gtja_187</x:v>
      </x:c>
      <x:c r="B536" s="50" t="n">
        <x:v>20</x:v>
      </x:c>
      <x:c r="C536" s="30" t="n">
        <x:v>-0.028885322178725012</x:v>
      </x:c>
      <x:c r="D536" s="30" t="n">
        <x:v>0.12199483669515471</x:v>
      </x:c>
      <x:c r="E536" s="30" t="n">
        <x:v>-0.2367749567213631</x:v>
      </x:c>
      <x:c r="F536" s="30" t="n">
        <x:v>-0.0865927503170856</x:v>
      </x:c>
      <x:c r="G536" s="30" t="n">
        <x:v>0.19321762261285927</x:v>
      </x:c>
      <x:c r="H536" s="30" t="n">
        <x:v>-0.44816176260789253</x:v>
      </x:c>
      <x:c r="I536" s="30" t="n">
        <x:v>0.34830893488137304</x:v>
      </x:c>
      <x:c r="J536" s="30" t="n">
        <x:v>0.3902069661786976</x:v>
      </x:c>
      <x:c r="K536" s="19" t="n">
        <x:v>1981</x:v>
      </x:c>
      <x:c r="L536" s="74" t="n">
        <x:v>46210.96675238426</x:v>
      </x:c>
      <x:c r="M536" s="19" t="n">
        <x:v>8902245</x:v>
      </x:c>
      <x:c r="N536" t="str">
        <x:v>40355b29bce094aef0e99358bdfd4011b92e72a54440a67760de4afae4883c33</x:v>
      </x:c>
      <x:c r="O536" t="str">
        <x:v>legacy_common_sample_8902245</x:v>
      </x:c>
      <x:c r="P536" t="str">
        <x:v>factor_report/gtja191_batch/gtja_187/ic_summary.csv</x:v>
      </x:c>
    </x:row>
    <x:row r="537">
      <x:c r="A537" t="str">
        <x:v>gtja_188</x:v>
      </x:c>
      <x:c r="B537" s="50" t="n">
        <x:v>10</x:v>
      </x:c>
      <x:c r="C537" s="30" t="n">
        <x:v>-0.015406081629872259</x:v>
      </x:c>
      <x:c r="D537" s="30" t="n">
        <x:v>0.06084183890467929</x:v>
      </x:c>
      <x:c r="E537" s="30" t="n">
        <x:v>-0.25321525297762476</x:v>
      </x:c>
      <x:c r="F537" s="30" t="n">
        <x:v>-0.013187674989053533</x:v>
      </x:c>
      <x:c r="G537" s="30" t="n">
        <x:v>0.07461248874333953</x:v>
      </x:c>
      <x:c r="H537" s="30" t="n">
        <x:v>-0.17674889567640598</x:v>
      </x:c>
      <x:c r="I537" s="30" t="n">
        <x:v>0.43043696634856854</x:v>
      </x:c>
      <x:c r="J537" s="30" t="n">
        <x:v>0.38623807132094423</x:v>
      </x:c>
      <x:c r="K537" s="19" t="n">
        <x:v>1991</x:v>
      </x:c>
      <x:c r="L537" s="74" t="n">
        <x:v>46211.55150134259</x:v>
      </x:c>
      <x:c r="M537" s="19" t="n">
        <x:v>8902245</x:v>
      </x:c>
      <x:c r="N537" t="str">
        <x:v>8f7e606554926462248cbcc654181861438ca768a0063f6b317223ede37d16fb</x:v>
      </x:c>
      <x:c r="O537" t="str">
        <x:v>legacy_common_sample_8902245</x:v>
      </x:c>
      <x:c r="P537" t="str">
        <x:v>factor_report/gtja191_batch/gtja_188/ic_summary.csv</x:v>
      </x:c>
    </x:row>
    <x:row r="538">
      <x:c r="A538" t="str">
        <x:v>gtja_188</x:v>
      </x:c>
      <x:c r="B538" s="50" t="n">
        <x:v>20</x:v>
      </x:c>
      <x:c r="C538" s="30" t="n">
        <x:v>-0.015752269720334184</x:v>
      </x:c>
      <x:c r="D538" s="30" t="n">
        <x:v>0.058239518788746225</x:v>
      </x:c>
      <x:c r="E538" s="30" t="n">
        <x:v>-0.2704738989597908</x:v>
      </x:c>
      <x:c r="F538" s="30" t="n">
        <x:v>-0.01434776947407209</x:v>
      </x:c>
      <x:c r="G538" s="30" t="n">
        <x:v>0.07312451200631714</x:v>
      </x:c>
      <x:c r="H538" s="30" t="n">
        <x:v>-0.19621012271278615</x:v>
      </x:c>
      <x:c r="I538" s="30" t="n">
        <x:v>0.41847551741544675</x:v>
      </x:c>
      <x:c r="J538" s="30" t="n">
        <x:v>0.3801110550227158</x:v>
      </x:c>
      <x:c r="K538" s="19" t="n">
        <x:v>1981</x:v>
      </x:c>
      <x:c r="L538" s="74" t="n">
        <x:v>46211.55150134259</x:v>
      </x:c>
      <x:c r="M538" s="19" t="n">
        <x:v>8902245</x:v>
      </x:c>
      <x:c r="N538" t="str">
        <x:v>8f7e606554926462248cbcc654181861438ca768a0063f6b317223ede37d16fb</x:v>
      </x:c>
      <x:c r="O538" t="str">
        <x:v>legacy_common_sample_8902245</x:v>
      </x:c>
      <x:c r="P538" t="str">
        <x:v>factor_report/gtja191_batch/gtja_188/ic_summary.csv</x:v>
      </x:c>
    </x:row>
    <x:row r="539">
      <x:c r="A539" t="str">
        <x:v>gtja_189</x:v>
      </x:c>
      <x:c r="B539" s="50" t="n">
        <x:v>1</x:v>
      </x:c>
      <x:c r="C539" s="30" t="n">
        <x:v>-0.006933794066433944</x:v>
      </x:c>
      <x:c r="D539" s="30" t="n">
        <x:v>0.10396793433609883</x:v>
      </x:c>
      <x:c r="E539" s="30" t="n">
        <x:v>-0.06669165941124651</x:v>
      </x:c>
      <x:c r="F539" s="30" t="n">
        <x:v>-0.03477872691911135</x:v>
      </x:c>
      <x:c r="G539" s="30" t="n">
        <x:v>0.1767087350490848</x:v>
      </x:c>
      <x:c r="H539" s="30" t="n">
        <x:v>-0.19681385252093386</x:v>
      </x:c>
      <x:c r="I539" s="30" t="n">
        <x:v>0.4235</x:v>
      </x:c>
      <x:c r="J539" s="30" t="n">
        <x:v>0.469</x:v>
      </x:c>
      <x:c r="K539" s="19" t="n">
        <x:v>2000</x:v>
      </x:c>
      <x:c r="L539" s="74" t="n">
        <x:v>46210.9753753125</x:v>
      </x:c>
      <x:c r="M539" s="19" t="n">
        <x:v>8902245</x:v>
      </x:c>
      <x:c r="N539" t="str">
        <x:v>40355b29bce094aef0e99358bdfd4011b92e72a54440a67760de4afae4883c33</x:v>
      </x:c>
      <x:c r="O539" t="str">
        <x:v>legacy_common_sample_8902245</x:v>
      </x:c>
      <x:c r="P539" t="str">
        <x:v>factor_report/gtja191_batch/gtja_189/ic_summary.csv</x:v>
      </x:c>
    </x:row>
    <x:row r="540">
      <x:c r="A540" t="str">
        <x:v>gtja_189</x:v>
      </x:c>
      <x:c r="B540" s="50" t="n">
        <x:v>5</x:v>
      </x:c>
      <x:c r="C540" s="30" t="n">
        <x:v>-0.01453633568425552</x:v>
      </x:c>
      <x:c r="D540" s="30" t="n">
        <x:v>0.10360129586922516</x:v>
      </x:c>
      <x:c r="E540" s="30" t="n">
        <x:v>-0.14031036544759617</x:v>
      </x:c>
      <x:c r="F540" s="30" t="n">
        <x:v>-0.0510339383526854</x:v>
      </x:c>
      <x:c r="G540" s="30" t="n">
        <x:v>0.17935051995957327</x:v>
      </x:c>
      <x:c r="H540" s="30" t="n">
        <x:v>-0.2845485943625297</x:v>
      </x:c>
      <x:c r="I540" s="30" t="n">
        <x:v>0.406312625250501</x:v>
      </x:c>
      <x:c r="J540" s="30" t="n">
        <x:v>0.4393787575150301</x:v>
      </x:c>
      <x:c r="K540" s="19" t="n">
        <x:v>1996</x:v>
      </x:c>
      <x:c r="L540" s="74" t="n">
        <x:v>46210.9753753125</x:v>
      </x:c>
      <x:c r="M540" s="19" t="n">
        <x:v>8902245</x:v>
      </x:c>
      <x:c r="N540" t="str">
        <x:v>40355b29bce094aef0e99358bdfd4011b92e72a54440a67760de4afae4883c33</x:v>
      </x:c>
      <x:c r="O540" t="str">
        <x:v>legacy_common_sample_8902245</x:v>
      </x:c>
      <x:c r="P540" t="str">
        <x:v>factor_report/gtja191_batch/gtja_189/ic_summary.csv</x:v>
      </x:c>
    </x:row>
    <x:row r="541">
      <x:c r="A541" t="str">
        <x:v>gtja_189</x:v>
      </x:c>
      <x:c r="B541" s="50" t="n">
        <x:v>10</x:v>
      </x:c>
      <x:c r="C541" s="30" t="n">
        <x:v>-0.018868966323583366</x:v>
      </x:c>
      <x:c r="D541" s="30" t="n">
        <x:v>0.10648285170229926</x:v>
      </x:c>
      <x:c r="E541" s="30" t="n">
        <x:v>-0.17720192521079836</x:v>
      </x:c>
      <x:c r="F541" s="30" t="n">
        <x:v>-0.06157687027920172</x:v>
      </x:c>
      <x:c r="G541" s="30" t="n">
        <x:v>0.18497392776181817</x:v>
      </x:c>
      <x:c r="H541" s="30" t="n">
        <x:v>-0.33289486266676044</x:v>
      </x:c>
      <x:c r="I541" s="30" t="n">
        <x:v>0.39226519337016574</x:v>
      </x:c>
      <x:c r="J541" s="30" t="n">
        <x:v>0.44148669010547464</x:v>
      </x:c>
      <x:c r="K541" s="19" t="n">
        <x:v>1991</x:v>
      </x:c>
      <x:c r="L541" s="74" t="n">
        <x:v>46210.9753753125</x:v>
      </x:c>
      <x:c r="M541" s="19" t="n">
        <x:v>8902245</x:v>
      </x:c>
      <x:c r="N541" t="str">
        <x:v>40355b29bce094aef0e99358bdfd4011b92e72a54440a67760de4afae4883c33</x:v>
      </x:c>
      <x:c r="O541" t="str">
        <x:v>legacy_common_sample_8902245</x:v>
      </x:c>
      <x:c r="P541" t="str">
        <x:v>factor_report/gtja191_batch/gtja_189/ic_summary.csv</x:v>
      </x:c>
    </x:row>
    <x:row r="542">
      <x:c r="A542" t="str">
        <x:v>gtja_189</x:v>
      </x:c>
      <x:c r="B542" s="50" t="n">
        <x:v>20</x:v>
      </x:c>
      <x:c r="C542" s="30" t="n">
        <x:v>-0.022971417502326365</x:v>
      </x:c>
      <x:c r="D542" s="30" t="n">
        <x:v>0.1122388501951085</x:v>
      </x:c>
      <x:c r="E542" s="30" t="n">
        <x:v>-0.20466547423102066</x:v>
      </x:c>
      <x:c r="F542" s="30" t="n">
        <x:v>-0.07429851088196267</x:v>
      </x:c>
      <x:c r="G542" s="30" t="n">
        <x:v>0.1895750432391116</x:v>
      </x:c>
      <x:c r="H542" s="30" t="n">
        <x:v>-0.3919213711493117</x:v>
      </x:c>
      <x:c r="I542" s="30" t="n">
        <x:v>0.37607269056032305</x:v>
      </x:c>
      <x:c r="J542" s="30" t="n">
        <x:v>0.4154467440686522</x:v>
      </x:c>
      <x:c r="K542" s="19" t="n">
        <x:v>1981</x:v>
      </x:c>
      <x:c r="L542" s="74" t="n">
        <x:v>46210.9753753125</x:v>
      </x:c>
      <x:c r="M542" s="19" t="n">
        <x:v>8902245</x:v>
      </x:c>
      <x:c r="N542" t="str">
        <x:v>40355b29bce094aef0e99358bdfd4011b92e72a54440a67760de4afae4883c33</x:v>
      </x:c>
      <x:c r="O542" t="str">
        <x:v>legacy_common_sample_8902245</x:v>
      </x:c>
      <x:c r="P542" t="str">
        <x:v>factor_report/gtja191_batch/gtja_189/ic_summary.csv</x:v>
      </x:c>
    </x:row>
    <x:row r="543">
      <x:c r="A543" t="str">
        <x:v>gtja_190</x:v>
      </x:c>
      <x:c r="B543" s="50" t="n">
        <x:v>10</x:v>
      </x:c>
      <x:c r="C543" s="30" t="n">
        <x:v>0.015162626513116088</x:v>
      </x:c>
      <x:c r="D543" s="30" t="n">
        <x:v>0.06456243754098878</x:v>
      </x:c>
      <x:c r="E543" s="30" t="n">
        <x:v>0.23485213834266688</x:v>
      </x:c>
      <x:c r="F543" s="30" t="n">
        <x:v>0.02983995003744111</x:v>
      </x:c>
      <x:c r="G543" s="30" t="n">
        <x:v>0.07715753599318576</x:v>
      </x:c>
      <x:c r="H543" s="30" t="n">
        <x:v>0.38674057761611846</x:v>
      </x:c>
      <x:c r="I543" s="30" t="n">
        <x:v>0.6438975389251632</x:v>
      </x:c>
      <x:c r="J543" s="30" t="n">
        <x:v>0.5911602209944752</x:v>
      </x:c>
      <x:c r="K543" s="19" t="n">
        <x:v>1991</x:v>
      </x:c>
      <x:c r="L543" s="74" t="n">
        <x:v>46211.55394319444</x:v>
      </x:c>
      <x:c r="M543" s="19" t="n">
        <x:v>8902245</x:v>
      </x:c>
      <x:c r="N543" t="str">
        <x:v>8f7e606554926462248cbcc654181861438ca768a0063f6b317223ede37d16fb</x:v>
      </x:c>
      <x:c r="O543" t="str">
        <x:v>legacy_common_sample_8902245</x:v>
      </x:c>
      <x:c r="P543" t="str">
        <x:v>factor_report/gtja191_batch/gtja_190/ic_summary.csv</x:v>
      </x:c>
    </x:row>
    <x:row r="544">
      <x:c r="A544" t="str">
        <x:v>gtja_190</x:v>
      </x:c>
      <x:c r="B544" s="50" t="n">
        <x:v>20</x:v>
      </x:c>
      <x:c r="C544" s="30" t="n">
        <x:v>0.013980820810191657</x:v>
      </x:c>
      <x:c r="D544" s="30" t="n">
        <x:v>0.0659353237425792</x:v>
      </x:c>
      <x:c r="E544" s="30" t="n">
        <x:v>0.2120384039483108</x:v>
      </x:c>
      <x:c r="F544" s="30" t="n">
        <x:v>0.029581587819414487</x:v>
      </x:c>
      <x:c r="G544" s="30" t="n">
        <x:v>0.07822043890188278</x:v>
      </x:c>
      <x:c r="H544" s="30" t="n">
        <x:v>0.37818232976831906</x:v>
      </x:c>
      <x:c r="I544" s="30" t="n">
        <x:v>0.6370519939424533</x:v>
      </x:c>
      <x:c r="J544" s="30" t="n">
        <x:v>0.5673902069661787</x:v>
      </x:c>
      <x:c r="K544" s="19" t="n">
        <x:v>1981</x:v>
      </x:c>
      <x:c r="L544" s="74" t="n">
        <x:v>46211.55394319444</x:v>
      </x:c>
      <x:c r="M544" s="19" t="n">
        <x:v>8902245</x:v>
      </x:c>
      <x:c r="N544" t="str">
        <x:v>8f7e606554926462248cbcc654181861438ca768a0063f6b317223ede37d16fb</x:v>
      </x:c>
      <x:c r="O544" t="str">
        <x:v>legacy_common_sample_8902245</x:v>
      </x:c>
      <x:c r="P544" t="str">
        <x:v>factor_report/gtja191_batch/gtja_190/ic_summary.csv</x:v>
      </x:c>
    </x:row>
    <x:row r="545">
      <x:c r="A545" t="str">
        <x:v>gtja_191</x:v>
      </x:c>
      <x:c r="B545" s="50" t="n">
        <x:v>10</x:v>
      </x:c>
      <x:c r="C545" s="30" t="n">
        <x:v>-0.0038676921404643774</x:v>
      </x:c>
      <x:c r="D545" s="30" t="n">
        <x:v>0.06338917536049059</x:v>
      </x:c>
      <x:c r="E545" s="30" t="n">
        <x:v>-0.06101502533309568</x:v>
      </x:c>
      <x:c r="F545" s="30" t="n">
        <x:v>-0.010643251959893268</x:v>
      </x:c>
      <x:c r="G545" s="30" t="n">
        <x:v>0.07719404974748015</x:v>
      </x:c>
      <x:c r="H545" s="30" t="n">
        <x:v>-0.13787658497915115</x:v>
      </x:c>
      <x:c r="I545" s="30" t="n">
        <x:v>0.4289301858362632</x:v>
      </x:c>
      <x:c r="J545" s="30" t="n">
        <x:v>0.47463586137619285</x:v>
      </x:c>
      <x:c r="K545" s="19" t="n">
        <x:v>1991</x:v>
      </x:c>
      <x:c r="L545" s="74" t="n">
        <x:v>46211.55645755787</x:v>
      </x:c>
      <x:c r="M545" s="19" t="n">
        <x:v>8902245</x:v>
      </x:c>
      <x:c r="N545" t="str">
        <x:v>8f7e606554926462248cbcc654181861438ca768a0063f6b317223ede37d16fb</x:v>
      </x:c>
      <x:c r="O545" t="str">
        <x:v>legacy_common_sample_8902245</x:v>
      </x:c>
      <x:c r="P545" t="str">
        <x:v>factor_report/gtja191_batch/gtja_191/ic_summary.csv</x:v>
      </x:c>
    </x:row>
    <x:row r="546">
      <x:c r="A546" t="str">
        <x:v>gtja_191</x:v>
      </x:c>
      <x:c r="B546" s="50" t="n">
        <x:v>20</x:v>
      </x:c>
      <x:c r="C546" s="30" t="n">
        <x:v>-0.002494097662709823</x:v>
      </x:c>
      <x:c r="D546" s="30" t="n">
        <x:v>0.06383230748829398</x:v>
      </x:c>
      <x:c r="E546" s="30" t="n">
        <x:v>-0.0390726539717714</x:v>
      </x:c>
      <x:c r="F546" s="30" t="n">
        <x:v>-0.008723780893884016</x:v>
      </x:c>
      <x:c r="G546" s="30" t="n">
        <x:v>0.07661246806822583</x:v>
      </x:c>
      <x:c r="H546" s="30" t="n">
        <x:v>-0.11386894475342071</x:v>
      </x:c>
      <x:c r="I546" s="30" t="n">
        <x:v>0.4447248864209995</x:v>
      </x:c>
      <x:c r="J546" s="30" t="n">
        <x:v>0.4815749621403332</x:v>
      </x:c>
      <x:c r="K546" s="19" t="n">
        <x:v>1981</x:v>
      </x:c>
      <x:c r="L546" s="74" t="n">
        <x:v>46211.55645755787</x:v>
      </x:c>
      <x:c r="M546" s="19" t="n">
        <x:v>8902245</x:v>
      </x:c>
      <x:c r="N546" t="str">
        <x:v>8f7e606554926462248cbcc654181861438ca768a0063f6b317223ede37d16fb</x:v>
      </x:c>
      <x:c r="O546" t="str">
        <x:v>legacy_common_sample_8902245</x:v>
      </x:c>
      <x:c r="P546" t="str">
        <x:v>factor_report/gtja191_batch/gtja_191/ic_summary.csv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3b747c52ae384f6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18" hidden="0" customWidth="1"/>
    <x:col min="4" max="4" width="18" hidden="0" customWidth="1"/>
    <x:col min="5" max="5" width="38" hidden="0" customWidth="1"/>
    <x:col min="6" max="6" width="52" hidden="0" customWidth="1"/>
  </x:cols>
  <x:sheetData>
    <x:row r="1" ht="30" customHeight="1">
      <x:c r="A1" s="3" t="str">
        <x:v>Coverage and Provenance Audit</x:v>
      </x:c>
      <x:c r="B1" s="3"/>
      <x:c r="C1" s="3"/>
      <x:c r="D1" s="3"/>
      <x:c r="E1" s="3"/>
      <x:c r="F1" s="3"/>
    </x:row>
    <x:row r="2" ht="34" customHeight="1">
      <x:c r="A2" s="7" t="str">
        <x:v>Checks supporting the leaderboard. This sheet documents incomplete coverage and non-comparable source cohorts.</x:v>
      </x:c>
      <x:c r="B2" s="7"/>
      <x:c r="C2" s="7"/>
      <x:c r="D2" s="7"/>
      <x:c r="E2" s="7"/>
      <x:c r="F2" s="7"/>
    </x:row>
    <x:row r="4" ht="32" customHeight="1">
      <x:c r="A4" s="16" t="str">
        <x:v>Check</x:v>
      </x:c>
      <x:c r="B4" s="29" t="str">
        <x:v>Actual</x:v>
      </x:c>
      <x:c r="C4" s="29" t="str">
        <x:v>Expected</x:v>
      </x:c>
      <x:c r="D4" s="29" t="str">
        <x:v>Difference</x:v>
      </x:c>
      <x:c r="E4" s="29" t="str">
        <x:v>Status</x:v>
      </x:c>
      <x:c r="F4" s="17" t="str">
        <x:v>Notes</x:v>
      </x:c>
    </x:row>
    <x:row r="5" ht="30" customHeight="1">
      <x:c r="A5" s="62" t="str">
        <x:v>Expected GTJA factors</x:v>
      </x:c>
      <x:c r="B5" s="63" t="n">
        <x:v>191</x:v>
      </x:c>
      <x:c r="C5" s="63" t="n">
        <x:v>191</x:v>
      </x:c>
      <x:c r="D5" s="63" t="n">
        <x:v>0</x:v>
      </x:c>
      <x:c r="E5" s="64" t="str">
        <x:v>OK</x:v>
      </x:c>
      <x:c r="F5" s="40" t="str">
        <x:v>GTJA191 identifiers gtja_001 through gtja_191</x:v>
      </x:c>
    </x:row>
    <x:row r="6" ht="30" customHeight="1">
      <x:c r="A6" s="62" t="str">
        <x:v>Available ic_summary.csv</x:v>
      </x:c>
      <x:c r="B6" s="63" t="n">
        <x:v>186</x:v>
      </x:c>
      <x:c r="C6" s="63" t="n">
        <x:v>191</x:v>
      </x:c>
      <x:c r="D6" s="63" t="n">
        <x:v>-5</x:v>
      </x:c>
      <x:c r="E6" s="65" t="str">
        <x:v>WARNING</x:v>
      </x:c>
      <x:c r="F6" s="40" t="str">
        <x:v>Missing: gtja_030, gtja_075, gtja_149, gtja_181, gtja_182</x:v>
      </x:c>
    </x:row>
    <x:row r="7" ht="30" customHeight="1">
      <x:c r="A7" s="62" t="str">
        <x:v>Raw factor-window rows</x:v>
      </x:c>
      <x:c r="B7" s="63" t="n">
        <x:v>542</x:v>
      </x:c>
      <x:c r="C7" s="63" t="n">
        <x:v>542</x:v>
      </x:c>
      <x:c r="D7" s="63" t="n">
        <x:v>0</x:v>
      </x:c>
      <x:c r="E7" s="64" t="str">
        <x:v>OK</x:v>
      </x:c>
      <x:c r="F7" s="40" t="str">
        <x:v>Window counts: 1d=85, 5d=85, 10d=186, 20d=186</x:v>
      </x:c>
    </x:row>
    <x:row r="8" ht="30" customHeight="1">
      <x:c r="A8" s="62" t="str">
        <x:v>Comparable ranked factors</x:v>
      </x:c>
      <x:c r="B8" s="63" t="n">
        <x:v>182</x:v>
      </x:c>
      <x:c r="C8" s="63" t="n">
        <x:v>182</x:v>
      </x:c>
      <x:c r="D8" s="63" t="n">
        <x:v>0</x:v>
      </x:c>
      <x:c r="E8" s="64" t="str">
        <x:v>OK</x:v>
      </x:c>
      <x:c r="F8" s="40" t="str">
        <x:v>Common 10d/20d sample with source_row_count=8,902,245</x:v>
      </x:c>
    </x:row>
    <x:row r="9" ht="30" customHeight="1">
      <x:c r="A9" s="62" t="str">
        <x:v>Different-source factors</x:v>
      </x:c>
      <x:c r="B9" s="63" t="n">
        <x:v>4</x:v>
      </x:c>
      <x:c r="C9" s="63" t="n">
        <x:v>4</x:v>
      </x:c>
      <x:c r="D9" s="63" t="n">
        <x:v>0</x:v>
      </x:c>
      <x:c r="E9" s="65" t="str">
        <x:v>WARNING</x:v>
      </x:c>
      <x:c r="F9" s="40" t="str">
        <x:v>Included for visibility but excluded from cross-factor ranking</x:v>
      </x:c>
    </x:row>
    <x:row r="10" ht="30" customHeight="1">
      <x:c r="A10" s="62" t="str">
        <x:v>Current batch status rows</x:v>
      </x:c>
      <x:c r="B10" s="63" t="n">
        <x:v>4</x:v>
      </x:c>
      <x:c r="C10" s="63" t="n">
        <x:v>22</x:v>
      </x:c>
      <x:c r="D10" s="63" t="n">
        <x:v>-18</x:v>
      </x:c>
      <x:c r="E10" s="65" t="str">
        <x:v>WARNING</x:v>
      </x:c>
      <x:c r="F10" s="40" t="str">
        <x:v>Manifest is running, but no matching live process was found</x:v>
      </x:c>
    </x:row>
    <x:row r="11" ht="30" customHeight="1">
      <x:c r="A11" s="62" t="str">
        <x:v>Factor lag</x:v>
      </x:c>
      <x:c r="B11" s="63" t="n">
        <x:v>1</x:v>
      </x:c>
      <x:c r="C11" s="63" t="n">
        <x:v>1</x:v>
      </x:c>
      <x:c r="D11" s="63" t="n">
        <x:v>0</x:v>
      </x:c>
      <x:c r="E11" s="64" t="str">
        <x:v>OK</x:v>
      </x:c>
      <x:c r="F11" s="40" t="str">
        <x:v>All three metadata cohorts specify factor_lag_days=1</x:v>
      </x:c>
    </x:row>
    <x:row r="12" ht="30" customHeight="1">
      <x:c r="A12" s="62" t="str">
        <x:v>Ranking horizons</x:v>
      </x:c>
      <x:c r="B12" s="63" t="str">
        <x:v>10d and 20d</x:v>
      </x:c>
      <x:c r="C12" s="63" t="str">
        <x:v>10d and 20d</x:v>
      </x:c>
      <x:c r="D12" s="63" t="n">
        <x:v>0</x:v>
      </x:c>
      <x:c r="E12" s="64" t="str">
        <x:v>OK</x:v>
      </x:c>
      <x:c r="F12" s="40" t="str">
        <x:v>Both horizons are available for every ranked comparable factor</x:v>
      </x:c>
    </x:row>
    <x:row r="13" ht="30" customHeight="1">
      <x:c r="A13" s="40"/>
      <x:c r="B13" s="40"/>
      <x:c r="C13" s="40"/>
      <x:c r="D13" s="40"/>
      <x:c r="E13" s="40"/>
      <x:c r="F13" s="40"/>
    </x:row>
    <x:row r="14" ht="30" customHeight="1">
      <x:c r="A14" s="40"/>
      <x:c r="B14" s="40"/>
      <x:c r="C14" s="40"/>
      <x:c r="D14" s="40"/>
      <x:c r="E14" s="40"/>
      <x:c r="F14" s="40"/>
    </x:row>
    <x:row r="15" ht="30" customHeight="1">
      <x:c r="A15" s="20" t="str">
        <x:v>Cohort</x:v>
      </x:c>
      <x:c r="B15" s="31" t="str">
        <x:v>Factors</x:v>
      </x:c>
      <x:c r="C15" s="31" t="str">
        <x:v>Windows</x:v>
      </x:c>
      <x:c r="D15" s="31" t="str">
        <x:v>Source Rows</x:v>
      </x:c>
      <x:c r="E15" s="31" t="str">
        <x:v>Completed</x:v>
      </x:c>
      <x:c r="F15" s="21" t="str">
        <x:v>Fingerprint</x:v>
      </x:c>
    </x:row>
    <x:row r="16" ht="30" customHeight="1">
      <x:c r="A16" s="66" t="str">
        <x:v>legacy_common_sample_8902245</x:v>
      </x:c>
      <x:c r="B16" s="40" t="n">
        <x:v>182</x:v>
      </x:c>
      <x:c r="C16" s="40" t="str">
        <x:v>1,5,10,20</x:v>
      </x:c>
      <x:c r="D16" s="40" t="n">
        <x:v>8902245</x:v>
      </x:c>
      <x:c r="E16" s="40" t="str">
        <x:v>2026-07-07 to 2026-07-08</x:v>
      </x:c>
      <x:c r="F16" s="67" t="str">
        <x:v>8f7e606554926462248cbcc654181861438ca768a0063f6b317223ede37d16fb, 40355b29bce094aef0e99358bdfd4011b92e72a54440a67760de4afae4883c33</x:v>
      </x:c>
    </x:row>
    <x:row r="17" ht="30" customHeight="1">
      <x:c r="A17" s="68" t="str">
        <x:v>latest_context_sample_13231952</x:v>
      </x:c>
      <x:c r="B17" s="69" t="n">
        <x:v>4</x:v>
      </x:c>
      <x:c r="C17" s="69" t="str">
        <x:v>1,5,10,20</x:v>
      </x:c>
      <x:c r="D17" s="69" t="n">
        <x:v>13231952</x:v>
      </x:c>
      <x:c r="E17" s="69" t="str">
        <x:v>2026-07-27 to 2026-07-27</x:v>
      </x:c>
      <x:c r="F17" s="70" t="str">
        <x:v>c89ec58a501c3ee9d35b4d16a82c2c097120d5210dcc66310d77aa437a3c789b</x:v>
      </x:c>
    </x:row>
    <x:row r="18" ht="30" customHeight="1">
      <x:c r="A18" s="40"/>
      <x:c r="B18" s="40"/>
      <x:c r="C18" s="40"/>
      <x:c r="D18" s="40"/>
      <x:c r="E18" s="40"/>
      <x:c r="F18" s="40"/>
    </x:row>
    <x:row r="19" ht="30" customHeight="1">
      <x:c r="A19" s="40"/>
      <x:c r="B19" s="40"/>
      <x:c r="C19" s="40"/>
      <x:c r="D19" s="40"/>
      <x:c r="E19" s="40"/>
      <x:c r="F19" s="40"/>
    </x:row>
    <x:row r="20" ht="30" customHeight="1">
      <x:c r="A20" s="40"/>
      <x:c r="B20" s="40"/>
      <x:c r="C20" s="40"/>
      <x:c r="D20" s="40"/>
      <x:c r="E20" s="40"/>
      <x:c r="F20" s="40"/>
    </x:row>
    <x:row r="21" ht="30" customHeight="1">
      <x:c r="A21" s="16" t="str">
        <x:v>Missing Factor</x:v>
      </x:c>
      <x:c r="B21" s="29" t="str">
        <x:v>Required Context</x:v>
      </x:c>
      <x:c r="C21" s="29" t="str">
        <x:v>Status</x:v>
      </x:c>
      <x:c r="D21" s="29" t="str">
        <x:v>Source</x:v>
      </x:c>
      <x:c r="E21" s="29" t="str">
        <x:v>Action</x:v>
      </x:c>
      <x:c r="F21" s="17" t="str">
        <x:v>Notes</x:v>
      </x:c>
    </x:row>
    <x:row r="22" ht="30" customHeight="1">
      <x:c r="A22" s="40" t="str">
        <x:v>gtja_030</x:v>
      </x:c>
      <x:c r="B22" s="40" t="str">
        <x:v>mkt, smb, hml</x:v>
      </x:c>
      <x:c r="C22" s="40" t="str">
        <x:v>missing_input</x:v>
      </x:c>
      <x:c r="D22" s="40" t="str">
        <x:v>factors/gtja191.py</x:v>
      </x:c>
      <x:c r="E22" s="40" t="str">
        <x:v>Provide point-in-time external context and rerun</x:v>
      </x:c>
      <x:c r="F22" s="40" t="str">
        <x:v>No ic_summary.csv was found</x:v>
      </x:c>
    </x:row>
    <x:row r="23" ht="30" customHeight="1">
      <x:c r="A23" s="40" t="str">
        <x:v>gtja_075</x:v>
      </x:c>
      <x:c r="B23" s="40" t="str">
        <x:v>benchmark_open, benchmark_close</x:v>
      </x:c>
      <x:c r="C23" s="40" t="str">
        <x:v>missing_input</x:v>
      </x:c>
      <x:c r="D23" s="40" t="str">
        <x:v>factors/gtja191.py</x:v>
      </x:c>
      <x:c r="E23" s="40" t="str">
        <x:v>Provide point-in-time external context and rerun</x:v>
      </x:c>
      <x:c r="F23" s="40" t="str">
        <x:v>No ic_summary.csv was found</x:v>
      </x:c>
    </x:row>
    <x:row r="24" ht="30" customHeight="1">
      <x:c r="A24" s="40" t="str">
        <x:v>gtja_149</x:v>
      </x:c>
      <x:c r="B24" s="40" t="str">
        <x:v>benchmark_close</x:v>
      </x:c>
      <x:c r="C24" s="40" t="str">
        <x:v>missing_input</x:v>
      </x:c>
      <x:c r="D24" s="40" t="str">
        <x:v>factors/gtja191.py</x:v>
      </x:c>
      <x:c r="E24" s="40" t="str">
        <x:v>Provide point-in-time external context and rerun</x:v>
      </x:c>
      <x:c r="F24" s="40" t="str">
        <x:v>No ic_summary.csv was found</x:v>
      </x:c>
    </x:row>
    <x:row r="25" ht="30" customHeight="1">
      <x:c r="A25" s="40" t="str">
        <x:v>gtja_181</x:v>
      </x:c>
      <x:c r="B25" s="40" t="str">
        <x:v>benchmark_close</x:v>
      </x:c>
      <x:c r="C25" s="40" t="str">
        <x:v>missing_input</x:v>
      </x:c>
      <x:c r="D25" s="40" t="str">
        <x:v>factors/gtja191.py</x:v>
      </x:c>
      <x:c r="E25" s="40" t="str">
        <x:v>Provide point-in-time external context and rerun</x:v>
      </x:c>
      <x:c r="F25" s="40" t="str">
        <x:v>No ic_summary.csv was found</x:v>
      </x:c>
    </x:row>
    <x:row r="26" ht="30" customHeight="1">
      <x:c r="A26" s="40" t="str">
        <x:v>gtja_182</x:v>
      </x:c>
      <x:c r="B26" s="40" t="str">
        <x:v>benchmark_open, benchmark_close</x:v>
      </x:c>
      <x:c r="C26" s="40" t="str">
        <x:v>missing_input</x:v>
      </x:c>
      <x:c r="D26" s="40" t="str">
        <x:v>factors/gtja191.py</x:v>
      </x:c>
      <x:c r="E26" s="40" t="str">
        <x:v>Provide point-in-time external context and rerun</x:v>
      </x:c>
      <x:c r="F26" s="40" t="str">
        <x:v>No ic_summary.csv was found</x:v>
      </x:c>
    </x:row>
    <x:row r="27" ht="30" customHeight="1">
      <x:c r="A27" s="40"/>
      <x:c r="B27" s="40"/>
      <x:c r="C27" s="40"/>
      <x:c r="D27" s="40"/>
      <x:c r="E27" s="40"/>
      <x:c r="F27" s="40"/>
    </x:row>
    <x:row r="28" ht="30" customHeight="1">
      <x:c r="A28" s="40"/>
      <x:c r="B28" s="40"/>
      <x:c r="C28" s="40"/>
      <x:c r="D28" s="40"/>
      <x:c r="E28" s="40"/>
      <x:c r="F28" s="40"/>
    </x:row>
    <x:row r="29" ht="30" customHeight="1">
      <x:c r="A29" s="40"/>
      <x:c r="B29" s="40"/>
      <x:c r="C29" s="40"/>
      <x:c r="D29" s="40"/>
      <x:c r="E29" s="40"/>
      <x:c r="F29" s="40"/>
    </x:row>
    <x:row r="30" ht="30" customHeight="1">
      <x:c r="A30" s="40"/>
      <x:c r="B30" s="40"/>
      <x:c r="C30" s="40"/>
      <x:c r="D30" s="40"/>
      <x:c r="E30" s="40"/>
      <x:c r="F30" s="40"/>
    </x:row>
  </x:sheetData>
  <x:mergeCells>
    <x:mergeCell ref="A1:F1"/>
    <x:mergeCell ref="A2:F2"/>
  </x:mergeCells>
  <x:pageMargins left="0.7" right="0.7" top="0.75" bottom="0.75" header="0.3" footer="0.3"/>
</x:worksheet>
</file>