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6c8163da0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1bcd1d7a08453d"/>
    <x:sheet xmlns:r="http://schemas.openxmlformats.org/officeDocument/2006/relationships" name="Factor Avg RankIC" sheetId="2" r:id="R899d005ef0da4277"/>
    <x:sheet xmlns:r="http://schemas.openxmlformats.org/officeDocument/2006/relationships" name="RankIC by Window" sheetId="3" r:id="R8c4fd83ca8f24b84"/>
    <x:sheet xmlns:r="http://schemas.openxmlformats.org/officeDocument/2006/relationships" name="Raw IC" sheetId="4" r:id="R1bfa81043688478f"/>
    <x:sheet xmlns:r="http://schemas.openxmlformats.org/officeDocument/2006/relationships" name="Audit" sheetId="5" r:id="R03d0926a3b15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"/>
    <x:numFmt numFmtId="202" formatCode="#,##0"/>
    <x:numFmt numFmtId="203" formatCode="yyyy-mm-dd hh:mm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b/>
      <x:sz val="11"/>
      <x:color rgb="FF9C65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4">
    <x:border/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  <x:border>
      <x:left style="thin">
        <x:color rgb="FF9EADBA"/>
      </x:left>
      <x:right style="thin">
        <x:color rgb="FFB4C6E7"/>
      </x:right>
      <x:top style="thin">
        <x:color rgb="FF9EADBA"/>
      </x:top>
    </x:border>
    <x:border>
      <x:left style="thin">
        <x:color rgb="FFB4C6E7"/>
      </x:left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B4C6E7"/>
      </x:left>
      <x:right style="thin">
        <x:color rgb="FFB4C6E7"/>
      </x:right>
      <x:top style="thin">
        <x:color rgb="FF9EADBA"/>
      </x:top>
    </x:border>
    <x:border>
      <x:bottom style="thin">
        <x:color rgb="FF9EADBA"/>
      </x:bottom>
    </x:border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3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5" fillId="0" borderId="0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/>
    <x:xf numFmtId="202" fontId="0" fillId="0" borderId="7" xfId="0" applyNumberFormat="1" applyFont="1" applyFill="1" applyBorder="1"/>
    <x:xf numFmtId="0" fontId="5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5" fillId="3" borderId="6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ca8024c374ab6" /><Relationship Type="http://schemas.openxmlformats.org/officeDocument/2006/relationships/theme" Target="/xl/theme/theme1.xml" Id="Rda8f87a37beb4a7b" /><Relationship Type="http://schemas.openxmlformats.org/officeDocument/2006/relationships/sharedStrings" Target="/xl/sharedStrings.xml" Id="R230628513a5949c3" /><Relationship Type="http://schemas.openxmlformats.org/officeDocument/2006/relationships/worksheet" Target="/xl/worksheets/sheet1.xml" Id="Rb21bcd1d7a08453d" /><Relationship Type="http://schemas.openxmlformats.org/officeDocument/2006/relationships/worksheet" Target="/xl/worksheets/sheet2.xml" Id="R899d005ef0da4277" /><Relationship Type="http://schemas.openxmlformats.org/officeDocument/2006/relationships/worksheet" Target="/xl/worksheets/sheet3.xml" Id="R8c4fd83ca8f24b84" /><Relationship Type="http://schemas.openxmlformats.org/officeDocument/2006/relationships/worksheet" Target="/xl/worksheets/sheet4.xml" Id="R1bfa81043688478f" /><Relationship Type="http://schemas.openxmlformats.org/officeDocument/2006/relationships/worksheet" Target="/xl/worksheets/sheet5.xml" Id="R03d0926a3b154806" /></Relationships>
</file>

<file path=xl/tables/table1.xml><?xml version="1.0" encoding="utf-8"?>
<x:table xmlns:x="http://schemas.openxmlformats.org/spreadsheetml/2006/main" id="2" name="FactorAvgRankIcTable" displayName="FactorAvgRankIcTable" ref="A4:Q190" headerRowCount="1" totalsRowCount="0" totalsRowShown="0">
  <x:tableColumns count="17">
    <x:tableColumn id="1" name="Signed Rank"/>
    <x:tableColumn id="2" name="Strength Rank"/>
    <x:tableColumn id="3" name="Factor"/>
    <x:tableColumn id="4" name="Comparison Status"/>
    <x:tableColumn id="5" name="Avg Rank IC Mean 10/20"/>
    <x:tableColumn id="6" name="Abs Avg Rank IC Mean"/>
    <x:tableColumn id="7" name="Direction"/>
    <x:tableColumn id="8" name="1D Rank IC Mean"/>
    <x:tableColumn id="9" name="5D Rank IC Mean"/>
    <x:tableColumn id="10" name="10D Rank IC Mean"/>
    <x:tableColumn id="11" name="20D Rank IC Mean"/>
    <x:tableColumn id="12" name="Avg Available Rank IC Mean"/>
    <x:tableColumn id="13" name="Available Windows"/>
    <x:tableColumn id="14" name="Completed At"/>
    <x:tableColumn id="15" name="Source Row Count"/>
    <x:tableColumn id="16" name="Comparison Cohort"/>
    <x:tableColumn id="17" name="Source Fol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ankIcByWindowTable" displayName="RankIcByWindowTable" ref="A4:P546" headerRowCount="1" totalsRowCount="0" totalsRowShown="0">
  <x:tableColumns count="16">
    <x:tableColumn id="1" name="Signed Rank"/>
    <x:tableColumn id="2" name="Strength Rank"/>
    <x:tableColumn id="3" name="Factor"/>
    <x:tableColumn id="4" name="Window Days"/>
    <x:tableColumn id="5" name="Comparison Status"/>
    <x:tableColumn id="6" name="Rank IC Mean"/>
    <x:tableColumn id="7" name="Abs Rank IC Mean"/>
    <x:tableColumn id="8" name="Direction"/>
    <x:tableColumn id="9" name="Rank IC Std"/>
    <x:tableColumn id="10" name="Rank ICIR"/>
    <x:tableColumn id="11" name="Rank IC Win Rate"/>
    <x:tableColumn id="12" name="Observation Count"/>
    <x:tableColumn id="13" name="Comparison Cohort"/>
    <x:tableColumn id="14" name="Completed At"/>
    <x:tableColumn id="15" name="Source Row Count"/>
    <x:tableColumn id="16" name="Source 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RawRankIcTable" displayName="RawRankIcTable" ref="A4:N546" headerRowCount="1" totalsRowCount="0" totalsRowShown="0">
  <x:tableColumns count="14">
    <x:tableColumn id="1" name="Factor"/>
    <x:tableColumn id="2" name="Window Days"/>
    <x:tableColumn id="3" name="Rank IC Mean"/>
    <x:tableColumn id="4" name="Rank IC Std"/>
    <x:tableColumn id="5" name="Rank ICIR"/>
    <x:tableColumn id="6" name="Rank IC Win Rate"/>
    <x:tableColumn id="7" name="Pearson IC Mean"/>
    <x:tableColumn id="8" name="Pearson ICIR"/>
    <x:tableColumn id="9" name="Observation Count"/>
    <x:tableColumn id="10" name="Completed At"/>
    <x:tableColumn id="11" name="Source Row Count"/>
    <x:tableColumn id="12" name="Fingerprint"/>
    <x:tableColumn id="13" name="Comparison Cohort"/>
    <x:tableColumn id="14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b21c33bee64d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e71065b3c34a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8fe8411a82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3" hidden="0" customWidth="1"/>
    <x:col min="4" max="4" width="13" hidden="0" customWidth="1"/>
    <x:col min="5" max="5" width="14" hidden="0" customWidth="1"/>
    <x:col min="6" max="6" width="20" hidden="0" customWidth="1"/>
    <x:col min="7" max="7" width="14" hidden="0" customWidth="1"/>
    <x:col min="8" max="8" width="15" hidden="0" customWidth="1"/>
  </x:cols>
  <x:sheetData>
    <x:row r="1" ht="30" customHeight="1">
      <x:c r="A1" s="3" t="str">
        <x:v>GTJA191 Rank IC Mean - Complete Ranking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The primary list is the signed average of 10-day and 20-day rank_ic_mean. Negative factors remain visible and also receive an absolute-strength rank.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34" t="str">
        <x:v>Metric</x:v>
      </x:c>
      <x:c r="B4" s="35" t="str">
        <x:v>Value</x:v>
      </x:c>
      <x:c r="D4" s="34" t="str">
        <x:v>Signed Rank</x:v>
      </x:c>
      <x:c r="E4" s="40" t="str">
        <x:v>Factor</x:v>
      </x:c>
      <x:c r="F4" s="40" t="str">
        <x:v>Avg Rank IC Mean</x:v>
      </x:c>
      <x:c r="G4" s="40" t="str">
        <x:v>Direction</x:v>
      </x:c>
      <x:c r="H4" s="35" t="str">
        <x:v>Strength Rank</x:v>
      </x:c>
    </x:row>
    <x:row r="5">
      <x:c r="A5" s="36" t="str">
        <x:v>Available factor summaries</x:v>
      </x:c>
      <x:c r="B5" s="37" t="n">
        <x:f>COUNTA('Factor Avg RankIC'!$C$5:$C$190)</x:f>
        <x:v>186</x:v>
      </x:c>
      <x:c r="D5" s="41" t="n">
        <x:f>'Factor Avg RankIC'!A5</x:f>
        <x:v>1</x:v>
      </x:c>
      <x:c r="E5" s="42" t="str">
        <x:f>'Factor Avg RankIC'!C5</x:f>
        <x:v>gtja_042</x:v>
      </x:c>
      <x:c r="F5" s="23" t="n">
        <x:f>'Factor Avg RankIC'!E5</x:f>
        <x:v>0.08286964537279123</x:v>
      </x:c>
      <x:c r="G5" s="42" t="str">
        <x:f>'Factor Avg RankIC'!G5</x:f>
        <x:v>positive</x:v>
      </x:c>
      <x:c r="H5" s="43" t="n">
        <x:f>'Factor Avg RankIC'!B5</x:f>
        <x:v>7</x:v>
      </x:c>
    </x:row>
    <x:row r="6">
      <x:c r="A6" s="36" t="str">
        <x:v>Comparable ranked factors</x:v>
      </x:c>
      <x:c r="B6" s="37" t="n">
        <x:f>COUNTIF('Factor Avg RankIC'!$D$5:$D$190,"ranked")</x:f>
        <x:v>182</x:v>
      </x:c>
      <x:c r="D6" s="41" t="n">
        <x:f>'Factor Avg RankIC'!A6</x:f>
        <x:v>2</x:v>
      </x:c>
      <x:c r="E6" s="42" t="str">
        <x:f>'Factor Avg RankIC'!C6</x:f>
        <x:v>gtja_041</x:v>
      </x:c>
      <x:c r="F6" s="23" t="n">
        <x:f>'Factor Avg RankIC'!E6</x:f>
        <x:v>0.06889139400989766</x:v>
      </x:c>
      <x:c r="G6" s="42" t="str">
        <x:f>'Factor Avg RankIC'!G6</x:f>
        <x:v>positive</x:v>
      </x:c>
      <x:c r="H6" s="43" t="n">
        <x:f>'Factor Avg RankIC'!B6</x:f>
        <x:v>12</x:v>
      </x:c>
    </x:row>
    <x:row r="7">
      <x:c r="A7" s="36" t="str">
        <x:v>Different-source factors</x:v>
      </x:c>
      <x:c r="B7" s="37" t="n">
        <x:f>COUNTIF('Factor Avg RankIC'!$D$5:$D$190,"not comparable")</x:f>
        <x:v>4</x:v>
      </x:c>
      <x:c r="D7" s="41" t="n">
        <x:f>'Factor Avg RankIC'!A7</x:f>
        <x:v>3</x:v>
      </x:c>
      <x:c r="E7" s="42" t="str">
        <x:f>'Factor Avg RankIC'!C7</x:f>
        <x:v>gtja_164</x:v>
      </x:c>
      <x:c r="F7" s="23" t="n">
        <x:f>'Factor Avg RankIC'!E7</x:f>
        <x:v>0.06555620749229371</x:v>
      </x:c>
      <x:c r="G7" s="42" t="str">
        <x:f>'Factor Avg RankIC'!G7</x:f>
        <x:v>positive</x:v>
      </x:c>
      <x:c r="H7" s="43" t="n">
        <x:f>'Factor Avg RankIC'!B7</x:f>
        <x:v>15</x:v>
      </x:c>
    </x:row>
    <x:row r="8">
      <x:c r="A8" s="36" t="str">
        <x:v>Missing factor summaries</x:v>
      </x:c>
      <x:c r="B8" s="37" t="n">
        <x:f>191-B5</x:f>
        <x:v>5</x:v>
      </x:c>
      <x:c r="D8" s="41" t="n">
        <x:f>'Factor Avg RankIC'!A8</x:f>
        <x:v>4</x:v>
      </x:c>
      <x:c r="E8" s="42" t="str">
        <x:f>'Factor Avg RankIC'!C8</x:f>
        <x:v>gtja_144</x:v>
      </x:c>
      <x:c r="F8" s="23" t="n">
        <x:f>'Factor Avg RankIC'!E8</x:f>
        <x:v>0.060891667707472646</x:v>
      </x:c>
      <x:c r="G8" s="42" t="str">
        <x:f>'Factor Avg RankIC'!G8</x:f>
        <x:v>positive</x:v>
      </x:c>
      <x:c r="H8" s="43" t="n">
        <x:f>'Factor Avg RankIC'!B8</x:f>
        <x:v>19</x:v>
      </x:c>
    </x:row>
    <x:row r="9">
      <x:c r="A9" s="36" t="str">
        <x:v>Raw factor-window rows</x:v>
      </x:c>
      <x:c r="B9" s="37" t="n">
        <x:f>COUNTA('Raw IC'!$A$5:$A$546)</x:f>
        <x:v>542</x:v>
      </x:c>
      <x:c r="D9" s="41" t="n">
        <x:f>'Factor Avg RankIC'!A9</x:f>
        <x:v>5</x:v>
      </x:c>
      <x:c r="E9" s="42" t="str">
        <x:f>'Factor Avg RankIC'!C9</x:f>
        <x:v>gtja_156</x:v>
      </x:c>
      <x:c r="F9" s="23" t="n">
        <x:f>'Factor Avg RankIC'!E9</x:f>
        <x:v>0.05909580884056894</x:v>
      </x:c>
      <x:c r="G9" s="42" t="str">
        <x:f>'Factor Avg RankIC'!G9</x:f>
        <x:v>positive</x:v>
      </x:c>
      <x:c r="H9" s="43" t="n">
        <x:f>'Factor Avg RankIC'!B9</x:f>
        <x:v>22</x:v>
      </x:c>
    </x:row>
    <x:row r="10">
      <x:c r="A10" s="38" t="str">
        <x:v>Primary ranking basis</x:v>
      </x:c>
      <x:c r="B10" s="39" t="str">
        <x:v>Average signed 10D and 20D Rank IC Mean</x:v>
      </x:c>
      <x:c r="D10" s="41" t="n">
        <x:f>'Factor Avg RankIC'!A10</x:f>
        <x:v>6</x:v>
      </x:c>
      <x:c r="E10" s="42" t="str">
        <x:f>'Factor Avg RankIC'!C10</x:f>
        <x:v>gtja_121</x:v>
      </x:c>
      <x:c r="F10" s="23" t="n">
        <x:f>'Factor Avg RankIC'!E10</x:f>
        <x:v>0.058399694096344226</x:v>
      </x:c>
      <x:c r="G10" s="42" t="str">
        <x:f>'Factor Avg RankIC'!G10</x:f>
        <x:v>positive</x:v>
      </x:c>
      <x:c r="H10" s="43" t="n">
        <x:f>'Factor Avg RankIC'!B10</x:f>
        <x:v>26</x:v>
      </x:c>
    </x:row>
    <x:row r="11">
      <x:c r="D11" s="41" t="n">
        <x:f>'Factor Avg RankIC'!A11</x:f>
        <x:v>7</x:v>
      </x:c>
      <x:c r="E11" s="42" t="str">
        <x:f>'Factor Avg RankIC'!C11</x:f>
        <x:v>gtja_140</x:v>
      </x:c>
      <x:c r="F11" s="23" t="n">
        <x:f>'Factor Avg RankIC'!E11</x:f>
        <x:v>0.05612857014378742</x:v>
      </x:c>
      <x:c r="G11" s="42" t="str">
        <x:f>'Factor Avg RankIC'!G11</x:f>
        <x:v>positive</x:v>
      </x:c>
      <x:c r="H11" s="43" t="n">
        <x:f>'Factor Avg RankIC'!B11</x:f>
        <x:v>30</x:v>
      </x:c>
    </x:row>
    <x:row r="12">
      <x:c r="D12" s="41" t="n">
        <x:f>'Factor Avg RankIC'!A12</x:f>
        <x:v>8</x:v>
      </x:c>
      <x:c r="E12" s="42" t="str">
        <x:f>'Factor Avg RankIC'!C12</x:f>
        <x:v>gtja_099</x:v>
      </x:c>
      <x:c r="F12" s="23" t="n">
        <x:f>'Factor Avg RankIC'!E12</x:f>
        <x:v>0.05231140865745061</x:v>
      </x:c>
      <x:c r="G12" s="42" t="str">
        <x:f>'Factor Avg RankIC'!G12</x:f>
        <x:v>positive</x:v>
      </x:c>
      <x:c r="H12" s="43" t="n">
        <x:f>'Factor Avg RankIC'!B12</x:f>
        <x:v>37</x:v>
      </x:c>
    </x:row>
    <x:row r="13">
      <x:c r="A13" s="49" t="str">
        <x:v>Interpretation</x:v>
      </x:c>
      <x:c r="B13" s="50" t="str"/>
      <x:c r="D13" s="41" t="n">
        <x:f>'Factor Avg RankIC'!A13</x:f>
        <x:v>9</x:v>
      </x:c>
      <x:c r="E13" s="42" t="str">
        <x:f>'Factor Avg RankIC'!C13</x:f>
        <x:v>gtja_083</x:v>
      </x:c>
      <x:c r="F13" s="23" t="n">
        <x:f>'Factor Avg RankIC'!E13</x:f>
        <x:v>0.05180595593308567</x:v>
      </x:c>
      <x:c r="G13" s="42" t="str">
        <x:f>'Factor Avg RankIC'!G13</x:f>
        <x:v>positive</x:v>
      </x:c>
      <x:c r="H13" s="43" t="n">
        <x:f>'Factor Avg RankIC'!B13</x:f>
        <x:v>40</x:v>
      </x:c>
    </x:row>
    <x:row r="14" ht="29" customHeight="1">
      <x:c r="A14" s="51" t="str">
        <x:v>Signed rank</x:v>
      </x:c>
      <x:c r="B14" s="53" t="str">
        <x:v>Higher positive average Rank IC ranks first</x:v>
      </x:c>
      <x:c r="D14" s="41" t="n">
        <x:f>'Factor Avg RankIC'!A14</x:f>
        <x:v>10</x:v>
      </x:c>
      <x:c r="E14" s="42" t="str">
        <x:f>'Factor Avg RankIC'!C14</x:f>
        <x:v>gtja_061</x:v>
      </x:c>
      <x:c r="F14" s="23" t="n">
        <x:f>'Factor Avg RankIC'!E14</x:f>
        <x:v>0.05005247458947035</x:v>
      </x:c>
      <x:c r="G14" s="42" t="str">
        <x:f>'Factor Avg RankIC'!G14</x:f>
        <x:v>positive</x:v>
      </x:c>
      <x:c r="H14" s="43" t="n">
        <x:f>'Factor Avg RankIC'!B14</x:f>
        <x:v>41</x:v>
      </x:c>
    </x:row>
    <x:row r="15" ht="29" customHeight="1">
      <x:c r="A15" s="51" t="str">
        <x:v>Strength rank</x:v>
      </x:c>
      <x:c r="B15" s="53" t="str">
        <x:v>Higher absolute average ranks first; useful for potentially invertible negative factors</x:v>
      </x:c>
      <x:c r="D15" s="41" t="n">
        <x:f>'Factor Avg RankIC'!A15</x:f>
        <x:v>11</x:v>
      </x:c>
      <x:c r="E15" s="42" t="str">
        <x:f>'Factor Avg RankIC'!C15</x:f>
        <x:v>gtja_120</x:v>
      </x:c>
      <x:c r="F15" s="23" t="n">
        <x:f>'Factor Avg RankIC'!E15</x:f>
        <x:v>0.04819388629466793</x:v>
      </x:c>
      <x:c r="G15" s="42" t="str">
        <x:f>'Factor Avg RankIC'!G15</x:f>
        <x:v>positive</x:v>
      </x:c>
      <x:c r="H15" s="43" t="n">
        <x:f>'Factor Avg RankIC'!B15</x:f>
        <x:v>46</x:v>
      </x:c>
    </x:row>
    <x:row r="16" ht="29" customHeight="1">
      <x:c r="A16" s="51" t="str">
        <x:v>Common horizons</x:v>
      </x:c>
      <x:c r="B16" s="53" t="str">
        <x:v>10D and 20D are available for every comparable factor</x:v>
      </x:c>
      <x:c r="D16" s="41" t="n">
        <x:f>'Factor Avg RankIC'!A16</x:f>
        <x:v>12</x:v>
      </x:c>
      <x:c r="E16" s="42" t="str">
        <x:f>'Factor Avg RankIC'!C16</x:f>
        <x:v>gtja_157</x:v>
      </x:c>
      <x:c r="F16" s="23" t="n">
        <x:f>'Factor Avg RankIC'!E16</x:f>
        <x:v>0.048021041882097236</x:v>
      </x:c>
      <x:c r="G16" s="42" t="str">
        <x:f>'Factor Avg RankIC'!G16</x:f>
        <x:v>positive</x:v>
      </x:c>
      <x:c r="H16" s="43" t="n">
        <x:f>'Factor Avg RankIC'!B16</x:f>
        <x:v>47</x:v>
      </x:c>
    </x:row>
    <x:row r="17" ht="29" customHeight="1">
      <x:c r="A17" s="51" t="str">
        <x:v>1D/5D fields</x:v>
      </x:c>
      <x:c r="B17" s="53" t="str">
        <x:v>Shown when available but excluded from the primary rank because coverage is incomplete</x:v>
      </x:c>
      <x:c r="D17" s="41" t="n">
        <x:f>'Factor Avg RankIC'!A17</x:f>
        <x:v>13</x:v>
      </x:c>
      <x:c r="E17" s="42" t="str">
        <x:f>'Factor Avg RankIC'!C17</x:f>
        <x:v>gtja_062</x:v>
      </x:c>
      <x:c r="F17" s="23" t="n">
        <x:f>'Factor Avg RankIC'!E17</x:f>
        <x:v>0.04746966503101802</x:v>
      </x:c>
      <x:c r="G17" s="42" t="str">
        <x:f>'Factor Avg RankIC'!G17</x:f>
        <x:v>positive</x:v>
      </x:c>
      <x:c r="H17" s="43" t="n">
        <x:f>'Factor Avg RankIC'!B17</x:f>
        <x:v>48</x:v>
      </x:c>
    </x:row>
    <x:row r="18" ht="29" customHeight="1">
      <x:c r="A18" s="51" t="str">
        <x:v>Different sample</x:v>
      </x:c>
      <x:c r="B18" s="53" t="str">
        <x:v>gtja_005, gtja_007, gtja_012, gtja_015 are shown but not ranked</x:v>
      </x:c>
      <x:c r="D18" s="41" t="n">
        <x:f>'Factor Avg RankIC'!A18</x:f>
        <x:v>14</x:v>
      </x:c>
      <x:c r="E18" s="42" t="str">
        <x:f>'Factor Avg RankIC'!C18</x:f>
        <x:v>gtja_046</x:v>
      </x:c>
      <x:c r="F18" s="23" t="n">
        <x:f>'Factor Avg RankIC'!E18</x:f>
        <x:v>0.045882674610856655</x:v>
      </x:c>
      <x:c r="G18" s="42" t="str">
        <x:f>'Factor Avg RankIC'!G18</x:f>
        <x:v>positive</x:v>
      </x:c>
      <x:c r="H18" s="43" t="n">
        <x:f>'Factor Avg RankIC'!B18</x:f>
        <x:v>55</x:v>
      </x:c>
    </x:row>
    <x:row r="19" ht="29" customHeight="1">
      <x:c r="A19" s="51" t="str">
        <x:v>Missing</x:v>
      </x:c>
      <x:c r="B19" s="53" t="str">
        <x:v>gtja_030, gtja_075, gtja_149, gtja_181, gtja_182</x:v>
      </x:c>
      <x:c r="D19" s="44" t="n">
        <x:f>'Factor Avg RankIC'!A19</x:f>
        <x:v>15</x:v>
      </x:c>
      <x:c r="E19" s="45" t="str">
        <x:f>'Factor Avg RankIC'!C19</x:f>
        <x:v>gtja_016</x:v>
      </x:c>
      <x:c r="F19" s="46" t="n">
        <x:f>'Factor Avg RankIC'!E19</x:f>
        <x:v>0.044369222289614346</x:v>
      </x:c>
      <x:c r="G19" s="45" t="str">
        <x:f>'Factor Avg RankIC'!G19</x:f>
        <x:v>positive</x:v>
      </x:c>
      <x:c r="H19" s="39" t="n">
        <x:f>'Factor Avg RankIC'!B19</x:f>
        <x:v>59</x:v>
      </x:c>
    </x:row>
    <x:row r="20" ht="29" customHeight="1">
      <x:c r="A20" s="52" t="str">
        <x:v>Trading use</x:v>
      </x:c>
      <x:c r="B20" s="54" t="str">
        <x:v>Rank IC is predictive diagnostics, not a long-only profitability result</x:v>
      </x:c>
    </x:row>
  </x:sheetData>
  <x:mergeCells>
    <x:mergeCell ref="A1:H1"/>
    <x:mergeCell ref="A2:H2"/>
    <x:mergeCell ref="A13:B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8" hidden="0" customWidth="1"/>
    <x:col min="5" max="5" width="21" hidden="0" customWidth="1"/>
    <x:col min="6" max="6" width="20" hidden="0" customWidth="1"/>
    <x:col min="7" max="7" width="13" hidden="0" customWidth="1"/>
    <x:col min="8" max="8" width="17" hidden="0" customWidth="1"/>
    <x:col min="9" max="9" width="17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20" hidden="0" customWidth="1"/>
    <x:col min="15" max="15" width="18" hidden="0" customWidth="1"/>
    <x:col min="16" max="16" width="31" hidden="0" customWidth="1"/>
    <x:col min="17" max="17" width="38" hidden="0" customWidth="1"/>
  </x:cols>
  <x:sheetData>
    <x:row r="1" ht="30" customHeight="1">
      <x:c r="A1" s="3" t="str">
        <x:v>Complete GTJA191 Average Rank IC Ranking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Primary signed ranking = average of 10-day and 20-day rank_ic_mean on the common comparable sample. Strength rank uses the absolute average.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4" customHeight="1">
      <x:c r="A4" s="19" t="str">
        <x:v>Signed Rank</x:v>
      </x:c>
      <x:c r="B4" s="20" t="str">
        <x:v>Strength Rank</x:v>
      </x:c>
      <x:c r="C4" s="20" t="str">
        <x:v>Factor</x:v>
      </x:c>
      <x:c r="D4" s="20" t="str">
        <x:v>Comparison Status</x:v>
      </x:c>
      <x:c r="E4" s="20" t="str">
        <x:v>Avg Rank IC Mean 10/20</x:v>
      </x:c>
      <x:c r="F4" s="20" t="str">
        <x:v>Abs Avg Rank IC Mean</x:v>
      </x:c>
      <x:c r="G4" s="20" t="str">
        <x:v>Direction</x:v>
      </x:c>
      <x:c r="H4" s="20" t="str">
        <x:v>1D Rank IC Mean</x:v>
      </x:c>
      <x:c r="I4" s="20" t="str">
        <x:v>5D Rank IC Mean</x:v>
      </x:c>
      <x:c r="J4" s="20" t="str">
        <x:v>10D Rank IC Mean</x:v>
      </x:c>
      <x:c r="K4" s="20" t="str">
        <x:v>20D Rank IC Mean</x:v>
      </x:c>
      <x:c r="L4" s="20" t="str">
        <x:v>Avg Available Rank IC Mean</x:v>
      </x:c>
      <x:c r="M4" s="20" t="str">
        <x:v>Available Windows</x:v>
      </x:c>
      <x:c r="N4" s="20" t="str">
        <x:v>Completed At</x:v>
      </x:c>
      <x:c r="O4" s="20" t="str">
        <x:v>Source Row Count</x:v>
      </x:c>
      <x:c r="P4" s="20" t="str">
        <x:v>Comparison Cohort</x:v>
      </x:c>
      <x:c r="Q4" s="21" t="str">
        <x:v>Source Folder</x:v>
      </x:c>
    </x:row>
    <x:row r="5">
      <x:c r="A5" s="27" t="n">
        <x:f>IF($D5="ranked",1+COUNTIFS($D$5:$D$190,"ranked",$E$5:$E$190,"&gt;"&amp;$E5),"")</x:f>
        <x:v>1</x:v>
      </x:c>
      <x:c r="B5" s="22" t="n">
        <x:f>IF($D5="ranked",1+COUNTIFS($D$5:$D$190,"ranked",$F$5:$F$190,"&gt;"&amp;$F5),"")</x:f>
        <x:v>7</x:v>
      </x:c>
      <x:c r="C5" t="str">
        <x:v>gtja_042</x:v>
      </x:c>
      <x:c r="D5" t="str">
        <x:v>ranked</x:v>
      </x:c>
      <x:c r="E5" s="23" t="n">
        <x:f>IF(COUNT(J5,K5)&lt;2,"",AVERAGE(J5,K5))</x:f>
        <x:v>0.08286964537279123</x:v>
      </x:c>
      <x:c r="F5" s="23" t="n">
        <x:f>IF(E5="","",ABS(E5))</x:f>
        <x:v>0.08286964537279123</x:v>
      </x:c>
      <x:c r="G5" s="23" t="str">
        <x:f>IF(E5="","",IF(E5&gt;=0,"positive","negative"))</x:f>
        <x:v>positive</x:v>
      </x:c>
      <x:c r="H5" s="23" t="str">
        <x:f>IF(COUNTIFS('Raw IC'!$A$5:$A$546,$C5,'Raw IC'!$B$5:$B$546,1)=0,"",SUMIFS('Raw IC'!$C$5:$C$546,'Raw IC'!$A$5:$A$546,$C5,'Raw IC'!$B$5:$B$546,1))</x:f>
      </x:c>
      <x:c r="I5" s="23" t="str">
        <x:f>IF(COUNTIFS('Raw IC'!$A$5:$A$546,$C5,'Raw IC'!$B$5:$B$546,5)=0,"",SUMIFS('Raw IC'!$C$5:$C$546,'Raw IC'!$A$5:$A$546,$C5,'Raw IC'!$B$5:$B$546,5))</x:f>
      </x:c>
      <x:c r="J5" s="23" t="n">
        <x:f>IF(COUNTIFS('Raw IC'!$A$5:$A$546,$C5,'Raw IC'!$B$5:$B$546,10)=0,"",SUMIFS('Raw IC'!$C$5:$C$546,'Raw IC'!$A$5:$A$546,$C5,'Raw IC'!$B$5:$B$546,10))</x:f>
        <x:v>0.07709133095133304</x:v>
      </x:c>
      <x:c r="K5" s="23" t="n">
        <x:f>IF(COUNTIFS('Raw IC'!$A$5:$A$546,$C5,'Raw IC'!$B$5:$B$546,20)=0,"",SUMIFS('Raw IC'!$C$5:$C$546,'Raw IC'!$A$5:$A$546,$C5,'Raw IC'!$B$5:$B$546,20))</x:f>
        <x:v>0.08864795979424941</x:v>
      </x:c>
      <x:c r="L5" s="23" t="n">
        <x:f>IF(COUNT(H5:K5)=0,"",AVERAGE(H5:K5))</x:f>
        <x:v>0.08286964537279123</x:v>
      </x:c>
      <x:c r="M5" s="22" t="n">
        <x:f>COUNT(H5:K5)</x:f>
        <x:v>2</x:v>
      </x:c>
      <x:c r="N5" s="25" t="n">
        <x:v>46211.25270762732</x:v>
      </x:c>
      <x:c r="O5" s="24" t="n">
        <x:v>8902245</x:v>
      </x:c>
      <x:c r="P5" t="str">
        <x:v>legacy_common_sample_8902245</x:v>
      </x:c>
      <x:c r="Q5" t="str">
        <x:v>factor_report/gtja191_batch/gtja_042</x:v>
      </x:c>
    </x:row>
    <x:row r="6">
      <x:c r="A6" s="27" t="n">
        <x:f>IF($D6="ranked",1+COUNTIFS($D$5:$D$190,"ranked",$E$5:$E$190,"&gt;"&amp;$E6),"")</x:f>
        <x:v>2</x:v>
      </x:c>
      <x:c r="B6" s="22" t="n">
        <x:f>IF($D6="ranked",1+COUNTIFS($D$5:$D$190,"ranked",$F$5:$F$190,"&gt;"&amp;$F6),"")</x:f>
        <x:v>12</x:v>
      </x:c>
      <x:c r="C6" t="str">
        <x:v>gtja_041</x:v>
      </x:c>
      <x:c r="D6" t="str">
        <x:v>ranked</x:v>
      </x:c>
      <x:c r="E6" s="23" t="n">
        <x:f>IF(COUNT(J6,K6)&lt;2,"",AVERAGE(J6,K6))</x:f>
        <x:v>0.06889139400989766</x:v>
      </x:c>
      <x:c r="F6" s="23" t="n">
        <x:f>IF(E6="","",ABS(E6))</x:f>
        <x:v>0.06889139400989766</x:v>
      </x:c>
      <x:c r="G6" s="23" t="str">
        <x:f>IF(E6="","",IF(E6&gt;=0,"positive","negative"))</x:f>
        <x:v>positive</x:v>
      </x:c>
      <x:c r="H6" s="23" t="str">
        <x:f>IF(COUNTIFS('Raw IC'!$A$5:$A$546,$C6,'Raw IC'!$B$5:$B$546,1)=0,"",SUMIFS('Raw IC'!$C$5:$C$546,'Raw IC'!$A$5:$A$546,$C6,'Raw IC'!$B$5:$B$546,1))</x:f>
      </x:c>
      <x:c r="I6" s="23" t="str">
        <x:f>IF(COUNTIFS('Raw IC'!$A$5:$A$546,$C6,'Raw IC'!$B$5:$B$546,5)=0,"",SUMIFS('Raw IC'!$C$5:$C$546,'Raw IC'!$A$5:$A$546,$C6,'Raw IC'!$B$5:$B$546,5))</x:f>
      </x:c>
      <x:c r="J6" s="23" t="n">
        <x:f>IF(COUNTIFS('Raw IC'!$A$5:$A$546,$C6,'Raw IC'!$B$5:$B$546,10)=0,"",SUMIFS('Raw IC'!$C$5:$C$546,'Raw IC'!$A$5:$A$546,$C6,'Raw IC'!$B$5:$B$546,10))</x:f>
        <x:v>0.06323420874741587</x:v>
      </x:c>
      <x:c r="K6" s="23" t="n">
        <x:f>IF(COUNTIFS('Raw IC'!$A$5:$A$546,$C6,'Raw IC'!$B$5:$B$546,20)=0,"",SUMIFS('Raw IC'!$C$5:$C$546,'Raw IC'!$A$5:$A$546,$C6,'Raw IC'!$B$5:$B$546,20))</x:f>
        <x:v>0.07454857927237946</x:v>
      </x:c>
      <x:c r="L6" s="23" t="n">
        <x:f>IF(COUNT(H6:K6)=0,"",AVERAGE(H6:K6))</x:f>
        <x:v>0.06889139400989766</x:v>
      </x:c>
      <x:c r="M6" s="22" t="n">
        <x:f>COUNT(H6:K6)</x:f>
        <x:v>2</x:v>
      </x:c>
      <x:c r="N6" s="25" t="n">
        <x:v>46211.24883207176</x:v>
      </x:c>
      <x:c r="O6" s="24" t="n">
        <x:v>8902245</x:v>
      </x:c>
      <x:c r="P6" t="str">
        <x:v>legacy_common_sample_8902245</x:v>
      </x:c>
      <x:c r="Q6" t="str">
        <x:v>factor_report/gtja191_batch/gtja_041</x:v>
      </x:c>
    </x:row>
    <x:row r="7">
      <x:c r="A7" s="27" t="n">
        <x:f>IF($D7="ranked",1+COUNTIFS($D$5:$D$190,"ranked",$E$5:$E$190,"&gt;"&amp;$E7),"")</x:f>
        <x:v>3</x:v>
      </x:c>
      <x:c r="B7" s="22" t="n">
        <x:f>IF($D7="ranked",1+COUNTIFS($D$5:$D$190,"ranked",$F$5:$F$190,"&gt;"&amp;$F7),"")</x:f>
        <x:v>15</x:v>
      </x:c>
      <x:c r="C7" t="str">
        <x:v>gtja_164</x:v>
      </x:c>
      <x:c r="D7" t="str">
        <x:v>ranked</x:v>
      </x:c>
      <x:c r="E7" s="23" t="n">
        <x:f>IF(COUNT(J7,K7)&lt;2,"",AVERAGE(J7,K7))</x:f>
        <x:v>0.06555620749229371</x:v>
      </x:c>
      <x:c r="F7" s="23" t="n">
        <x:f>IF(E7="","",ABS(E7))</x:f>
        <x:v>0.06555620749229371</x:v>
      </x:c>
      <x:c r="G7" s="23" t="str">
        <x:f>IF(E7="","",IF(E7&gt;=0,"positive","negative"))</x:f>
        <x:v>positive</x:v>
      </x:c>
      <x:c r="H7" s="23" t="str">
        <x:f>IF(COUNTIFS('Raw IC'!$A$5:$A$546,$C7,'Raw IC'!$B$5:$B$546,1)=0,"",SUMIFS('Raw IC'!$C$5:$C$546,'Raw IC'!$A$5:$A$546,$C7,'Raw IC'!$B$5:$B$546,1))</x:f>
      </x:c>
      <x:c r="I7" s="23" t="str">
        <x:f>IF(COUNTIFS('Raw IC'!$A$5:$A$546,$C7,'Raw IC'!$B$5:$B$546,5)=0,"",SUMIFS('Raw IC'!$C$5:$C$546,'Raw IC'!$A$5:$A$546,$C7,'Raw IC'!$B$5:$B$546,5))</x:f>
      </x:c>
      <x:c r="J7" s="23" t="n">
        <x:f>IF(COUNTIFS('Raw IC'!$A$5:$A$546,$C7,'Raw IC'!$B$5:$B$546,10)=0,"",SUMIFS('Raw IC'!$C$5:$C$546,'Raw IC'!$A$5:$A$546,$C7,'Raw IC'!$B$5:$B$546,10))</x:f>
        <x:v>0.05937842965949153</x:v>
      </x:c>
      <x:c r="K7" s="23" t="n">
        <x:f>IF(COUNTIFS('Raw IC'!$A$5:$A$546,$C7,'Raw IC'!$B$5:$B$546,20)=0,"",SUMIFS('Raw IC'!$C$5:$C$546,'Raw IC'!$A$5:$A$546,$C7,'Raw IC'!$B$5:$B$546,20))</x:f>
        <x:v>0.07173398532509588</x:v>
      </x:c>
      <x:c r="L7" s="23" t="n">
        <x:f>IF(COUNT(H7:K7)=0,"",AVERAGE(H7:K7))</x:f>
        <x:v>0.06555620749229371</x:v>
      </x:c>
      <x:c r="M7" s="22" t="n">
        <x:f>COUNT(H7:K7)</x:f>
        <x:v>2</x:v>
      </x:c>
      <x:c r="N7" s="25" t="n">
        <x:v>46211.51530107639</x:v>
      </x:c>
      <x:c r="O7" s="24" t="n">
        <x:v>8902245</x:v>
      </x:c>
      <x:c r="P7" t="str">
        <x:v>legacy_common_sample_8902245</x:v>
      </x:c>
      <x:c r="Q7" t="str">
        <x:v>factor_report/gtja191_batch/gtja_164</x:v>
      </x:c>
    </x:row>
    <x:row r="8">
      <x:c r="A8" s="27" t="n">
        <x:f>IF($D8="ranked",1+COUNTIFS($D$5:$D$190,"ranked",$E$5:$E$190,"&gt;"&amp;$E8),"")</x:f>
        <x:v>4</x:v>
      </x:c>
      <x:c r="B8" s="22" t="n">
        <x:f>IF($D8="ranked",1+COUNTIFS($D$5:$D$190,"ranked",$F$5:$F$190,"&gt;"&amp;$F8),"")</x:f>
        <x:v>19</x:v>
      </x:c>
      <x:c r="C8" t="str">
        <x:v>gtja_144</x:v>
      </x:c>
      <x:c r="D8" t="str">
        <x:v>ranked</x:v>
      </x:c>
      <x:c r="E8" s="23" t="n">
        <x:f>IF(COUNT(J8,K8)&lt;2,"",AVERAGE(J8,K8))</x:f>
        <x:v>0.060891667707472646</x:v>
      </x:c>
      <x:c r="F8" s="23" t="n">
        <x:f>IF(E8="","",ABS(E8))</x:f>
        <x:v>0.060891667707472646</x:v>
      </x:c>
      <x:c r="G8" s="23" t="str">
        <x:f>IF(E8="","",IF(E8&gt;=0,"positive","negative"))</x:f>
        <x:v>positive</x:v>
      </x:c>
      <x:c r="H8" s="23" t="str">
        <x:f>IF(COUNTIFS('Raw IC'!$A$5:$A$546,$C8,'Raw IC'!$B$5:$B$546,1)=0,"",SUMIFS('Raw IC'!$C$5:$C$546,'Raw IC'!$A$5:$A$546,$C8,'Raw IC'!$B$5:$B$546,1))</x:f>
      </x:c>
      <x:c r="I8" s="23" t="str">
        <x:f>IF(COUNTIFS('Raw IC'!$A$5:$A$546,$C8,'Raw IC'!$B$5:$B$546,5)=0,"",SUMIFS('Raw IC'!$C$5:$C$546,'Raw IC'!$A$5:$A$546,$C8,'Raw IC'!$B$5:$B$546,5))</x:f>
      </x:c>
      <x:c r="J8" s="23" t="n">
        <x:f>IF(COUNTIFS('Raw IC'!$A$5:$A$546,$C8,'Raw IC'!$B$5:$B$546,10)=0,"",SUMIFS('Raw IC'!$C$5:$C$546,'Raw IC'!$A$5:$A$546,$C8,'Raw IC'!$B$5:$B$546,10))</x:f>
        <x:v>0.052773687297313424</x:v>
      </x:c>
      <x:c r="K8" s="23" t="n">
        <x:f>IF(COUNTIFS('Raw IC'!$A$5:$A$546,$C8,'Raw IC'!$B$5:$B$546,20)=0,"",SUMIFS('Raw IC'!$C$5:$C$546,'Raw IC'!$A$5:$A$546,$C8,'Raw IC'!$B$5:$B$546,20))</x:f>
        <x:v>0.06900964811763187</x:v>
      </x:c>
      <x:c r="L8" s="23" t="n">
        <x:f>IF(COUNT(H8:K8)=0,"",AVERAGE(H8:K8))</x:f>
        <x:v>0.060891667707472646</x:v>
      </x:c>
      <x:c r="M8" s="22" t="n">
        <x:f>COUNT(H8:K8)</x:f>
        <x:v>2</x:v>
      </x:c>
      <x:c r="N8" s="25" t="n">
        <x:v>46211.45256542824</x:v>
      </x:c>
      <x:c r="O8" s="24" t="n">
        <x:v>8902245</x:v>
      </x:c>
      <x:c r="P8" t="str">
        <x:v>legacy_common_sample_8902245</x:v>
      </x:c>
      <x:c r="Q8" t="str">
        <x:v>factor_report/gtja191_batch/gtja_144</x:v>
      </x:c>
    </x:row>
    <x:row r="9">
      <x:c r="A9" s="27" t="n">
        <x:f>IF($D9="ranked",1+COUNTIFS($D$5:$D$190,"ranked",$E$5:$E$190,"&gt;"&amp;$E9),"")</x:f>
        <x:v>5</x:v>
      </x:c>
      <x:c r="B9" s="22" t="n">
        <x:f>IF($D9="ranked",1+COUNTIFS($D$5:$D$190,"ranked",$F$5:$F$190,"&gt;"&amp;$F9),"")</x:f>
        <x:v>22</x:v>
      </x:c>
      <x:c r="C9" t="str">
        <x:v>gtja_156</x:v>
      </x:c>
      <x:c r="D9" t="str">
        <x:v>ranked</x:v>
      </x:c>
      <x:c r="E9" s="23" t="n">
        <x:f>IF(COUNT(J9,K9)&lt;2,"",AVERAGE(J9,K9))</x:f>
        <x:v>0.05909580884056894</x:v>
      </x:c>
      <x:c r="F9" s="23" t="n">
        <x:f>IF(E9="","",ABS(E9))</x:f>
        <x:v>0.05909580884056894</x:v>
      </x:c>
      <x:c r="G9" s="23" t="str">
        <x:f>IF(E9="","",IF(E9&gt;=0,"positive","negative"))</x:f>
        <x:v>positive</x:v>
      </x:c>
      <x:c r="H9" s="23" t="str">
        <x:f>IF(COUNTIFS('Raw IC'!$A$5:$A$546,$C9,'Raw IC'!$B$5:$B$546,1)=0,"",SUMIFS('Raw IC'!$C$5:$C$546,'Raw IC'!$A$5:$A$546,$C9,'Raw IC'!$B$5:$B$546,1))</x:f>
      </x:c>
      <x:c r="I9" s="23" t="str">
        <x:f>IF(COUNTIFS('Raw IC'!$A$5:$A$546,$C9,'Raw IC'!$B$5:$B$546,5)=0,"",SUMIFS('Raw IC'!$C$5:$C$546,'Raw IC'!$A$5:$A$546,$C9,'Raw IC'!$B$5:$B$546,5))</x:f>
      </x:c>
      <x:c r="J9" s="23" t="n">
        <x:f>IF(COUNTIFS('Raw IC'!$A$5:$A$546,$C9,'Raw IC'!$B$5:$B$546,10)=0,"",SUMIFS('Raw IC'!$C$5:$C$546,'Raw IC'!$A$5:$A$546,$C9,'Raw IC'!$B$5:$B$546,10))</x:f>
        <x:v>0.05501076023105661</x:v>
      </x:c>
      <x:c r="K9" s="23" t="n">
        <x:f>IF(COUNTIFS('Raw IC'!$A$5:$A$546,$C9,'Raw IC'!$B$5:$B$546,20)=0,"",SUMIFS('Raw IC'!$C$5:$C$546,'Raw IC'!$A$5:$A$546,$C9,'Raw IC'!$B$5:$B$546,20))</x:f>
        <x:v>0.06318085745008127</x:v>
      </x:c>
      <x:c r="L9" s="23" t="n">
        <x:f>IF(COUNT(H9:K9)=0,"",AVERAGE(H9:K9))</x:f>
        <x:v>0.05909580884056894</x:v>
      </x:c>
      <x:c r="M9" s="22" t="n">
        <x:f>COUNT(H9:K9)</x:f>
        <x:v>2</x:v>
      </x:c>
      <x:c r="N9" s="25" t="n">
        <x:v>46211.50185851852</x:v>
      </x:c>
      <x:c r="O9" s="24" t="n">
        <x:v>8902245</x:v>
      </x:c>
      <x:c r="P9" t="str">
        <x:v>legacy_common_sample_8902245</x:v>
      </x:c>
      <x:c r="Q9" t="str">
        <x:v>factor_report/gtja191_batch/gtja_156</x:v>
      </x:c>
    </x:row>
    <x:row r="10">
      <x:c r="A10" s="27" t="n">
        <x:f>IF($D10="ranked",1+COUNTIFS($D$5:$D$190,"ranked",$E$5:$E$190,"&gt;"&amp;$E10),"")</x:f>
        <x:v>6</x:v>
      </x:c>
      <x:c r="B10" s="22" t="n">
        <x:f>IF($D10="ranked",1+COUNTIFS($D$5:$D$190,"ranked",$F$5:$F$190,"&gt;"&amp;$F10),"")</x:f>
        <x:v>26</x:v>
      </x:c>
      <x:c r="C10" t="str">
        <x:v>gtja_121</x:v>
      </x:c>
      <x:c r="D10" t="str">
        <x:v>ranked</x:v>
      </x:c>
      <x:c r="E10" s="23" t="n">
        <x:f>IF(COUNT(J10,K10)&lt;2,"",AVERAGE(J10,K10))</x:f>
        <x:v>0.058399694096344226</x:v>
      </x:c>
      <x:c r="F10" s="23" t="n">
        <x:f>IF(E10="","",ABS(E10))</x:f>
        <x:v>0.058399694096344226</x:v>
      </x:c>
      <x:c r="G10" s="23" t="str">
        <x:f>IF(E10="","",IF(E10&gt;=0,"positive","negative"))</x:f>
        <x:v>positive</x:v>
      </x:c>
      <x:c r="H10" s="23" t="str">
        <x:f>IF(COUNTIFS('Raw IC'!$A$5:$A$546,$C10,'Raw IC'!$B$5:$B$546,1)=0,"",SUMIFS('Raw IC'!$C$5:$C$546,'Raw IC'!$A$5:$A$546,$C10,'Raw IC'!$B$5:$B$546,1))</x:f>
      </x:c>
      <x:c r="I10" s="23" t="str">
        <x:f>IF(COUNTIFS('Raw IC'!$A$5:$A$546,$C10,'Raw IC'!$B$5:$B$546,5)=0,"",SUMIFS('Raw IC'!$C$5:$C$546,'Raw IC'!$A$5:$A$546,$C10,'Raw IC'!$B$5:$B$546,5))</x:f>
      </x:c>
      <x:c r="J10" s="23" t="n">
        <x:f>IF(COUNTIFS('Raw IC'!$A$5:$A$546,$C10,'Raw IC'!$B$5:$B$546,10)=0,"",SUMIFS('Raw IC'!$C$5:$C$546,'Raw IC'!$A$5:$A$546,$C10,'Raw IC'!$B$5:$B$546,10))</x:f>
        <x:v>0.052749039392317676</x:v>
      </x:c>
      <x:c r="K10" s="23" t="n">
        <x:f>IF(COUNTIFS('Raw IC'!$A$5:$A$546,$C10,'Raw IC'!$B$5:$B$546,20)=0,"",SUMIFS('Raw IC'!$C$5:$C$546,'Raw IC'!$A$5:$A$546,$C10,'Raw IC'!$B$5:$B$546,20))</x:f>
        <x:v>0.06405034880037078</x:v>
      </x:c>
      <x:c r="L10" s="23" t="n">
        <x:f>IF(COUNT(H10:K10)=0,"",AVERAGE(H10:K10))</x:f>
        <x:v>0.058399694096344226</x:v>
      </x:c>
      <x:c r="M10" s="22" t="n">
        <x:f>COUNT(H10:K10)</x:f>
        <x:v>2</x:v>
      </x:c>
      <x:c r="N10" s="25" t="n">
        <x:v>46211.40481090278</x:v>
      </x:c>
      <x:c r="O10" s="24" t="n">
        <x:v>8902245</x:v>
      </x:c>
      <x:c r="P10" t="str">
        <x:v>legacy_common_sample_8902245</x:v>
      </x:c>
      <x:c r="Q10" t="str">
        <x:v>factor_report/gtja191_batch/gtja_121</x:v>
      </x:c>
    </x:row>
    <x:row r="11">
      <x:c r="A11" s="27" t="n">
        <x:f>IF($D11="ranked",1+COUNTIFS($D$5:$D$190,"ranked",$E$5:$E$190,"&gt;"&amp;$E11),"")</x:f>
        <x:v>7</x:v>
      </x:c>
      <x:c r="B11" s="22" t="n">
        <x:f>IF($D11="ranked",1+COUNTIFS($D$5:$D$190,"ranked",$F$5:$F$190,"&gt;"&amp;$F11),"")</x:f>
        <x:v>30</x:v>
      </x:c>
      <x:c r="C11" t="str">
        <x:v>gtja_140</x:v>
      </x:c>
      <x:c r="D11" t="str">
        <x:v>ranked</x:v>
      </x:c>
      <x:c r="E11" s="23" t="n">
        <x:f>IF(COUNT(J11,K11)&lt;2,"",AVERAGE(J11,K11))</x:f>
        <x:v>0.05612857014378742</x:v>
      </x:c>
      <x:c r="F11" s="23" t="n">
        <x:f>IF(E11="","",ABS(E11))</x:f>
        <x:v>0.05612857014378742</x:v>
      </x:c>
      <x:c r="G11" s="23" t="str">
        <x:f>IF(E11="","",IF(E11&gt;=0,"positive","negative"))</x:f>
        <x:v>positive</x:v>
      </x:c>
      <x:c r="H11" s="23" t="str">
        <x:f>IF(COUNTIFS('Raw IC'!$A$5:$A$546,$C11,'Raw IC'!$B$5:$B$546,1)=0,"",SUMIFS('Raw IC'!$C$5:$C$546,'Raw IC'!$A$5:$A$546,$C11,'Raw IC'!$B$5:$B$546,1))</x:f>
      </x:c>
      <x:c r="I11" s="23" t="str">
        <x:f>IF(COUNTIFS('Raw IC'!$A$5:$A$546,$C11,'Raw IC'!$B$5:$B$546,5)=0,"",SUMIFS('Raw IC'!$C$5:$C$546,'Raw IC'!$A$5:$A$546,$C11,'Raw IC'!$B$5:$B$546,5))</x:f>
      </x:c>
      <x:c r="J11" s="23" t="n">
        <x:f>IF(COUNTIFS('Raw IC'!$A$5:$A$546,$C11,'Raw IC'!$B$5:$B$546,10)=0,"",SUMIFS('Raw IC'!$C$5:$C$546,'Raw IC'!$A$5:$A$546,$C11,'Raw IC'!$B$5:$B$546,10))</x:f>
        <x:v>0.05335274590122334</x:v>
      </x:c>
      <x:c r="K11" s="23" t="n">
        <x:f>IF(COUNTIFS('Raw IC'!$A$5:$A$546,$C11,'Raw IC'!$B$5:$B$546,20)=0,"",SUMIFS('Raw IC'!$C$5:$C$546,'Raw IC'!$A$5:$A$546,$C11,'Raw IC'!$B$5:$B$546,20))</x:f>
        <x:v>0.058904394386351505</x:v>
      </x:c>
      <x:c r="L11" s="23" t="n">
        <x:f>IF(COUNT(H11:K11)=0,"",AVERAGE(H11:K11))</x:f>
        <x:v>0.05612857014378742</x:v>
      </x:c>
      <x:c r="M11" s="22" t="n">
        <x:f>COUNT(H11:K11)</x:f>
        <x:v>2</x:v>
      </x:c>
      <x:c r="N11" s="25" t="n">
        <x:v>46211.441442916665</x:v>
      </x:c>
      <x:c r="O11" s="24" t="n">
        <x:v>8902245</x:v>
      </x:c>
      <x:c r="P11" t="str">
        <x:v>legacy_common_sample_8902245</x:v>
      </x:c>
      <x:c r="Q11" t="str">
        <x:v>factor_report/gtja191_batch/gtja_140</x:v>
      </x:c>
    </x:row>
    <x:row r="12">
      <x:c r="A12" s="27" t="n">
        <x:f>IF($D12="ranked",1+COUNTIFS($D$5:$D$190,"ranked",$E$5:$E$190,"&gt;"&amp;$E12),"")</x:f>
        <x:v>8</x:v>
      </x:c>
      <x:c r="B12" s="22" t="n">
        <x:f>IF($D12="ranked",1+COUNTIFS($D$5:$D$190,"ranked",$F$5:$F$190,"&gt;"&amp;$F12),"")</x:f>
        <x:v>37</x:v>
      </x:c>
      <x:c r="C12" t="str">
        <x:v>gtja_099</x:v>
      </x:c>
      <x:c r="D12" t="str">
        <x:v>ranked</x:v>
      </x:c>
      <x:c r="E12" s="23" t="n">
        <x:f>IF(COUNT(J12,K12)&lt;2,"",AVERAGE(J12,K12))</x:f>
        <x:v>0.05231140865745061</x:v>
      </x:c>
      <x:c r="F12" s="23" t="n">
        <x:f>IF(E12="","",ABS(E12))</x:f>
        <x:v>0.05231140865745061</x:v>
      </x:c>
      <x:c r="G12" s="23" t="str">
        <x:f>IF(E12="","",IF(E12&gt;=0,"positive","negative"))</x:f>
        <x:v>positive</x:v>
      </x:c>
      <x:c r="H12" s="23" t="str">
        <x:f>IF(COUNTIFS('Raw IC'!$A$5:$A$546,$C12,'Raw IC'!$B$5:$B$546,1)=0,"",SUMIFS('Raw IC'!$C$5:$C$546,'Raw IC'!$A$5:$A$546,$C12,'Raw IC'!$B$5:$B$546,1))</x:f>
      </x:c>
      <x:c r="I12" s="23" t="str">
        <x:f>IF(COUNTIFS('Raw IC'!$A$5:$A$546,$C12,'Raw IC'!$B$5:$B$546,5)=0,"",SUMIFS('Raw IC'!$C$5:$C$546,'Raw IC'!$A$5:$A$546,$C12,'Raw IC'!$B$5:$B$546,5))</x:f>
      </x:c>
      <x:c r="J12" s="23" t="n">
        <x:f>IF(COUNTIFS('Raw IC'!$A$5:$A$546,$C12,'Raw IC'!$B$5:$B$546,10)=0,"",SUMIFS('Raw IC'!$C$5:$C$546,'Raw IC'!$A$5:$A$546,$C12,'Raw IC'!$B$5:$B$546,10))</x:f>
        <x:v>0.05085190347772375</x:v>
      </x:c>
      <x:c r="K12" s="23" t="n">
        <x:f>IF(COUNTIFS('Raw IC'!$A$5:$A$546,$C12,'Raw IC'!$B$5:$B$546,20)=0,"",SUMIFS('Raw IC'!$C$5:$C$546,'Raw IC'!$A$5:$A$546,$C12,'Raw IC'!$B$5:$B$546,20))</x:f>
        <x:v>0.05377091383717746</x:v>
      </x:c>
      <x:c r="L12" s="23" t="n">
        <x:f>IF(COUNT(H12:K12)=0,"",AVERAGE(H12:K12))</x:f>
        <x:v>0.05231140865745061</x:v>
      </x:c>
      <x:c r="M12" s="22" t="n">
        <x:f>COUNT(H12:K12)</x:f>
        <x:v>2</x:v>
      </x:c>
      <x:c r="N12" s="25" t="n">
        <x:v>46211.34822918982</x:v>
      </x:c>
      <x:c r="O12" s="24" t="n">
        <x:v>8902245</x:v>
      </x:c>
      <x:c r="P12" t="str">
        <x:v>legacy_common_sample_8902245</x:v>
      </x:c>
      <x:c r="Q12" t="str">
        <x:v>factor_report/gtja191_batch/gtja_099</x:v>
      </x:c>
    </x:row>
    <x:row r="13">
      <x:c r="A13" s="27" t="n">
        <x:f>IF($D13="ranked",1+COUNTIFS($D$5:$D$190,"ranked",$E$5:$E$190,"&gt;"&amp;$E13),"")</x:f>
        <x:v>9</x:v>
      </x:c>
      <x:c r="B13" s="22" t="n">
        <x:f>IF($D13="ranked",1+COUNTIFS($D$5:$D$190,"ranked",$F$5:$F$190,"&gt;"&amp;$F13),"")</x:f>
        <x:v>40</x:v>
      </x:c>
      <x:c r="C13" t="str">
        <x:v>gtja_083</x:v>
      </x:c>
      <x:c r="D13" t="str">
        <x:v>ranked</x:v>
      </x:c>
      <x:c r="E13" s="23" t="n">
        <x:f>IF(COUNT(J13,K13)&lt;2,"",AVERAGE(J13,K13))</x:f>
        <x:v>0.05180595593308567</x:v>
      </x:c>
      <x:c r="F13" s="23" t="n">
        <x:f>IF(E13="","",ABS(E13))</x:f>
        <x:v>0.05180595593308567</x:v>
      </x:c>
      <x:c r="G13" s="23" t="str">
        <x:f>IF(E13="","",IF(E13&gt;=0,"positive","negative"))</x:f>
        <x:v>positive</x:v>
      </x:c>
      <x:c r="H13" s="23" t="str">
        <x:f>IF(COUNTIFS('Raw IC'!$A$5:$A$546,$C13,'Raw IC'!$B$5:$B$546,1)=0,"",SUMIFS('Raw IC'!$C$5:$C$546,'Raw IC'!$A$5:$A$546,$C13,'Raw IC'!$B$5:$B$546,1))</x:f>
      </x:c>
      <x:c r="I13" s="23" t="str">
        <x:f>IF(COUNTIFS('Raw IC'!$A$5:$A$546,$C13,'Raw IC'!$B$5:$B$546,5)=0,"",SUMIFS('Raw IC'!$C$5:$C$546,'Raw IC'!$A$5:$A$546,$C13,'Raw IC'!$B$5:$B$546,5))</x:f>
      </x:c>
      <x:c r="J13" s="23" t="n">
        <x:f>IF(COUNTIFS('Raw IC'!$A$5:$A$546,$C13,'Raw IC'!$B$5:$B$546,10)=0,"",SUMIFS('Raw IC'!$C$5:$C$546,'Raw IC'!$A$5:$A$546,$C13,'Raw IC'!$B$5:$B$546,10))</x:f>
        <x:v>0.050828634987576136</x:v>
      </x:c>
      <x:c r="K13" s="23" t="n">
        <x:f>IF(COUNTIFS('Raw IC'!$A$5:$A$546,$C13,'Raw IC'!$B$5:$B$546,20)=0,"",SUMIFS('Raw IC'!$C$5:$C$546,'Raw IC'!$A$5:$A$546,$C13,'Raw IC'!$B$5:$B$546,20))</x:f>
        <x:v>0.05278327687859521</x:v>
      </x:c>
      <x:c r="L13" s="23" t="n">
        <x:f>IF(COUNT(H13:K13)=0,"",AVERAGE(H13:K13))</x:f>
        <x:v>0.05180595593308567</x:v>
      </x:c>
      <x:c r="M13" s="22" t="n">
        <x:f>COUNT(H13:K13)</x:f>
        <x:v>2</x:v>
      </x:c>
      <x:c r="N13" s="25" t="n">
        <x:v>46211.31746125</x:v>
      </x:c>
      <x:c r="O13" s="24" t="n">
        <x:v>8902245</x:v>
      </x:c>
      <x:c r="P13" t="str">
        <x:v>legacy_common_sample_8902245</x:v>
      </x:c>
      <x:c r="Q13" t="str">
        <x:v>factor_report/gtja191_batch/gtja_083</x:v>
      </x:c>
    </x:row>
    <x:row r="14">
      <x:c r="A14" s="27" t="n">
        <x:f>IF($D14="ranked",1+COUNTIFS($D$5:$D$190,"ranked",$E$5:$E$190,"&gt;"&amp;$E14),"")</x:f>
        <x:v>10</x:v>
      </x:c>
      <x:c r="B14" s="22" t="n">
        <x:f>IF($D14="ranked",1+COUNTIFS($D$5:$D$190,"ranked",$F$5:$F$190,"&gt;"&amp;$F14),"")</x:f>
        <x:v>41</x:v>
      </x:c>
      <x:c r="C14" t="str">
        <x:v>gtja_061</x:v>
      </x:c>
      <x:c r="D14" t="str">
        <x:v>ranked</x:v>
      </x:c>
      <x:c r="E14" s="23" t="n">
        <x:f>IF(COUNT(J14,K14)&lt;2,"",AVERAGE(J14,K14))</x:f>
        <x:v>0.05005247458947035</x:v>
      </x:c>
      <x:c r="F14" s="23" t="n">
        <x:f>IF(E14="","",ABS(E14))</x:f>
        <x:v>0.05005247458947035</x:v>
      </x:c>
      <x:c r="G14" s="23" t="str">
        <x:f>IF(E14="","",IF(E14&gt;=0,"positive","negative"))</x:f>
        <x:v>positive</x:v>
      </x:c>
      <x:c r="H14" s="23" t="str">
        <x:f>IF(COUNTIFS('Raw IC'!$A$5:$A$546,$C14,'Raw IC'!$B$5:$B$546,1)=0,"",SUMIFS('Raw IC'!$C$5:$C$546,'Raw IC'!$A$5:$A$546,$C14,'Raw IC'!$B$5:$B$546,1))</x:f>
      </x:c>
      <x:c r="I14" s="23" t="str">
        <x:f>IF(COUNTIFS('Raw IC'!$A$5:$A$546,$C14,'Raw IC'!$B$5:$B$546,5)=0,"",SUMIFS('Raw IC'!$C$5:$C$546,'Raw IC'!$A$5:$A$546,$C14,'Raw IC'!$B$5:$B$546,5))</x:f>
      </x:c>
      <x:c r="J14" s="23" t="n">
        <x:f>IF(COUNTIFS('Raw IC'!$A$5:$A$546,$C14,'Raw IC'!$B$5:$B$546,10)=0,"",SUMIFS('Raw IC'!$C$5:$C$546,'Raw IC'!$A$5:$A$546,$C14,'Raw IC'!$B$5:$B$546,10))</x:f>
        <x:v>0.0476882830147672</x:v>
      </x:c>
      <x:c r="K14" s="23" t="n">
        <x:f>IF(COUNTIFS('Raw IC'!$A$5:$A$546,$C14,'Raw IC'!$B$5:$B$546,20)=0,"",SUMIFS('Raw IC'!$C$5:$C$546,'Raw IC'!$A$5:$A$546,$C14,'Raw IC'!$B$5:$B$546,20))</x:f>
        <x:v>0.0524166661641735</x:v>
      </x:c>
      <x:c r="L14" s="23" t="n">
        <x:f>IF(COUNT(H14:K14)=0,"",AVERAGE(H14:K14))</x:f>
        <x:v>0.05005247458947035</x:v>
      </x:c>
      <x:c r="M14" s="22" t="n">
        <x:f>COUNT(H14:K14)</x:f>
        <x:v>2</x:v>
      </x:c>
      <x:c r="N14" s="25" t="n">
        <x:v>46211.287648680554</x:v>
      </x:c>
      <x:c r="O14" s="24" t="n">
        <x:v>8902245</x:v>
      </x:c>
      <x:c r="P14" t="str">
        <x:v>legacy_common_sample_8902245</x:v>
      </x:c>
      <x:c r="Q14" t="str">
        <x:v>factor_report/gtja191_batch/gtja_061</x:v>
      </x:c>
    </x:row>
    <x:row r="15">
      <x:c r="A15" s="22" t="n">
        <x:f>IF($D15="ranked",1+COUNTIFS($D$5:$D$190,"ranked",$E$5:$E$190,"&gt;"&amp;$E15),"")</x:f>
        <x:v>11</x:v>
      </x:c>
      <x:c r="B15" s="22" t="n">
        <x:f>IF($D15="ranked",1+COUNTIFS($D$5:$D$190,"ranked",$F$5:$F$190,"&gt;"&amp;$F15),"")</x:f>
        <x:v>46</x:v>
      </x:c>
      <x:c r="C15" t="str">
        <x:v>gtja_120</x:v>
      </x:c>
      <x:c r="D15" t="str">
        <x:v>ranked</x:v>
      </x:c>
      <x:c r="E15" s="23" t="n">
        <x:f>IF(COUNT(J15,K15)&lt;2,"",AVERAGE(J15,K15))</x:f>
        <x:v>0.04819388629466793</x:v>
      </x:c>
      <x:c r="F15" s="23" t="n">
        <x:f>IF(E15="","",ABS(E15))</x:f>
        <x:v>0.04819388629466793</x:v>
      </x:c>
      <x:c r="G15" s="23" t="str">
        <x:f>IF(E15="","",IF(E15&gt;=0,"positive","negative"))</x:f>
        <x:v>positive</x:v>
      </x:c>
      <x:c r="H15" s="23" t="str">
        <x:f>IF(COUNTIFS('Raw IC'!$A$5:$A$546,$C15,'Raw IC'!$B$5:$B$546,1)=0,"",SUMIFS('Raw IC'!$C$5:$C$546,'Raw IC'!$A$5:$A$546,$C15,'Raw IC'!$B$5:$B$546,1))</x:f>
      </x:c>
      <x:c r="I15" s="23" t="str">
        <x:f>IF(COUNTIFS('Raw IC'!$A$5:$A$546,$C15,'Raw IC'!$B$5:$B$546,5)=0,"",SUMIFS('Raw IC'!$C$5:$C$546,'Raw IC'!$A$5:$A$546,$C15,'Raw IC'!$B$5:$B$546,5))</x:f>
      </x:c>
      <x:c r="J15" s="23" t="n">
        <x:f>IF(COUNTIFS('Raw IC'!$A$5:$A$546,$C15,'Raw IC'!$B$5:$B$546,10)=0,"",SUMIFS('Raw IC'!$C$5:$C$546,'Raw IC'!$A$5:$A$546,$C15,'Raw IC'!$B$5:$B$546,10))</x:f>
        <x:v>0.04280983328161368</x:v>
      </x:c>
      <x:c r="K15" s="23" t="n">
        <x:f>IF(COUNTIFS('Raw IC'!$A$5:$A$546,$C15,'Raw IC'!$B$5:$B$546,20)=0,"",SUMIFS('Raw IC'!$C$5:$C$546,'Raw IC'!$A$5:$A$546,$C15,'Raw IC'!$B$5:$B$546,20))</x:f>
        <x:v>0.05357793930772217</x:v>
      </x:c>
      <x:c r="L15" s="23" t="n">
        <x:f>IF(COUNT(H15:K15)=0,"",AVERAGE(H15:K15))</x:f>
        <x:v>0.04819388629466793</x:v>
      </x:c>
      <x:c r="M15" s="22" t="n">
        <x:f>COUNT(H15:K15)</x:f>
        <x:v>2</x:v>
      </x:c>
      <x:c r="N15" s="25" t="n">
        <x:v>46211.39541752315</x:v>
      </x:c>
      <x:c r="O15" s="24" t="n">
        <x:v>8902245</x:v>
      </x:c>
      <x:c r="P15" t="str">
        <x:v>legacy_common_sample_8902245</x:v>
      </x:c>
      <x:c r="Q15" t="str">
        <x:v>factor_report/gtja191_batch/gtja_120</x:v>
      </x:c>
    </x:row>
    <x:row r="16">
      <x:c r="A16" s="22" t="n">
        <x:f>IF($D16="ranked",1+COUNTIFS($D$5:$D$190,"ranked",$E$5:$E$190,"&gt;"&amp;$E16),"")</x:f>
        <x:v>12</x:v>
      </x:c>
      <x:c r="B16" s="22" t="n">
        <x:f>IF($D16="ranked",1+COUNTIFS($D$5:$D$190,"ranked",$F$5:$F$190,"&gt;"&amp;$F16),"")</x:f>
        <x:v>47</x:v>
      </x:c>
      <x:c r="C16" t="str">
        <x:v>gtja_157</x:v>
      </x:c>
      <x:c r="D16" t="str">
        <x:v>ranked</x:v>
      </x:c>
      <x:c r="E16" s="23" t="n">
        <x:f>IF(COUNT(J16,K16)&lt;2,"",AVERAGE(J16,K16))</x:f>
        <x:v>0.048021041882097236</x:v>
      </x:c>
      <x:c r="F16" s="23" t="n">
        <x:f>IF(E16="","",ABS(E16))</x:f>
        <x:v>0.048021041882097236</x:v>
      </x:c>
      <x:c r="G16" s="23" t="str">
        <x:f>IF(E16="","",IF(E16&gt;=0,"positive","negative"))</x:f>
        <x:v>positive</x:v>
      </x:c>
      <x:c r="H16" s="23" t="str">
        <x:f>IF(COUNTIFS('Raw IC'!$A$5:$A$546,$C16,'Raw IC'!$B$5:$B$546,1)=0,"",SUMIFS('Raw IC'!$C$5:$C$546,'Raw IC'!$A$5:$A$546,$C16,'Raw IC'!$B$5:$B$546,1))</x:f>
      </x:c>
      <x:c r="I16" s="23" t="str">
        <x:f>IF(COUNTIFS('Raw IC'!$A$5:$A$546,$C16,'Raw IC'!$B$5:$B$546,5)=0,"",SUMIFS('Raw IC'!$C$5:$C$546,'Raw IC'!$A$5:$A$546,$C16,'Raw IC'!$B$5:$B$546,5))</x:f>
      </x:c>
      <x:c r="J16" s="23" t="n">
        <x:f>IF(COUNTIFS('Raw IC'!$A$5:$A$546,$C16,'Raw IC'!$B$5:$B$546,10)=0,"",SUMIFS('Raw IC'!$C$5:$C$546,'Raw IC'!$A$5:$A$546,$C16,'Raw IC'!$B$5:$B$546,10))</x:f>
        <x:v>0.044669140138907784</x:v>
      </x:c>
      <x:c r="K16" s="23" t="n">
        <x:f>IF(COUNTIFS('Raw IC'!$A$5:$A$546,$C16,'Raw IC'!$B$5:$B$546,20)=0,"",SUMIFS('Raw IC'!$C$5:$C$546,'Raw IC'!$A$5:$A$546,$C16,'Raw IC'!$B$5:$B$546,20))</x:f>
        <x:v>0.05137294362528669</x:v>
      </x:c>
      <x:c r="L16" s="23" t="n">
        <x:f>IF(COUNT(H16:K16)=0,"",AVERAGE(H16:K16))</x:f>
        <x:v>0.048021041882097236</x:v>
      </x:c>
      <x:c r="M16" s="22" t="n">
        <x:f>COUNT(H16:K16)</x:f>
        <x:v>2</x:v>
      </x:c>
      <x:c r="N16" s="25" t="n">
        <x:v>46211.50636057871</x:v>
      </x:c>
      <x:c r="O16" s="24" t="n">
        <x:v>8902245</x:v>
      </x:c>
      <x:c r="P16" t="str">
        <x:v>legacy_common_sample_8902245</x:v>
      </x:c>
      <x:c r="Q16" t="str">
        <x:v>factor_report/gtja191_batch/gtja_157</x:v>
      </x:c>
    </x:row>
    <x:row r="17">
      <x:c r="A17" s="22" t="n">
        <x:f>IF($D17="ranked",1+COUNTIFS($D$5:$D$190,"ranked",$E$5:$E$190,"&gt;"&amp;$E17),"")</x:f>
        <x:v>13</x:v>
      </x:c>
      <x:c r="B17" s="22" t="n">
        <x:f>IF($D17="ranked",1+COUNTIFS($D$5:$D$190,"ranked",$F$5:$F$190,"&gt;"&amp;$F17),"")</x:f>
        <x:v>48</x:v>
      </x:c>
      <x:c r="C17" t="str">
        <x:v>gtja_062</x:v>
      </x:c>
      <x:c r="D17" t="str">
        <x:v>ranked</x:v>
      </x:c>
      <x:c r="E17" s="23" t="n">
        <x:f>IF(COUNT(J17,K17)&lt;2,"",AVERAGE(J17,K17))</x:f>
        <x:v>0.04746966503101802</x:v>
      </x:c>
      <x:c r="F17" s="23" t="n">
        <x:f>IF(E17="","",ABS(E17))</x:f>
        <x:v>0.04746966503101802</x:v>
      </x:c>
      <x:c r="G17" s="23" t="str">
        <x:f>IF(E17="","",IF(E17&gt;=0,"positive","negative"))</x:f>
        <x:v>positive</x:v>
      </x:c>
      <x:c r="H17" s="23" t="str">
        <x:f>IF(COUNTIFS('Raw IC'!$A$5:$A$546,$C17,'Raw IC'!$B$5:$B$546,1)=0,"",SUMIFS('Raw IC'!$C$5:$C$546,'Raw IC'!$A$5:$A$546,$C17,'Raw IC'!$B$5:$B$546,1))</x:f>
      </x:c>
      <x:c r="I17" s="23" t="str">
        <x:f>IF(COUNTIFS('Raw IC'!$A$5:$A$546,$C17,'Raw IC'!$B$5:$B$546,5)=0,"",SUMIFS('Raw IC'!$C$5:$C$546,'Raw IC'!$A$5:$A$546,$C17,'Raw IC'!$B$5:$B$546,5))</x:f>
      </x:c>
      <x:c r="J17" s="23" t="n">
        <x:f>IF(COUNTIFS('Raw IC'!$A$5:$A$546,$C17,'Raw IC'!$B$5:$B$546,10)=0,"",SUMIFS('Raw IC'!$C$5:$C$546,'Raw IC'!$A$5:$A$546,$C17,'Raw IC'!$B$5:$B$546,10))</x:f>
        <x:v>0.045392270522241325</x:v>
      </x:c>
      <x:c r="K17" s="23" t="n">
        <x:f>IF(COUNTIFS('Raw IC'!$A$5:$A$546,$C17,'Raw IC'!$B$5:$B$546,20)=0,"",SUMIFS('Raw IC'!$C$5:$C$546,'Raw IC'!$A$5:$A$546,$C17,'Raw IC'!$B$5:$B$546,20))</x:f>
        <x:v>0.04954705953979472</x:v>
      </x:c>
      <x:c r="L17" s="23" t="n">
        <x:f>IF(COUNT(H17:K17)=0,"",AVERAGE(H17:K17))</x:f>
        <x:v>0.04746966503101802</x:v>
      </x:c>
      <x:c r="M17" s="22" t="n">
        <x:f>COUNT(H17:K17)</x:f>
        <x:v>2</x:v>
      </x:c>
      <x:c r="N17" s="25" t="n">
        <x:v>46211.290294004626</x:v>
      </x:c>
      <x:c r="O17" s="24" t="n">
        <x:v>8902245</x:v>
      </x:c>
      <x:c r="P17" t="str">
        <x:v>legacy_common_sample_8902245</x:v>
      </x:c>
      <x:c r="Q17" t="str">
        <x:v>factor_report/gtja191_batch/gtja_062</x:v>
      </x:c>
    </x:row>
    <x:row r="18">
      <x:c r="A18" s="22" t="n">
        <x:f>IF($D18="ranked",1+COUNTIFS($D$5:$D$190,"ranked",$E$5:$E$190,"&gt;"&amp;$E18),"")</x:f>
        <x:v>14</x:v>
      </x:c>
      <x:c r="B18" s="22" t="n">
        <x:f>IF($D18="ranked",1+COUNTIFS($D$5:$D$190,"ranked",$F$5:$F$190,"&gt;"&amp;$F18),"")</x:f>
        <x:v>55</x:v>
      </x:c>
      <x:c r="C18" t="str">
        <x:v>gtja_046</x:v>
      </x:c>
      <x:c r="D18" t="str">
        <x:v>ranked</x:v>
      </x:c>
      <x:c r="E18" s="23" t="n">
        <x:f>IF(COUNT(J18,K18)&lt;2,"",AVERAGE(J18,K18))</x:f>
        <x:v>0.045882674610856655</x:v>
      </x:c>
      <x:c r="F18" s="23" t="n">
        <x:f>IF(E18="","",ABS(E18))</x:f>
        <x:v>0.045882674610856655</x:v>
      </x:c>
      <x:c r="G18" s="23" t="str">
        <x:f>IF(E18="","",IF(E18&gt;=0,"positive","negative"))</x:f>
        <x:v>positive</x:v>
      </x:c>
      <x:c r="H18" s="23" t="str">
        <x:f>IF(COUNTIFS('Raw IC'!$A$5:$A$546,$C18,'Raw IC'!$B$5:$B$546,1)=0,"",SUMIFS('Raw IC'!$C$5:$C$546,'Raw IC'!$A$5:$A$546,$C18,'Raw IC'!$B$5:$B$546,1))</x:f>
      </x:c>
      <x:c r="I18" s="23" t="str">
        <x:f>IF(COUNTIFS('Raw IC'!$A$5:$A$546,$C18,'Raw IC'!$B$5:$B$546,5)=0,"",SUMIFS('Raw IC'!$C$5:$C$546,'Raw IC'!$A$5:$A$546,$C18,'Raw IC'!$B$5:$B$546,5))</x:f>
      </x:c>
      <x:c r="J18" s="23" t="n">
        <x:f>IF(COUNTIFS('Raw IC'!$A$5:$A$546,$C18,'Raw IC'!$B$5:$B$546,10)=0,"",SUMIFS('Raw IC'!$C$5:$C$546,'Raw IC'!$A$5:$A$546,$C18,'Raw IC'!$B$5:$B$546,10))</x:f>
        <x:v>0.04280589597514839</x:v>
      </x:c>
      <x:c r="K18" s="23" t="n">
        <x:f>IF(COUNTIFS('Raw IC'!$A$5:$A$546,$C18,'Raw IC'!$B$5:$B$546,20)=0,"",SUMIFS('Raw IC'!$C$5:$C$546,'Raw IC'!$A$5:$A$546,$C18,'Raw IC'!$B$5:$B$546,20))</x:f>
        <x:v>0.04895945324656493</x:v>
      </x:c>
      <x:c r="L18" s="23" t="n">
        <x:f>IF(COUNT(H18:K18)=0,"",AVERAGE(H18:K18))</x:f>
        <x:v>0.045882674610856655</x:v>
      </x:c>
      <x:c r="M18" s="22" t="n">
        <x:f>COUNT(H18:K18)</x:f>
        <x:v>2</x:v>
      </x:c>
      <x:c r="N18" s="25" t="n">
        <x:v>46211.26878402778</x:v>
      </x:c>
      <x:c r="O18" s="24" t="n">
        <x:v>8902245</x:v>
      </x:c>
      <x:c r="P18" t="str">
        <x:v>legacy_common_sample_8902245</x:v>
      </x:c>
      <x:c r="Q18" t="str">
        <x:v>factor_report/gtja191_batch/gtja_046</x:v>
      </x:c>
    </x:row>
    <x:row r="19">
      <x:c r="A19" s="22" t="n">
        <x:f>IF($D19="ranked",1+COUNTIFS($D$5:$D$190,"ranked",$E$5:$E$190,"&gt;"&amp;$E19),"")</x:f>
        <x:v>15</x:v>
      </x:c>
      <x:c r="B19" s="22" t="n">
        <x:f>IF($D19="ranked",1+COUNTIFS($D$5:$D$190,"ranked",$F$5:$F$190,"&gt;"&amp;$F19),"")</x:f>
        <x:v>59</x:v>
      </x:c>
      <x:c r="C19" t="str">
        <x:v>gtja_016</x:v>
      </x:c>
      <x:c r="D19" t="str">
        <x:v>ranked</x:v>
      </x:c>
      <x:c r="E19" s="23" t="n">
        <x:f>IF(COUNT(J19,K19)&lt;2,"",AVERAGE(J19,K19))</x:f>
        <x:v>0.044369222289614346</x:v>
      </x:c>
      <x:c r="F19" s="23" t="n">
        <x:f>IF(E19="","",ABS(E19))</x:f>
        <x:v>0.044369222289614346</x:v>
      </x:c>
      <x:c r="G19" s="23" t="str">
        <x:f>IF(E19="","",IF(E19&gt;=0,"positive","negative"))</x:f>
        <x:v>positive</x:v>
      </x:c>
      <x:c r="H19" s="23" t="str">
        <x:f>IF(COUNTIFS('Raw IC'!$A$5:$A$546,$C19,'Raw IC'!$B$5:$B$546,1)=0,"",SUMIFS('Raw IC'!$C$5:$C$546,'Raw IC'!$A$5:$A$546,$C19,'Raw IC'!$B$5:$B$546,1))</x:f>
      </x:c>
      <x:c r="I19" s="23" t="str">
        <x:f>IF(COUNTIFS('Raw IC'!$A$5:$A$546,$C19,'Raw IC'!$B$5:$B$546,5)=0,"",SUMIFS('Raw IC'!$C$5:$C$546,'Raw IC'!$A$5:$A$546,$C19,'Raw IC'!$B$5:$B$546,5))</x:f>
      </x:c>
      <x:c r="J19" s="23" t="n">
        <x:f>IF(COUNTIFS('Raw IC'!$A$5:$A$546,$C19,'Raw IC'!$B$5:$B$546,10)=0,"",SUMIFS('Raw IC'!$C$5:$C$546,'Raw IC'!$A$5:$A$546,$C19,'Raw IC'!$B$5:$B$546,10))</x:f>
        <x:v>0.04278155068223139</x:v>
      </x:c>
      <x:c r="K19" s="23" t="n">
        <x:f>IF(COUNTIFS('Raw IC'!$A$5:$A$546,$C19,'Raw IC'!$B$5:$B$546,20)=0,"",SUMIFS('Raw IC'!$C$5:$C$546,'Raw IC'!$A$5:$A$546,$C19,'Raw IC'!$B$5:$B$546,20))</x:f>
        <x:v>0.045956893896997295</x:v>
      </x:c>
      <x:c r="L19" s="23" t="n">
        <x:f>IF(COUNT(H19:K19)=0,"",AVERAGE(H19:K19))</x:f>
        <x:v>0.044369222289614346</x:v>
      </x:c>
      <x:c r="M19" s="22" t="n">
        <x:f>COUNT(H19:K19)</x:f>
        <x:v>2</x:v>
      </x:c>
      <x:c r="N19" s="25" t="n">
        <x:v>46211.19679032407</x:v>
      </x:c>
      <x:c r="O19" s="24" t="n">
        <x:v>8902245</x:v>
      </x:c>
      <x:c r="P19" t="str">
        <x:v>legacy_common_sample_8902245</x:v>
      </x:c>
      <x:c r="Q19" t="str">
        <x:v>factor_report/gtja191_batch/gtja_016</x:v>
      </x:c>
    </x:row>
    <x:row r="20">
      <x:c r="A20" s="22" t="n">
        <x:f>IF($D20="ranked",1+COUNTIFS($D$5:$D$190,"ranked",$E$5:$E$190,"&gt;"&amp;$E20),"")</x:f>
        <x:v>16</x:v>
      </x:c>
      <x:c r="B20" s="22" t="n">
        <x:f>IF($D20="ranked",1+COUNTIFS($D$5:$D$190,"ranked",$F$5:$F$190,"&gt;"&amp;$F20),"")</x:f>
        <x:v>63</x:v>
      </x:c>
      <x:c r="C20" t="str">
        <x:v>gtja_090</x:v>
      </x:c>
      <x:c r="D20" t="str">
        <x:v>ranked</x:v>
      </x:c>
      <x:c r="E20" s="23" t="n">
        <x:f>IF(COUNT(J20,K20)&lt;2,"",AVERAGE(J20,K20))</x:f>
        <x:v>0.04270141162116102</x:v>
      </x:c>
      <x:c r="F20" s="23" t="n">
        <x:f>IF(E20="","",ABS(E20))</x:f>
        <x:v>0.04270141162116102</x:v>
      </x:c>
      <x:c r="G20" s="23" t="str">
        <x:f>IF(E20="","",IF(E20&gt;=0,"positive","negative"))</x:f>
        <x:v>positive</x:v>
      </x:c>
      <x:c r="H20" s="23" t="str">
        <x:f>IF(COUNTIFS('Raw IC'!$A$5:$A$546,$C20,'Raw IC'!$B$5:$B$546,1)=0,"",SUMIFS('Raw IC'!$C$5:$C$546,'Raw IC'!$A$5:$A$546,$C20,'Raw IC'!$B$5:$B$546,1))</x:f>
      </x:c>
      <x:c r="I20" s="23" t="str">
        <x:f>IF(COUNTIFS('Raw IC'!$A$5:$A$546,$C20,'Raw IC'!$B$5:$B$546,5)=0,"",SUMIFS('Raw IC'!$C$5:$C$546,'Raw IC'!$A$5:$A$546,$C20,'Raw IC'!$B$5:$B$546,5))</x:f>
      </x:c>
      <x:c r="J20" s="23" t="n">
        <x:f>IF(COUNTIFS('Raw IC'!$A$5:$A$546,$C20,'Raw IC'!$B$5:$B$546,10)=0,"",SUMIFS('Raw IC'!$C$5:$C$546,'Raw IC'!$A$5:$A$546,$C20,'Raw IC'!$B$5:$B$546,10))</x:f>
        <x:v>0.04144801085758182</x:v>
      </x:c>
      <x:c r="K20" s="23" t="n">
        <x:f>IF(COUNTIFS('Raw IC'!$A$5:$A$546,$C20,'Raw IC'!$B$5:$B$546,20)=0,"",SUMIFS('Raw IC'!$C$5:$C$546,'Raw IC'!$A$5:$A$546,$C20,'Raw IC'!$B$5:$B$546,20))</x:f>
        <x:v>0.043954812384740215</x:v>
      </x:c>
      <x:c r="L20" s="23" t="n">
        <x:f>IF(COUNT(H20:K20)=0,"",AVERAGE(H20:K20))</x:f>
        <x:v>0.04270141162116102</x:v>
      </x:c>
      <x:c r="M20" s="22" t="n">
        <x:f>COUNT(H20:K20)</x:f>
        <x:v>2</x:v>
      </x:c>
      <x:c r="N20" s="25" t="n">
        <x:v>46211.33284847222</x:v>
      </x:c>
      <x:c r="O20" s="24" t="n">
        <x:v>8902245</x:v>
      </x:c>
      <x:c r="P20" t="str">
        <x:v>legacy_common_sample_8902245</x:v>
      </x:c>
      <x:c r="Q20" t="str">
        <x:v>factor_report/gtja191_batch/gtja_090</x:v>
      </x:c>
    </x:row>
    <x:row r="21">
      <x:c r="A21" s="22" t="n">
        <x:f>IF($D21="ranked",1+COUNTIFS($D$5:$D$190,"ranked",$E$5:$E$190,"&gt;"&amp;$E21),"")</x:f>
        <x:v>17</x:v>
      </x:c>
      <x:c r="B21" s="22" t="n">
        <x:f>IF($D21="ranked",1+COUNTIFS($D$5:$D$190,"ranked",$F$5:$F$190,"&gt;"&amp;$F21),"")</x:f>
        <x:v>65</x:v>
      </x:c>
      <x:c r="C21" t="str">
        <x:v>gtja_034</x:v>
      </x:c>
      <x:c r="D21" t="str">
        <x:v>ranked</x:v>
      </x:c>
      <x:c r="E21" s="23" t="n">
        <x:f>IF(COUNT(J21,K21)&lt;2,"",AVERAGE(J21,K21))</x:f>
        <x:v>0.04097223392941261</x:v>
      </x:c>
      <x:c r="F21" s="23" t="n">
        <x:f>IF(E21="","",ABS(E21))</x:f>
        <x:v>0.04097223392941261</x:v>
      </x:c>
      <x:c r="G21" s="23" t="str">
        <x:f>IF(E21="","",IF(E21&gt;=0,"positive","negative"))</x:f>
        <x:v>positive</x:v>
      </x:c>
      <x:c r="H21" s="23" t="str">
        <x:f>IF(COUNTIFS('Raw IC'!$A$5:$A$546,$C21,'Raw IC'!$B$5:$B$546,1)=0,"",SUMIFS('Raw IC'!$C$5:$C$546,'Raw IC'!$A$5:$A$546,$C21,'Raw IC'!$B$5:$B$546,1))</x:f>
      </x:c>
      <x:c r="I21" s="23" t="str">
        <x:f>IF(COUNTIFS('Raw IC'!$A$5:$A$546,$C21,'Raw IC'!$B$5:$B$546,5)=0,"",SUMIFS('Raw IC'!$C$5:$C$546,'Raw IC'!$A$5:$A$546,$C21,'Raw IC'!$B$5:$B$546,5))</x:f>
      </x:c>
      <x:c r="J21" s="23" t="n">
        <x:f>IF(COUNTIFS('Raw IC'!$A$5:$A$546,$C21,'Raw IC'!$B$5:$B$546,10)=0,"",SUMIFS('Raw IC'!$C$5:$C$546,'Raw IC'!$A$5:$A$546,$C21,'Raw IC'!$B$5:$B$546,10))</x:f>
        <x:v>0.03805878762791508</x:v>
      </x:c>
      <x:c r="K21" s="23" t="n">
        <x:f>IF(COUNTIFS('Raw IC'!$A$5:$A$546,$C21,'Raw IC'!$B$5:$B$546,20)=0,"",SUMIFS('Raw IC'!$C$5:$C$546,'Raw IC'!$A$5:$A$546,$C21,'Raw IC'!$B$5:$B$546,20))</x:f>
        <x:v>0.04388568023091014</x:v>
      </x:c>
      <x:c r="L21" s="23" t="n">
        <x:f>IF(COUNT(H21:K21)=0,"",AVERAGE(H21:K21))</x:f>
        <x:v>0.04097223392941261</x:v>
      </x:c>
      <x:c r="M21" s="22" t="n">
        <x:f>COUNT(H21:K21)</x:f>
        <x:v>2</x:v>
      </x:c>
      <x:c r="N21" s="25" t="n">
        <x:v>46211.230695833336</x:v>
      </x:c>
      <x:c r="O21" s="24" t="n">
        <x:v>8902245</x:v>
      </x:c>
      <x:c r="P21" t="str">
        <x:v>legacy_common_sample_8902245</x:v>
      </x:c>
      <x:c r="Q21" t="str">
        <x:v>factor_report/gtja191_batch/gtja_034</x:v>
      </x:c>
    </x:row>
    <x:row r="22">
      <x:c r="A22" s="22" t="n">
        <x:f>IF($D22="ranked",1+COUNTIFS($D$5:$D$190,"ranked",$E$5:$E$190,"&gt;"&amp;$E22),"")</x:f>
        <x:v>18</x:v>
      </x:c>
      <x:c r="B22" s="22" t="n">
        <x:f>IF($D22="ranked",1+COUNTIFS($D$5:$D$190,"ranked",$F$5:$F$190,"&gt;"&amp;$F22),"")</x:f>
        <x:v>66</x:v>
      </x:c>
      <x:c r="C22" t="str">
        <x:v>gtja_185</x:v>
      </x:c>
      <x:c r="D22" t="str">
        <x:v>ranked</x:v>
      </x:c>
      <x:c r="E22" s="23" t="n">
        <x:f>IF(COUNT(J22,K22)&lt;2,"",AVERAGE(J22,K22))</x:f>
        <x:v>0.040907559536478205</x:v>
      </x:c>
      <x:c r="F22" s="23" t="n">
        <x:f>IF(E22="","",ABS(E22))</x:f>
        <x:v>0.040907559536478205</x:v>
      </x:c>
      <x:c r="G22" s="23" t="str">
        <x:f>IF(E22="","",IF(E22&gt;=0,"positive","negative"))</x:f>
        <x:v>positive</x:v>
      </x:c>
      <x:c r="H22" s="23" t="str">
        <x:f>IF(COUNTIFS('Raw IC'!$A$5:$A$546,$C22,'Raw IC'!$B$5:$B$546,1)=0,"",SUMIFS('Raw IC'!$C$5:$C$546,'Raw IC'!$A$5:$A$546,$C22,'Raw IC'!$B$5:$B$546,1))</x:f>
      </x:c>
      <x:c r="I22" s="23" t="str">
        <x:f>IF(COUNTIFS('Raw IC'!$A$5:$A$546,$C22,'Raw IC'!$B$5:$B$546,5)=0,"",SUMIFS('Raw IC'!$C$5:$C$546,'Raw IC'!$A$5:$A$546,$C22,'Raw IC'!$B$5:$B$546,5))</x:f>
      </x:c>
      <x:c r="J22" s="23" t="n">
        <x:f>IF(COUNTIFS('Raw IC'!$A$5:$A$546,$C22,'Raw IC'!$B$5:$B$546,10)=0,"",SUMIFS('Raw IC'!$C$5:$C$546,'Raw IC'!$A$5:$A$546,$C22,'Raw IC'!$B$5:$B$546,10))</x:f>
        <x:v>0.03876024836720656</x:v>
      </x:c>
      <x:c r="K22" s="23" t="n">
        <x:f>IF(COUNTIFS('Raw IC'!$A$5:$A$546,$C22,'Raw IC'!$B$5:$B$546,20)=0,"",SUMIFS('Raw IC'!$C$5:$C$546,'Raw IC'!$A$5:$A$546,$C22,'Raw IC'!$B$5:$B$546,20))</x:f>
        <x:v>0.04305487070574985</x:v>
      </x:c>
      <x:c r="L22" s="23" t="n">
        <x:f>IF(COUNT(H22:K22)=0,"",AVERAGE(H22:K22))</x:f>
        <x:v>0.040907559536478205</x:v>
      </x:c>
      <x:c r="M22" s="22" t="n">
        <x:f>COUNT(H22:K22)</x:f>
        <x:v>2</x:v>
      </x:c>
      <x:c r="N22" s="25" t="n">
        <x:v>46211.545996712965</x:v>
      </x:c>
      <x:c r="O22" s="24" t="n">
        <x:v>8902245</x:v>
      </x:c>
      <x:c r="P22" t="str">
        <x:v>legacy_common_sample_8902245</x:v>
      </x:c>
      <x:c r="Q22" t="str">
        <x:v>factor_report/gtja191_batch/gtja_185</x:v>
      </x:c>
    </x:row>
    <x:row r="23">
      <x:c r="A23" s="22" t="n">
        <x:f>IF($D23="ranked",1+COUNTIFS($D$5:$D$190,"ranked",$E$5:$E$190,"&gt;"&amp;$E23),"")</x:f>
        <x:v>19</x:v>
      </x:c>
      <x:c r="B23" s="22" t="n">
        <x:f>IF($D23="ranked",1+COUNTIFS($D$5:$D$190,"ranked",$F$5:$F$190,"&gt;"&amp;$F23),"")</x:f>
        <x:v>68</x:v>
      </x:c>
      <x:c r="C23" t="str">
        <x:v>gtja_077</x:v>
      </x:c>
      <x:c r="D23" t="str">
        <x:v>ranked</x:v>
      </x:c>
      <x:c r="E23" s="23" t="n">
        <x:f>IF(COUNT(J23,K23)&lt;2,"",AVERAGE(J23,K23))</x:f>
        <x:v>0.03895846138695752</x:v>
      </x:c>
      <x:c r="F23" s="23" t="n">
        <x:f>IF(E23="","",ABS(E23))</x:f>
        <x:v>0.03895846138695752</x:v>
      </x:c>
      <x:c r="G23" s="23" t="str">
        <x:f>IF(E23="","",IF(E23&gt;=0,"positive","negative"))</x:f>
        <x:v>positive</x:v>
      </x:c>
      <x:c r="H23" s="23" t="str">
        <x:f>IF(COUNTIFS('Raw IC'!$A$5:$A$546,$C23,'Raw IC'!$B$5:$B$546,1)=0,"",SUMIFS('Raw IC'!$C$5:$C$546,'Raw IC'!$A$5:$A$546,$C23,'Raw IC'!$B$5:$B$546,1))</x:f>
      </x:c>
      <x:c r="I23" s="23" t="str">
        <x:f>IF(COUNTIFS('Raw IC'!$A$5:$A$546,$C23,'Raw IC'!$B$5:$B$546,5)=0,"",SUMIFS('Raw IC'!$C$5:$C$546,'Raw IC'!$A$5:$A$546,$C23,'Raw IC'!$B$5:$B$546,5))</x:f>
      </x:c>
      <x:c r="J23" s="23" t="n">
        <x:f>IF(COUNTIFS('Raw IC'!$A$5:$A$546,$C23,'Raw IC'!$B$5:$B$546,10)=0,"",SUMIFS('Raw IC'!$C$5:$C$546,'Raw IC'!$A$5:$A$546,$C23,'Raw IC'!$B$5:$B$546,10))</x:f>
        <x:v>0.035037501642073206</x:v>
      </x:c>
      <x:c r="K23" s="23" t="n">
        <x:f>IF(COUNTIFS('Raw IC'!$A$5:$A$546,$C23,'Raw IC'!$B$5:$B$546,20)=0,"",SUMIFS('Raw IC'!$C$5:$C$546,'Raw IC'!$A$5:$A$546,$C23,'Raw IC'!$B$5:$B$546,20))</x:f>
        <x:v>0.04287942113184183</x:v>
      </x:c>
      <x:c r="L23" s="23" t="n">
        <x:f>IF(COUNT(H23:K23)=0,"",AVERAGE(H23:K23))</x:f>
        <x:v>0.03895846138695752</x:v>
      </x:c>
      <x:c r="M23" s="22" t="n">
        <x:f>COUNT(H23:K23)</x:f>
        <x:v>2</x:v>
      </x:c>
      <x:c r="N23" s="25" t="n">
        <x:v>46211.309369814815</x:v>
      </x:c>
      <x:c r="O23" s="24" t="n">
        <x:v>8902245</x:v>
      </x:c>
      <x:c r="P23" t="str">
        <x:v>legacy_common_sample_8902245</x:v>
      </x:c>
      <x:c r="Q23" t="str">
        <x:v>factor_report/gtja191_batch/gtja_077</x:v>
      </x:c>
    </x:row>
    <x:row r="24">
      <x:c r="A24" s="22" t="n">
        <x:f>IF($D24="ranked",1+COUNTIFS($D$5:$D$190,"ranked",$E$5:$E$190,"&gt;"&amp;$E24),"")</x:f>
        <x:v>20</x:v>
      </x:c>
      <x:c r="B24" s="22" t="n">
        <x:f>IF($D24="ranked",1+COUNTIFS($D$5:$D$190,"ranked",$F$5:$F$190,"&gt;"&amp;$F24),"")</x:f>
        <x:v>71</x:v>
      </x:c>
      <x:c r="C24" t="str">
        <x:v>gtja_105</x:v>
      </x:c>
      <x:c r="D24" t="str">
        <x:v>ranked</x:v>
      </x:c>
      <x:c r="E24" s="23" t="n">
        <x:f>IF(COUNT(J24,K24)&lt;2,"",AVERAGE(J24,K24))</x:f>
        <x:v>0.03831983376407983</x:v>
      </x:c>
      <x:c r="F24" s="23" t="n">
        <x:f>IF(E24="","",ABS(E24))</x:f>
        <x:v>0.03831983376407983</x:v>
      </x:c>
      <x:c r="G24" s="23" t="str">
        <x:f>IF(E24="","",IF(E24&gt;=0,"positive","negative"))</x:f>
        <x:v>positive</x:v>
      </x:c>
      <x:c r="H24" s="23" t="str">
        <x:f>IF(COUNTIFS('Raw IC'!$A$5:$A$546,$C24,'Raw IC'!$B$5:$B$546,1)=0,"",SUMIFS('Raw IC'!$C$5:$C$546,'Raw IC'!$A$5:$A$546,$C24,'Raw IC'!$B$5:$B$546,1))</x:f>
      </x:c>
      <x:c r="I24" s="23" t="str">
        <x:f>IF(COUNTIFS('Raw IC'!$A$5:$A$546,$C24,'Raw IC'!$B$5:$B$546,5)=0,"",SUMIFS('Raw IC'!$C$5:$C$546,'Raw IC'!$A$5:$A$546,$C24,'Raw IC'!$B$5:$B$546,5))</x:f>
      </x:c>
      <x:c r="J24" s="23" t="n">
        <x:f>IF(COUNTIFS('Raw IC'!$A$5:$A$546,$C24,'Raw IC'!$B$5:$B$546,10)=0,"",SUMIFS('Raw IC'!$C$5:$C$546,'Raw IC'!$A$5:$A$546,$C24,'Raw IC'!$B$5:$B$546,10))</x:f>
        <x:v>0.03704915011384955</x:v>
      </x:c>
      <x:c r="K24" s="23" t="n">
        <x:f>IF(COUNTIFS('Raw IC'!$A$5:$A$546,$C24,'Raw IC'!$B$5:$B$546,20)=0,"",SUMIFS('Raw IC'!$C$5:$C$546,'Raw IC'!$A$5:$A$546,$C24,'Raw IC'!$B$5:$B$546,20))</x:f>
        <x:v>0.03959051741431011</x:v>
      </x:c>
      <x:c r="L24" s="23" t="n">
        <x:f>IF(COUNT(H24:K24)=0,"",AVERAGE(H24:K24))</x:f>
        <x:v>0.03831983376407983</x:v>
      </x:c>
      <x:c r="M24" s="22" t="n">
        <x:f>COUNT(H24:K24)</x:f>
        <x:v>2</x:v>
      </x:c>
      <x:c r="N24" s="25" t="n">
        <x:v>46211.35838456018</x:v>
      </x:c>
      <x:c r="O24" s="24" t="n">
        <x:v>8902245</x:v>
      </x:c>
      <x:c r="P24" t="str">
        <x:v>legacy_common_sample_8902245</x:v>
      </x:c>
      <x:c r="Q24" t="str">
        <x:v>factor_report/gtja191_batch/gtja_105</x:v>
      </x:c>
    </x:row>
    <x:row r="25">
      <x:c r="A25" s="22" t="n">
        <x:f>IF($D25="ranked",1+COUNTIFS($D$5:$D$190,"ranked",$E$5:$E$190,"&gt;"&amp;$E25),"")</x:f>
        <x:v>21</x:v>
      </x:c>
      <x:c r="B25" s="22" t="n">
        <x:f>IF($D25="ranked",1+COUNTIFS($D$5:$D$190,"ranked",$F$5:$F$190,"&gt;"&amp;$F25),"")</x:f>
        <x:v>74</x:v>
      </x:c>
      <x:c r="C25" t="str">
        <x:v>gtja_049</x:v>
      </x:c>
      <x:c r="D25" t="str">
        <x:v>ranked</x:v>
      </x:c>
      <x:c r="E25" s="23" t="n">
        <x:f>IF(COUNT(J25,K25)&lt;2,"",AVERAGE(J25,K25))</x:f>
        <x:v>0.037629138306026905</x:v>
      </x:c>
      <x:c r="F25" s="23" t="n">
        <x:f>IF(E25="","",ABS(E25))</x:f>
        <x:v>0.037629138306026905</x:v>
      </x:c>
      <x:c r="G25" s="23" t="str">
        <x:f>IF(E25="","",IF(E25&gt;=0,"positive","negative"))</x:f>
        <x:v>positive</x:v>
      </x:c>
      <x:c r="H25" s="23" t="str">
        <x:f>IF(COUNTIFS('Raw IC'!$A$5:$A$546,$C25,'Raw IC'!$B$5:$B$546,1)=0,"",SUMIFS('Raw IC'!$C$5:$C$546,'Raw IC'!$A$5:$A$546,$C25,'Raw IC'!$B$5:$B$546,1))</x:f>
      </x:c>
      <x:c r="I25" s="23" t="str">
        <x:f>IF(COUNTIFS('Raw IC'!$A$5:$A$546,$C25,'Raw IC'!$B$5:$B$546,5)=0,"",SUMIFS('Raw IC'!$C$5:$C$546,'Raw IC'!$A$5:$A$546,$C25,'Raw IC'!$B$5:$B$546,5))</x:f>
      </x:c>
      <x:c r="J25" s="23" t="n">
        <x:f>IF(COUNTIFS('Raw IC'!$A$5:$A$546,$C25,'Raw IC'!$B$5:$B$546,10)=0,"",SUMIFS('Raw IC'!$C$5:$C$546,'Raw IC'!$A$5:$A$546,$C25,'Raw IC'!$B$5:$B$546,10))</x:f>
        <x:v>0.03477123378486243</x:v>
      </x:c>
      <x:c r="K25" s="23" t="n">
        <x:f>IF(COUNTIFS('Raw IC'!$A$5:$A$546,$C25,'Raw IC'!$B$5:$B$546,20)=0,"",SUMIFS('Raw IC'!$C$5:$C$546,'Raw IC'!$A$5:$A$546,$C25,'Raw IC'!$B$5:$B$546,20))</x:f>
        <x:v>0.04048704282719138</x:v>
      </x:c>
      <x:c r="L25" s="23" t="n">
        <x:f>IF(COUNT(H25:K25)=0,"",AVERAGE(H25:K25))</x:f>
        <x:v>0.037629138306026905</x:v>
      </x:c>
      <x:c r="M25" s="22" t="n">
        <x:f>COUNT(H25:K25)</x:f>
        <x:v>2</x:v>
      </x:c>
      <x:c r="N25" s="25" t="n">
        <x:v>46211.27667114583</x:v>
      </x:c>
      <x:c r="O25" s="24" t="n">
        <x:v>8902245</x:v>
      </x:c>
      <x:c r="P25" t="str">
        <x:v>legacy_common_sample_8902245</x:v>
      </x:c>
      <x:c r="Q25" t="str">
        <x:v>factor_report/gtja191_batch/gtja_049</x:v>
      </x:c>
    </x:row>
    <x:row r="26">
      <x:c r="A26" s="22" t="n">
        <x:f>IF($D26="ranked",1+COUNTIFS($D$5:$D$190,"ranked",$E$5:$E$190,"&gt;"&amp;$E26),"")</x:f>
        <x:v>22</x:v>
      </x:c>
      <x:c r="B26" s="22" t="n">
        <x:f>IF($D26="ranked",1+COUNTIFS($D$5:$D$190,"ranked",$F$5:$F$190,"&gt;"&amp;$F26),"")</x:f>
        <x:v>78</x:v>
      </x:c>
      <x:c r="C26" t="str">
        <x:v>gtja_032</x:v>
      </x:c>
      <x:c r="D26" t="str">
        <x:v>ranked</x:v>
      </x:c>
      <x:c r="E26" s="23" t="n">
        <x:f>IF(COUNT(J26,K26)&lt;2,"",AVERAGE(J26,K26))</x:f>
        <x:v>0.03690366409112193</x:v>
      </x:c>
      <x:c r="F26" s="23" t="n">
        <x:f>IF(E26="","",ABS(E26))</x:f>
        <x:v>0.03690366409112193</x:v>
      </x:c>
      <x:c r="G26" s="23" t="str">
        <x:f>IF(E26="","",IF(E26&gt;=0,"positive","negative"))</x:f>
        <x:v>positive</x:v>
      </x:c>
      <x:c r="H26" s="23" t="str">
        <x:f>IF(COUNTIFS('Raw IC'!$A$5:$A$546,$C26,'Raw IC'!$B$5:$B$546,1)=0,"",SUMIFS('Raw IC'!$C$5:$C$546,'Raw IC'!$A$5:$A$546,$C26,'Raw IC'!$B$5:$B$546,1))</x:f>
      </x:c>
      <x:c r="I26" s="23" t="str">
        <x:f>IF(COUNTIFS('Raw IC'!$A$5:$A$546,$C26,'Raw IC'!$B$5:$B$546,5)=0,"",SUMIFS('Raw IC'!$C$5:$C$546,'Raw IC'!$A$5:$A$546,$C26,'Raw IC'!$B$5:$B$546,5))</x:f>
      </x:c>
      <x:c r="J26" s="23" t="n">
        <x:f>IF(COUNTIFS('Raw IC'!$A$5:$A$546,$C26,'Raw IC'!$B$5:$B$546,10)=0,"",SUMIFS('Raw IC'!$C$5:$C$546,'Raw IC'!$A$5:$A$546,$C26,'Raw IC'!$B$5:$B$546,10))</x:f>
        <x:v>0.03607090076309309</x:v>
      </x:c>
      <x:c r="K26" s="23" t="n">
        <x:f>IF(COUNTIFS('Raw IC'!$A$5:$A$546,$C26,'Raw IC'!$B$5:$B$546,20)=0,"",SUMIFS('Raw IC'!$C$5:$C$546,'Raw IC'!$A$5:$A$546,$C26,'Raw IC'!$B$5:$B$546,20))</x:f>
        <x:v>0.03773642741915077</x:v>
      </x:c>
      <x:c r="L26" s="23" t="n">
        <x:f>IF(COUNT(H26:K26)=0,"",AVERAGE(H26:K26))</x:f>
        <x:v>0.03690366409112193</x:v>
      </x:c>
      <x:c r="M26" s="22" t="n">
        <x:f>COUNT(H26:K26)</x:f>
        <x:v>2</x:v>
      </x:c>
      <x:c r="N26" s="25" t="n">
        <x:v>46211.2231158912</x:v>
      </x:c>
      <x:c r="O26" s="24" t="n">
        <x:v>8902245</x:v>
      </x:c>
      <x:c r="P26" t="str">
        <x:v>legacy_common_sample_8902245</x:v>
      </x:c>
      <x:c r="Q26" t="str">
        <x:v>factor_report/gtja191_batch/gtja_032</x:v>
      </x:c>
    </x:row>
    <x:row r="27">
      <x:c r="A27" s="22" t="n">
        <x:f>IF($D27="ranked",1+COUNTIFS($D$5:$D$190,"ranked",$E$5:$E$190,"&gt;"&amp;$E27),"")</x:f>
        <x:v>23</x:v>
      </x:c>
      <x:c r="B27" s="22" t="n">
        <x:f>IF($D27="ranked",1+COUNTIFS($D$5:$D$190,"ranked",$F$5:$F$190,"&gt;"&amp;$F27),"")</x:f>
        <x:v>79</x:v>
      </x:c>
      <x:c r="C27" t="str">
        <x:v>gtja_139</x:v>
      </x:c>
      <x:c r="D27" t="str">
        <x:v>ranked</x:v>
      </x:c>
      <x:c r="E27" s="23" t="n">
        <x:f>IF(COUNT(J27,K27)&lt;2,"",AVERAGE(J27,K27))</x:f>
        <x:v>0.03678334888224108</x:v>
      </x:c>
      <x:c r="F27" s="23" t="n">
        <x:f>IF(E27="","",ABS(E27))</x:f>
        <x:v>0.03678334888224108</x:v>
      </x:c>
      <x:c r="G27" s="23" t="str">
        <x:f>IF(E27="","",IF(E27&gt;=0,"positive","negative"))</x:f>
        <x:v>positive</x:v>
      </x:c>
      <x:c r="H27" s="23" t="str">
        <x:f>IF(COUNTIFS('Raw IC'!$A$5:$A$546,$C27,'Raw IC'!$B$5:$B$546,1)=0,"",SUMIFS('Raw IC'!$C$5:$C$546,'Raw IC'!$A$5:$A$546,$C27,'Raw IC'!$B$5:$B$546,1))</x:f>
      </x:c>
      <x:c r="I27" s="23" t="str">
        <x:f>IF(COUNTIFS('Raw IC'!$A$5:$A$546,$C27,'Raw IC'!$B$5:$B$546,5)=0,"",SUMIFS('Raw IC'!$C$5:$C$546,'Raw IC'!$A$5:$A$546,$C27,'Raw IC'!$B$5:$B$546,5))</x:f>
      </x:c>
      <x:c r="J27" s="23" t="n">
        <x:f>IF(COUNTIFS('Raw IC'!$A$5:$A$546,$C27,'Raw IC'!$B$5:$B$546,10)=0,"",SUMIFS('Raw IC'!$C$5:$C$546,'Raw IC'!$A$5:$A$546,$C27,'Raw IC'!$B$5:$B$546,10))</x:f>
        <x:v>0.033631748401149325</x:v>
      </x:c>
      <x:c r="K27" s="23" t="n">
        <x:f>IF(COUNTIFS('Raw IC'!$A$5:$A$546,$C27,'Raw IC'!$B$5:$B$546,20)=0,"",SUMIFS('Raw IC'!$C$5:$C$546,'Raw IC'!$A$5:$A$546,$C27,'Raw IC'!$B$5:$B$546,20))</x:f>
        <x:v>0.03993494936333283</x:v>
      </x:c>
      <x:c r="L27" s="23" t="n">
        <x:f>IF(COUNT(H27:K27)=0,"",AVERAGE(H27:K27))</x:f>
        <x:v>0.03678334888224108</x:v>
      </x:c>
      <x:c r="M27" s="22" t="n">
        <x:f>COUNT(H27:K27)</x:f>
        <x:v>2</x:v>
      </x:c>
      <x:c r="N27" s="25" t="n">
        <x:v>46211.435147662036</x:v>
      </x:c>
      <x:c r="O27" s="24" t="n">
        <x:v>8902245</x:v>
      </x:c>
      <x:c r="P27" t="str">
        <x:v>legacy_common_sample_8902245</x:v>
      </x:c>
      <x:c r="Q27" t="str">
        <x:v>factor_report/gtja191_batch/gtja_139</x:v>
      </x:c>
    </x:row>
    <x:row r="28">
      <x:c r="A28" s="22" t="n">
        <x:f>IF($D28="ranked",1+COUNTIFS($D$5:$D$190,"ranked",$E$5:$E$190,"&gt;"&amp;$E28),"")</x:f>
        <x:v>24</x:v>
      </x:c>
      <x:c r="B28" s="22" t="n">
        <x:f>IF($D28="ranked",1+COUNTIFS($D$5:$D$190,"ranked",$F$5:$F$190,"&gt;"&amp;$F28),"")</x:f>
        <x:v>80</x:v>
      </x:c>
      <x:c r="C28" t="str">
        <x:v>gtja_035</x:v>
      </x:c>
      <x:c r="D28" t="str">
        <x:v>ranked</x:v>
      </x:c>
      <x:c r="E28" s="23" t="n">
        <x:f>IF(COUNT(J28,K28)&lt;2,"",AVERAGE(J28,K28))</x:f>
        <x:v>0.03651149865619051</x:v>
      </x:c>
      <x:c r="F28" s="23" t="n">
        <x:f>IF(E28="","",ABS(E28))</x:f>
        <x:v>0.03651149865619051</x:v>
      </x:c>
      <x:c r="G28" s="23" t="str">
        <x:f>IF(E28="","",IF(E28&gt;=0,"positive","negative"))</x:f>
        <x:v>positive</x:v>
      </x:c>
      <x:c r="H28" s="23" t="str">
        <x:f>IF(COUNTIFS('Raw IC'!$A$5:$A$546,$C28,'Raw IC'!$B$5:$B$546,1)=0,"",SUMIFS('Raw IC'!$C$5:$C$546,'Raw IC'!$A$5:$A$546,$C28,'Raw IC'!$B$5:$B$546,1))</x:f>
      </x:c>
      <x:c r="I28" s="23" t="str">
        <x:f>IF(COUNTIFS('Raw IC'!$A$5:$A$546,$C28,'Raw IC'!$B$5:$B$546,5)=0,"",SUMIFS('Raw IC'!$C$5:$C$546,'Raw IC'!$A$5:$A$546,$C28,'Raw IC'!$B$5:$B$546,5))</x:f>
      </x:c>
      <x:c r="J28" s="23" t="n">
        <x:f>IF(COUNTIFS('Raw IC'!$A$5:$A$546,$C28,'Raw IC'!$B$5:$B$546,10)=0,"",SUMIFS('Raw IC'!$C$5:$C$546,'Raw IC'!$A$5:$A$546,$C28,'Raw IC'!$B$5:$B$546,10))</x:f>
        <x:v>0.033680898953476535</x:v>
      </x:c>
      <x:c r="K28" s="23" t="n">
        <x:f>IF(COUNTIFS('Raw IC'!$A$5:$A$546,$C28,'Raw IC'!$B$5:$B$546,20)=0,"",SUMIFS('Raw IC'!$C$5:$C$546,'Raw IC'!$A$5:$A$546,$C28,'Raw IC'!$B$5:$B$546,20))</x:f>
        <x:v>0.03934209835890449</x:v>
      </x:c>
      <x:c r="L28" s="23" t="n">
        <x:f>IF(COUNT(H28:K28)=0,"",AVERAGE(H28:K28))</x:f>
        <x:v>0.03651149865619051</x:v>
      </x:c>
      <x:c r="M28" s="22" t="n">
        <x:f>COUNT(H28:K28)</x:f>
        <x:v>2</x:v>
      </x:c>
      <x:c r="N28" s="25" t="n">
        <x:v>46211.2335940162</x:v>
      </x:c>
      <x:c r="O28" s="24" t="n">
        <x:v>8902245</x:v>
      </x:c>
      <x:c r="P28" t="str">
        <x:v>legacy_common_sample_8902245</x:v>
      </x:c>
      <x:c r="Q28" t="str">
        <x:v>factor_report/gtja191_batch/gtja_035</x:v>
      </x:c>
    </x:row>
    <x:row r="29">
      <x:c r="A29" s="22" t="n">
        <x:f>IF($D29="ranked",1+COUNTIFS($D$5:$D$190,"ranked",$E$5:$E$190,"&gt;"&amp;$E29),"")</x:f>
        <x:v>25</x:v>
      </x:c>
      <x:c r="B29" s="22" t="n">
        <x:f>IF($D29="ranked",1+COUNTIFS($D$5:$D$190,"ranked",$F$5:$F$190,"&gt;"&amp;$F29),"")</x:f>
        <x:v>85</x:v>
      </x:c>
      <x:c r="C29" t="str">
        <x:v>gtja_064</x:v>
      </x:c>
      <x:c r="D29" t="str">
        <x:v>ranked</x:v>
      </x:c>
      <x:c r="E29" s="23" t="n">
        <x:f>IF(COUNT(J29,K29)&lt;2,"",AVERAGE(J29,K29))</x:f>
        <x:v>0.0361918130929062</x:v>
      </x:c>
      <x:c r="F29" s="23" t="n">
        <x:f>IF(E29="","",ABS(E29))</x:f>
        <x:v>0.0361918130929062</x:v>
      </x:c>
      <x:c r="G29" s="23" t="str">
        <x:f>IF(E29="","",IF(E29&gt;=0,"positive","negative"))</x:f>
        <x:v>positive</x:v>
      </x:c>
      <x:c r="H29" s="23" t="str">
        <x:f>IF(COUNTIFS('Raw IC'!$A$5:$A$546,$C29,'Raw IC'!$B$5:$B$546,1)=0,"",SUMIFS('Raw IC'!$C$5:$C$546,'Raw IC'!$A$5:$A$546,$C29,'Raw IC'!$B$5:$B$546,1))</x:f>
      </x:c>
      <x:c r="I29" s="23" t="str">
        <x:f>IF(COUNTIFS('Raw IC'!$A$5:$A$546,$C29,'Raw IC'!$B$5:$B$546,5)=0,"",SUMIFS('Raw IC'!$C$5:$C$546,'Raw IC'!$A$5:$A$546,$C29,'Raw IC'!$B$5:$B$546,5))</x:f>
      </x:c>
      <x:c r="J29" s="23" t="n">
        <x:f>IF(COUNTIFS('Raw IC'!$A$5:$A$546,$C29,'Raw IC'!$B$5:$B$546,10)=0,"",SUMIFS('Raw IC'!$C$5:$C$546,'Raw IC'!$A$5:$A$546,$C29,'Raw IC'!$B$5:$B$546,10))</x:f>
        <x:v>0.035302286603448786</x:v>
      </x:c>
      <x:c r="K29" s="23" t="n">
        <x:f>IF(COUNTIFS('Raw IC'!$A$5:$A$546,$C29,'Raw IC'!$B$5:$B$546,20)=0,"",SUMIFS('Raw IC'!$C$5:$C$546,'Raw IC'!$A$5:$A$546,$C29,'Raw IC'!$B$5:$B$546,20))</x:f>
        <x:v>0.03708133958236362</x:v>
      </x:c>
      <x:c r="L29" s="23" t="n">
        <x:f>IF(COUNT(H29:K29)=0,"",AVERAGE(H29:K29))</x:f>
        <x:v>0.0361918130929062</x:v>
      </x:c>
      <x:c r="M29" s="22" t="n">
        <x:f>COUNT(H29:K29)</x:f>
        <x:v>2</x:v>
      </x:c>
      <x:c r="N29" s="25" t="n">
        <x:v>46211.2933559838</x:v>
      </x:c>
      <x:c r="O29" s="24" t="n">
        <x:v>8902245</x:v>
      </x:c>
      <x:c r="P29" t="str">
        <x:v>legacy_common_sample_8902245</x:v>
      </x:c>
      <x:c r="Q29" t="str">
        <x:v>factor_report/gtja191_batch/gtja_064</x:v>
      </x:c>
    </x:row>
    <x:row r="30">
      <x:c r="A30" s="22" t="n">
        <x:f>IF($D30="ranked",1+COUNTIFS($D$5:$D$190,"ranked",$E$5:$E$190,"&gt;"&amp;$E30),"")</x:f>
        <x:v>26</x:v>
      </x:c>
      <x:c r="B30" s="22" t="n">
        <x:f>IF($D30="ranked",1+COUNTIFS($D$5:$D$190,"ranked",$F$5:$F$190,"&gt;"&amp;$F30),"")</x:f>
        <x:v>88</x:v>
      </x:c>
      <x:c r="C30" t="str">
        <x:v>gtja_103</x:v>
      </x:c>
      <x:c r="D30" t="str">
        <x:v>ranked</x:v>
      </x:c>
      <x:c r="E30" s="23" t="n">
        <x:f>IF(COUNT(J30,K30)&lt;2,"",AVERAGE(J30,K30))</x:f>
        <x:v>0.035603472303413417</x:v>
      </x:c>
      <x:c r="F30" s="23" t="n">
        <x:f>IF(E30="","",ABS(E30))</x:f>
        <x:v>0.035603472303413417</x:v>
      </x:c>
      <x:c r="G30" s="23" t="str">
        <x:f>IF(E30="","",IF(E30&gt;=0,"positive","negative"))</x:f>
        <x:v>positive</x:v>
      </x:c>
      <x:c r="H30" s="23" t="str">
        <x:f>IF(COUNTIFS('Raw IC'!$A$5:$A$546,$C30,'Raw IC'!$B$5:$B$546,1)=0,"",SUMIFS('Raw IC'!$C$5:$C$546,'Raw IC'!$A$5:$A$546,$C30,'Raw IC'!$B$5:$B$546,1))</x:f>
      </x:c>
      <x:c r="I30" s="23" t="str">
        <x:f>IF(COUNTIFS('Raw IC'!$A$5:$A$546,$C30,'Raw IC'!$B$5:$B$546,5)=0,"",SUMIFS('Raw IC'!$C$5:$C$546,'Raw IC'!$A$5:$A$546,$C30,'Raw IC'!$B$5:$B$546,5))</x:f>
      </x:c>
      <x:c r="J30" s="23" t="n">
        <x:f>IF(COUNTIFS('Raw IC'!$A$5:$A$546,$C30,'Raw IC'!$B$5:$B$546,10)=0,"",SUMIFS('Raw IC'!$C$5:$C$546,'Raw IC'!$A$5:$A$546,$C30,'Raw IC'!$B$5:$B$546,10))</x:f>
        <x:v>0.03330244144600269</x:v>
      </x:c>
      <x:c r="K30" s="23" t="n">
        <x:f>IF(COUNTIFS('Raw IC'!$A$5:$A$546,$C30,'Raw IC'!$B$5:$B$546,20)=0,"",SUMIFS('Raw IC'!$C$5:$C$546,'Raw IC'!$A$5:$A$546,$C30,'Raw IC'!$B$5:$B$546,20))</x:f>
        <x:v>0.03790450316082415</x:v>
      </x:c>
      <x:c r="L30" s="23" t="n">
        <x:f>IF(COUNT(H30:K30)=0,"",AVERAGE(H30:K30))</x:f>
        <x:v>0.035603472303413417</x:v>
      </x:c>
      <x:c r="M30" s="22" t="n">
        <x:f>COUNT(H30:K30)</x:f>
        <x:v>2</x:v>
      </x:c>
      <x:c r="N30" s="25" t="n">
        <x:v>46211.35333019676</x:v>
      </x:c>
      <x:c r="O30" s="24" t="n">
        <x:v>8902245</x:v>
      </x:c>
      <x:c r="P30" t="str">
        <x:v>legacy_common_sample_8902245</x:v>
      </x:c>
      <x:c r="Q30" t="str">
        <x:v>factor_report/gtja191_batch/gtja_103</x:v>
      </x:c>
    </x:row>
    <x:row r="31">
      <x:c r="A31" s="22" t="n">
        <x:f>IF($D31="ranked",1+COUNTIFS($D$5:$D$190,"ranked",$E$5:$E$190,"&gt;"&amp;$E31),"")</x:f>
        <x:v>27</x:v>
      </x:c>
      <x:c r="B31" s="22" t="n">
        <x:f>IF($D31="ranked",1+COUNTIFS($D$5:$D$190,"ranked",$F$5:$F$190,"&gt;"&amp;$F31),"")</x:f>
        <x:v>90</x:v>
      </x:c>
      <x:c r="C31" t="str">
        <x:v>gtja_054</x:v>
      </x:c>
      <x:c r="D31" t="str">
        <x:v>ranked</x:v>
      </x:c>
      <x:c r="E31" s="23" t="n">
        <x:f>IF(COUNT(J31,K31)&lt;2,"",AVERAGE(J31,K31))</x:f>
        <x:v>0.034599562670454075</x:v>
      </x:c>
      <x:c r="F31" s="23" t="n">
        <x:f>IF(E31="","",ABS(E31))</x:f>
        <x:v>0.034599562670454075</x:v>
      </x:c>
      <x:c r="G31" s="23" t="str">
        <x:f>IF(E31="","",IF(E31&gt;=0,"positive","negative"))</x:f>
        <x:v>positive</x:v>
      </x:c>
      <x:c r="H31" s="23" t="str">
        <x:f>IF(COUNTIFS('Raw IC'!$A$5:$A$546,$C31,'Raw IC'!$B$5:$B$546,1)=0,"",SUMIFS('Raw IC'!$C$5:$C$546,'Raw IC'!$A$5:$A$546,$C31,'Raw IC'!$B$5:$B$546,1))</x:f>
      </x:c>
      <x:c r="I31" s="23" t="str">
        <x:f>IF(COUNTIFS('Raw IC'!$A$5:$A$546,$C31,'Raw IC'!$B$5:$B$546,5)=0,"",SUMIFS('Raw IC'!$C$5:$C$546,'Raw IC'!$A$5:$A$546,$C31,'Raw IC'!$B$5:$B$546,5))</x:f>
      </x:c>
      <x:c r="J31" s="23" t="n">
        <x:f>IF(COUNTIFS('Raw IC'!$A$5:$A$546,$C31,'Raw IC'!$B$5:$B$546,10)=0,"",SUMIFS('Raw IC'!$C$5:$C$546,'Raw IC'!$A$5:$A$546,$C31,'Raw IC'!$B$5:$B$546,10))</x:f>
        <x:v>0.030596478125827956</x:v>
      </x:c>
      <x:c r="K31" s="23" t="n">
        <x:f>IF(COUNTIFS('Raw IC'!$A$5:$A$546,$C31,'Raw IC'!$B$5:$B$546,20)=0,"",SUMIFS('Raw IC'!$C$5:$C$546,'Raw IC'!$A$5:$A$546,$C31,'Raw IC'!$B$5:$B$546,20))</x:f>
        <x:v>0.038602647215080194</x:v>
      </x:c>
      <x:c r="L31" s="23" t="n">
        <x:f>IF(COUNT(H31:K31)=0,"",AVERAGE(H31:K31))</x:f>
        <x:v>0.034599562670454075</x:v>
      </x:c>
      <x:c r="M31" s="22" t="n">
        <x:f>COUNT(H31:K31)</x:f>
        <x:v>2</x:v>
      </x:c>
      <x:c r="N31" s="25" t="n">
        <x:v>46211.27909778935</x:v>
      </x:c>
      <x:c r="O31" s="24" t="n">
        <x:v>8902245</x:v>
      </x:c>
      <x:c r="P31" t="str">
        <x:v>legacy_common_sample_8902245</x:v>
      </x:c>
      <x:c r="Q31" t="str">
        <x:v>factor_report/gtja191_batch/gtja_054</x:v>
      </x:c>
    </x:row>
    <x:row r="32">
      <x:c r="A32" s="22" t="n">
        <x:f>IF($D32="ranked",1+COUNTIFS($D$5:$D$190,"ranked",$E$5:$E$190,"&gt;"&amp;$E32),"")</x:f>
        <x:v>28</x:v>
      </x:c>
      <x:c r="B32" s="22" t="n">
        <x:f>IF($D32="ranked",1+COUNTIFS($D$5:$D$190,"ranked",$F$5:$F$190,"&gt;"&amp;$F32),"")</x:f>
        <x:v>92</x:v>
      </x:c>
      <x:c r="C32" t="str">
        <x:v>gtja_148</x:v>
      </x:c>
      <x:c r="D32" t="str">
        <x:v>ranked</x:v>
      </x:c>
      <x:c r="E32" s="23" t="n">
        <x:f>IF(COUNT(J32,K32)&lt;2,"",AVERAGE(J32,K32))</x:f>
        <x:v>0.03386492570293785</x:v>
      </x:c>
      <x:c r="F32" s="23" t="n">
        <x:f>IF(E32="","",ABS(E32))</x:f>
        <x:v>0.03386492570293785</x:v>
      </x:c>
      <x:c r="G32" s="23" t="str">
        <x:f>IF(E32="","",IF(E32&gt;=0,"positive","negative"))</x:f>
        <x:v>positive</x:v>
      </x:c>
      <x:c r="H32" s="23" t="str">
        <x:f>IF(COUNTIFS('Raw IC'!$A$5:$A$546,$C32,'Raw IC'!$B$5:$B$546,1)=0,"",SUMIFS('Raw IC'!$C$5:$C$546,'Raw IC'!$A$5:$A$546,$C32,'Raw IC'!$B$5:$B$546,1))</x:f>
      </x:c>
      <x:c r="I32" s="23" t="str">
        <x:f>IF(COUNTIFS('Raw IC'!$A$5:$A$546,$C32,'Raw IC'!$B$5:$B$546,5)=0,"",SUMIFS('Raw IC'!$C$5:$C$546,'Raw IC'!$A$5:$A$546,$C32,'Raw IC'!$B$5:$B$546,5))</x:f>
      </x:c>
      <x:c r="J32" s="23" t="n">
        <x:f>IF(COUNTIFS('Raw IC'!$A$5:$A$546,$C32,'Raw IC'!$B$5:$B$546,10)=0,"",SUMIFS('Raw IC'!$C$5:$C$546,'Raw IC'!$A$5:$A$546,$C32,'Raw IC'!$B$5:$B$546,10))</x:f>
        <x:v>0.029721592729636395</x:v>
      </x:c>
      <x:c r="K32" s="23" t="n">
        <x:f>IF(COUNTIFS('Raw IC'!$A$5:$A$546,$C32,'Raw IC'!$B$5:$B$546,20)=0,"",SUMIFS('Raw IC'!$C$5:$C$546,'Raw IC'!$A$5:$A$546,$C32,'Raw IC'!$B$5:$B$546,20))</x:f>
        <x:v>0.03800825867623931</x:v>
      </x:c>
      <x:c r="L32" s="23" t="n">
        <x:f>IF(COUNT(H32:K32)=0,"",AVERAGE(H32:K32))</x:f>
        <x:v>0.03386492570293785</x:v>
      </x:c>
      <x:c r="M32" s="22" t="n">
        <x:f>COUNT(H32:K32)</x:f>
        <x:v>2</x:v>
      </x:c>
      <x:c r="N32" s="25" t="n">
        <x:v>46211.47057563657</x:v>
      </x:c>
      <x:c r="O32" s="24" t="n">
        <x:v>8902245</x:v>
      </x:c>
      <x:c r="P32" t="str">
        <x:v>legacy_common_sample_8902245</x:v>
      </x:c>
      <x:c r="Q32" t="str">
        <x:v>factor_report/gtja191_batch/gtja_148</x:v>
      </x:c>
    </x:row>
    <x:row r="33">
      <x:c r="A33" s="22" t="n">
        <x:f>IF($D33="ranked",1+COUNTIFS($D$5:$D$190,"ranked",$E$5:$E$190,"&gt;"&amp;$E33),"")</x:f>
        <x:v>29</x:v>
      </x:c>
      <x:c r="B33" s="22" t="n">
        <x:f>IF($D33="ranked",1+COUNTIFS($D$5:$D$190,"ranked",$F$5:$F$190,"&gt;"&amp;$F33),"")</x:f>
        <x:v>94</x:v>
      </x:c>
      <x:c r="C33" t="str">
        <x:v>gtja_154</x:v>
      </x:c>
      <x:c r="D33" t="str">
        <x:v>ranked</x:v>
      </x:c>
      <x:c r="E33" s="23" t="n">
        <x:f>IF(COUNT(J33,K33)&lt;2,"",AVERAGE(J33,K33))</x:f>
        <x:v>0.033595946595229624</x:v>
      </x:c>
      <x:c r="F33" s="23" t="n">
        <x:f>IF(E33="","",ABS(E33))</x:f>
        <x:v>0.033595946595229624</x:v>
      </x:c>
      <x:c r="G33" s="23" t="str">
        <x:f>IF(E33="","",IF(E33&gt;=0,"positive","negative"))</x:f>
        <x:v>positive</x:v>
      </x:c>
      <x:c r="H33" s="23" t="str">
        <x:f>IF(COUNTIFS('Raw IC'!$A$5:$A$546,$C33,'Raw IC'!$B$5:$B$546,1)=0,"",SUMIFS('Raw IC'!$C$5:$C$546,'Raw IC'!$A$5:$A$546,$C33,'Raw IC'!$B$5:$B$546,1))</x:f>
      </x:c>
      <x:c r="I33" s="23" t="str">
        <x:f>IF(COUNTIFS('Raw IC'!$A$5:$A$546,$C33,'Raw IC'!$B$5:$B$546,5)=0,"",SUMIFS('Raw IC'!$C$5:$C$546,'Raw IC'!$A$5:$A$546,$C33,'Raw IC'!$B$5:$B$546,5))</x:f>
      </x:c>
      <x:c r="J33" s="23" t="n">
        <x:f>IF(COUNTIFS('Raw IC'!$A$5:$A$546,$C33,'Raw IC'!$B$5:$B$546,10)=0,"",SUMIFS('Raw IC'!$C$5:$C$546,'Raw IC'!$A$5:$A$546,$C33,'Raw IC'!$B$5:$B$546,10))</x:f>
        <x:v>0.029524560602556423</x:v>
      </x:c>
      <x:c r="K33" s="23" t="n">
        <x:f>IF(COUNTIFS('Raw IC'!$A$5:$A$546,$C33,'Raw IC'!$B$5:$B$546,20)=0,"",SUMIFS('Raw IC'!$C$5:$C$546,'Raw IC'!$A$5:$A$546,$C33,'Raw IC'!$B$5:$B$546,20))</x:f>
        <x:v>0.03766733258790282</x:v>
      </x:c>
      <x:c r="L33" s="23" t="n">
        <x:f>IF(COUNT(H33:K33)=0,"",AVERAGE(H33:K33))</x:f>
        <x:v>0.033595946595229624</x:v>
      </x:c>
      <x:c r="M33" s="22" t="n">
        <x:f>COUNT(H33:K33)</x:f>
        <x:v>2</x:v>
      </x:c>
      <x:c r="N33" s="25" t="n">
        <x:v>46211.49520696759</x:v>
      </x:c>
      <x:c r="O33" s="24" t="n">
        <x:v>8902245</x:v>
      </x:c>
      <x:c r="P33" t="str">
        <x:v>legacy_common_sample_8902245</x:v>
      </x:c>
      <x:c r="Q33" t="str">
        <x:v>factor_report/gtja191_batch/gtja_154</x:v>
      </x:c>
    </x:row>
    <x:row r="34">
      <x:c r="A34" s="22" t="n">
        <x:f>IF($D34="ranked",1+COUNTIFS($D$5:$D$190,"ranked",$E$5:$E$190,"&gt;"&amp;$E34),"")</x:f>
        <x:v>30</x:v>
      </x:c>
      <x:c r="B34" s="22" t="n">
        <x:f>IF($D34="ranked",1+COUNTIFS($D$5:$D$190,"ranked",$F$5:$F$190,"&gt;"&amp;$F34),"")</x:f>
        <x:v>99</x:v>
      </x:c>
      <x:c r="C34" t="str">
        <x:v>gtja_098</x:v>
      </x:c>
      <x:c r="D34" t="str">
        <x:v>ranked</x:v>
      </x:c>
      <x:c r="E34" s="23" t="n">
        <x:f>IF(COUNT(J34,K34)&lt;2,"",AVERAGE(J34,K34))</x:f>
        <x:v>0.032065623804523255</x:v>
      </x:c>
      <x:c r="F34" s="23" t="n">
        <x:f>IF(E34="","",ABS(E34))</x:f>
        <x:v>0.032065623804523255</x:v>
      </x:c>
      <x:c r="G34" s="23" t="str">
        <x:f>IF(E34="","",IF(E34&gt;=0,"positive","negative"))</x:f>
        <x:v>positive</x:v>
      </x:c>
      <x:c r="H34" s="23" t="str">
        <x:f>IF(COUNTIFS('Raw IC'!$A$5:$A$546,$C34,'Raw IC'!$B$5:$B$546,1)=0,"",SUMIFS('Raw IC'!$C$5:$C$546,'Raw IC'!$A$5:$A$546,$C34,'Raw IC'!$B$5:$B$546,1))</x:f>
      </x:c>
      <x:c r="I34" s="23" t="str">
        <x:f>IF(COUNTIFS('Raw IC'!$A$5:$A$546,$C34,'Raw IC'!$B$5:$B$546,5)=0,"",SUMIFS('Raw IC'!$C$5:$C$546,'Raw IC'!$A$5:$A$546,$C34,'Raw IC'!$B$5:$B$546,5))</x:f>
      </x:c>
      <x:c r="J34" s="23" t="n">
        <x:f>IF(COUNTIFS('Raw IC'!$A$5:$A$546,$C34,'Raw IC'!$B$5:$B$546,10)=0,"",SUMIFS('Raw IC'!$C$5:$C$546,'Raw IC'!$A$5:$A$546,$C34,'Raw IC'!$B$5:$B$546,10))</x:f>
        <x:v>0.029519967003921076</x:v>
      </x:c>
      <x:c r="K34" s="23" t="n">
        <x:f>IF(COUNTIFS('Raw IC'!$A$5:$A$546,$C34,'Raw IC'!$B$5:$B$546,20)=0,"",SUMIFS('Raw IC'!$C$5:$C$546,'Raw IC'!$A$5:$A$546,$C34,'Raw IC'!$B$5:$B$546,20))</x:f>
        <x:v>0.03461128060512544</x:v>
      </x:c>
      <x:c r="L34" s="23" t="n">
        <x:f>IF(COUNT(H34:K34)=0,"",AVERAGE(H34:K34))</x:f>
        <x:v>0.032065623804523255</x:v>
      </x:c>
      <x:c r="M34" s="22" t="n">
        <x:f>COUNT(H34:K34)</x:f>
        <x:v>2</x:v>
      </x:c>
      <x:c r="N34" s="25" t="n">
        <x:v>46211.34572662037</x:v>
      </x:c>
      <x:c r="O34" s="24" t="n">
        <x:v>8902245</x:v>
      </x:c>
      <x:c r="P34" t="str">
        <x:v>legacy_common_sample_8902245</x:v>
      </x:c>
      <x:c r="Q34" t="str">
        <x:v>factor_report/gtja191_batch/gtja_098</x:v>
      </x:c>
    </x:row>
    <x:row r="35">
      <x:c r="A35" s="22" t="n">
        <x:f>IF($D35="ranked",1+COUNTIFS($D$5:$D$190,"ranked",$E$5:$E$190,"&gt;"&amp;$E35),"")</x:f>
        <x:v>31</x:v>
      </x:c>
      <x:c r="B35" s="22" t="n">
        <x:f>IF($D35="ranked",1+COUNTIFS($D$5:$D$190,"ranked",$F$5:$F$190,"&gt;"&amp;$F35),"")</x:f>
        <x:v>100</x:v>
      </x:c>
      <x:c r="C35" t="str">
        <x:v>gtja_033</x:v>
      </x:c>
      <x:c r="D35" t="str">
        <x:v>ranked</x:v>
      </x:c>
      <x:c r="E35" s="23" t="n">
        <x:f>IF(COUNT(J35,K35)&lt;2,"",AVERAGE(J35,K35))</x:f>
        <x:v>0.03137870673932631</x:v>
      </x:c>
      <x:c r="F35" s="23" t="n">
        <x:f>IF(E35="","",ABS(E35))</x:f>
        <x:v>0.03137870673932631</x:v>
      </x:c>
      <x:c r="G35" s="23" t="str">
        <x:f>IF(E35="","",IF(E35&gt;=0,"positive","negative"))</x:f>
        <x:v>positive</x:v>
      </x:c>
      <x:c r="H35" s="23" t="str">
        <x:f>IF(COUNTIFS('Raw IC'!$A$5:$A$546,$C35,'Raw IC'!$B$5:$B$546,1)=0,"",SUMIFS('Raw IC'!$C$5:$C$546,'Raw IC'!$A$5:$A$546,$C35,'Raw IC'!$B$5:$B$546,1))</x:f>
      </x:c>
      <x:c r="I35" s="23" t="str">
        <x:f>IF(COUNTIFS('Raw IC'!$A$5:$A$546,$C35,'Raw IC'!$B$5:$B$546,5)=0,"",SUMIFS('Raw IC'!$C$5:$C$546,'Raw IC'!$A$5:$A$546,$C35,'Raw IC'!$B$5:$B$546,5))</x:f>
      </x:c>
      <x:c r="J35" s="23" t="n">
        <x:f>IF(COUNTIFS('Raw IC'!$A$5:$A$546,$C35,'Raw IC'!$B$5:$B$546,10)=0,"",SUMIFS('Raw IC'!$C$5:$C$546,'Raw IC'!$A$5:$A$546,$C35,'Raw IC'!$B$5:$B$546,10))</x:f>
        <x:v>0.030623947788683107</x:v>
      </x:c>
      <x:c r="K35" s="23" t="n">
        <x:f>IF(COUNTIFS('Raw IC'!$A$5:$A$546,$C35,'Raw IC'!$B$5:$B$546,20)=0,"",SUMIFS('Raw IC'!$C$5:$C$546,'Raw IC'!$A$5:$A$546,$C35,'Raw IC'!$B$5:$B$546,20))</x:f>
        <x:v>0.03213346568996951</x:v>
      </x:c>
      <x:c r="L35" s="23" t="n">
        <x:f>IF(COUNT(H35:K35)=0,"",AVERAGE(H35:K35))</x:f>
        <x:v>0.03137870673932631</x:v>
      </x:c>
      <x:c r="M35" s="22" t="n">
        <x:f>COUNT(H35:K35)</x:f>
        <x:v>2</x:v>
      </x:c>
      <x:c r="N35" s="25" t="n">
        <x:v>46211.22782114583</x:v>
      </x:c>
      <x:c r="O35" s="24" t="n">
        <x:v>8902245</x:v>
      </x:c>
      <x:c r="P35" t="str">
        <x:v>legacy_common_sample_8902245</x:v>
      </x:c>
      <x:c r="Q35" t="str">
        <x:v>factor_report/gtja191_batch/gtja_033</x:v>
      </x:c>
    </x:row>
    <x:row r="36">
      <x:c r="A36" s="22" t="n">
        <x:f>IF($D36="ranked",1+COUNTIFS($D$5:$D$190,"ranked",$E$5:$E$190,"&gt;"&amp;$E36),"")</x:f>
        <x:v>32</x:v>
      </x:c>
      <x:c r="B36" s="22" t="n">
        <x:f>IF($D36="ranked",1+COUNTIFS($D$5:$D$190,"ranked",$F$5:$F$190,"&gt;"&amp;$F36),"")</x:f>
        <x:v>102</x:v>
      </x:c>
      <x:c r="C36" t="str">
        <x:v>gtja_166</x:v>
      </x:c>
      <x:c r="D36" t="str">
        <x:v>ranked</x:v>
      </x:c>
      <x:c r="E36" s="23" t="n">
        <x:f>IF(COUNT(J36,K36)&lt;2,"",AVERAGE(J36,K36))</x:f>
        <x:v>0.03120219059041838</x:v>
      </x:c>
      <x:c r="F36" s="23" t="n">
        <x:f>IF(E36="","",ABS(E36))</x:f>
        <x:v>0.03120219059041838</x:v>
      </x:c>
      <x:c r="G36" s="23" t="str">
        <x:f>IF(E36="","",IF(E36&gt;=0,"positive","negative"))</x:f>
        <x:v>positive</x:v>
      </x:c>
      <x:c r="H36" s="23" t="str">
        <x:f>IF(COUNTIFS('Raw IC'!$A$5:$A$546,$C36,'Raw IC'!$B$5:$B$546,1)=0,"",SUMIFS('Raw IC'!$C$5:$C$546,'Raw IC'!$A$5:$A$546,$C36,'Raw IC'!$B$5:$B$546,1))</x:f>
      </x:c>
      <x:c r="I36" s="23" t="str">
        <x:f>IF(COUNTIFS('Raw IC'!$A$5:$A$546,$C36,'Raw IC'!$B$5:$B$546,5)=0,"",SUMIFS('Raw IC'!$C$5:$C$546,'Raw IC'!$A$5:$A$546,$C36,'Raw IC'!$B$5:$B$546,5))</x:f>
      </x:c>
      <x:c r="J36" s="23" t="n">
        <x:f>IF(COUNTIFS('Raw IC'!$A$5:$A$546,$C36,'Raw IC'!$B$5:$B$546,10)=0,"",SUMIFS('Raw IC'!$C$5:$C$546,'Raw IC'!$A$5:$A$546,$C36,'Raw IC'!$B$5:$B$546,10))</x:f>
        <x:v>0.030843813362062756</x:v>
      </x:c>
      <x:c r="K36" s="23" t="n">
        <x:f>IF(COUNTIFS('Raw IC'!$A$5:$A$546,$C36,'Raw IC'!$B$5:$B$546,20)=0,"",SUMIFS('Raw IC'!$C$5:$C$546,'Raw IC'!$A$5:$A$546,$C36,'Raw IC'!$B$5:$B$546,20))</x:f>
        <x:v>0.031560567818774</x:v>
      </x:c>
      <x:c r="L36" s="23" t="n">
        <x:f>IF(COUNT(H36:K36)=0,"",AVERAGE(H36:K36))</x:f>
        <x:v>0.03120219059041838</x:v>
      </x:c>
      <x:c r="M36" s="22" t="n">
        <x:f>COUNT(H36:K36)</x:f>
        <x:v>2</x:v>
      </x:c>
      <x:c r="N36" s="25" t="n">
        <x:v>46211.52024034722</x:v>
      </x:c>
      <x:c r="O36" s="24" t="n">
        <x:v>8902245</x:v>
      </x:c>
      <x:c r="P36" t="str">
        <x:v>legacy_common_sample_8902245</x:v>
      </x:c>
      <x:c r="Q36" t="str">
        <x:v>factor_report/gtja191_batch/gtja_166</x:v>
      </x:c>
    </x:row>
    <x:row r="37">
      <x:c r="A37" s="22" t="n">
        <x:f>IF($D37="ranked",1+COUNTIFS($D$5:$D$190,"ranked",$E$5:$E$190,"&gt;"&amp;$E37),"")</x:f>
        <x:v>33</x:v>
      </x:c>
      <x:c r="B37" s="22" t="n">
        <x:f>IF($D37="ranked",1+COUNTIFS($D$5:$D$190,"ranked",$F$5:$F$190,"&gt;"&amp;$F37),"")</x:f>
        <x:v>103</x:v>
      </x:c>
      <x:c r="C37" t="str">
        <x:v>gtja_008</x:v>
      </x:c>
      <x:c r="D37" t="str">
        <x:v>ranked</x:v>
      </x:c>
      <x:c r="E37" s="23" t="n">
        <x:f>IF(COUNT(J37,K37)&lt;2,"",AVERAGE(J37,K37))</x:f>
        <x:v>0.03085317904295865</x:v>
      </x:c>
      <x:c r="F37" s="23" t="n">
        <x:f>IF(E37="","",ABS(E37))</x:f>
        <x:v>0.03085317904295865</x:v>
      </x:c>
      <x:c r="G37" s="23" t="str">
        <x:f>IF(E37="","",IF(E37&gt;=0,"positive","negative"))</x:f>
        <x:v>positive</x:v>
      </x:c>
      <x:c r="H37" s="23" t="str">
        <x:f>IF(COUNTIFS('Raw IC'!$A$5:$A$546,$C37,'Raw IC'!$B$5:$B$546,1)=0,"",SUMIFS('Raw IC'!$C$5:$C$546,'Raw IC'!$A$5:$A$546,$C37,'Raw IC'!$B$5:$B$546,1))</x:f>
      </x:c>
      <x:c r="I37" s="23" t="str">
        <x:f>IF(COUNTIFS('Raw IC'!$A$5:$A$546,$C37,'Raw IC'!$B$5:$B$546,5)=0,"",SUMIFS('Raw IC'!$C$5:$C$546,'Raw IC'!$A$5:$A$546,$C37,'Raw IC'!$B$5:$B$546,5))</x:f>
      </x:c>
      <x:c r="J37" s="23" t="n">
        <x:f>IF(COUNTIFS('Raw IC'!$A$5:$A$546,$C37,'Raw IC'!$B$5:$B$546,10)=0,"",SUMIFS('Raw IC'!$C$5:$C$546,'Raw IC'!$A$5:$A$546,$C37,'Raw IC'!$B$5:$B$546,10))</x:f>
        <x:v>0.029069252476887388</x:v>
      </x:c>
      <x:c r="K37" s="23" t="n">
        <x:f>IF(COUNTIFS('Raw IC'!$A$5:$A$546,$C37,'Raw IC'!$B$5:$B$546,20)=0,"",SUMIFS('Raw IC'!$C$5:$C$546,'Raw IC'!$A$5:$A$546,$C37,'Raw IC'!$B$5:$B$546,20))</x:f>
        <x:v>0.03263710560902991</x:v>
      </x:c>
      <x:c r="L37" s="23" t="n">
        <x:f>IF(COUNT(H37:K37)=0,"",AVERAGE(H37:K37))</x:f>
        <x:v>0.03085317904295865</x:v>
      </x:c>
      <x:c r="M37" s="22" t="n">
        <x:f>COUNT(H37:K37)</x:f>
        <x:v>2</x:v>
      </x:c>
      <x:c r="N37" s="25" t="n">
        <x:v>46211.178455532405</x:v>
      </x:c>
      <x:c r="O37" s="24" t="n">
        <x:v>8902245</x:v>
      </x:c>
      <x:c r="P37" t="str">
        <x:v>legacy_common_sample_8902245</x:v>
      </x:c>
      <x:c r="Q37" t="str">
        <x:v>factor_report/gtja191_batch/gtja_008</x:v>
      </x:c>
    </x:row>
    <x:row r="38">
      <x:c r="A38" s="22" t="n">
        <x:f>IF($D38="ranked",1+COUNTIFS($D$5:$D$190,"ranked",$E$5:$E$190,"&gt;"&amp;$E38),"")</x:f>
        <x:v>34</x:v>
      </x:c>
      <x:c r="B38" s="22" t="n">
        <x:f>IF($D38="ranked",1+COUNTIFS($D$5:$D$190,"ranked",$F$5:$F$190,"&gt;"&amp;$F38),"")</x:f>
        <x:v>104</x:v>
      </x:c>
      <x:c r="C38" t="str">
        <x:v>gtja_184</x:v>
      </x:c>
      <x:c r="D38" t="str">
        <x:v>ranked</x:v>
      </x:c>
      <x:c r="E38" s="23" t="n">
        <x:f>IF(COUNT(J38,K38)&lt;2,"",AVERAGE(J38,K38))</x:f>
        <x:v>0.03007439970263842</x:v>
      </x:c>
      <x:c r="F38" s="23" t="n">
        <x:f>IF(E38="","",ABS(E38))</x:f>
        <x:v>0.03007439970263842</x:v>
      </x:c>
      <x:c r="G38" s="23" t="str">
        <x:f>IF(E38="","",IF(E38&gt;=0,"positive","negative"))</x:f>
        <x:v>positive</x:v>
      </x:c>
      <x:c r="H38" s="23" t="str">
        <x:f>IF(COUNTIFS('Raw IC'!$A$5:$A$546,$C38,'Raw IC'!$B$5:$B$546,1)=0,"",SUMIFS('Raw IC'!$C$5:$C$546,'Raw IC'!$A$5:$A$546,$C38,'Raw IC'!$B$5:$B$546,1))</x:f>
      </x:c>
      <x:c r="I38" s="23" t="str">
        <x:f>IF(COUNTIFS('Raw IC'!$A$5:$A$546,$C38,'Raw IC'!$B$5:$B$546,5)=0,"",SUMIFS('Raw IC'!$C$5:$C$546,'Raw IC'!$A$5:$A$546,$C38,'Raw IC'!$B$5:$B$546,5))</x:f>
      </x:c>
      <x:c r="J38" s="23" t="n">
        <x:f>IF(COUNTIFS('Raw IC'!$A$5:$A$546,$C38,'Raw IC'!$B$5:$B$546,10)=0,"",SUMIFS('Raw IC'!$C$5:$C$546,'Raw IC'!$A$5:$A$546,$C38,'Raw IC'!$B$5:$B$546,10))</x:f>
        <x:v>0.02710165719105542</x:v>
      </x:c>
      <x:c r="K38" s="23" t="n">
        <x:f>IF(COUNTIFS('Raw IC'!$A$5:$A$546,$C38,'Raw IC'!$B$5:$B$546,20)=0,"",SUMIFS('Raw IC'!$C$5:$C$546,'Raw IC'!$A$5:$A$546,$C38,'Raw IC'!$B$5:$B$546,20))</x:f>
        <x:v>0.03304714221422142</x:v>
      </x:c>
      <x:c r="L38" s="23" t="n">
        <x:f>IF(COUNT(H38:K38)=0,"",AVERAGE(H38:K38))</x:f>
        <x:v>0.03007439970263842</x:v>
      </x:c>
      <x:c r="M38" s="22" t="n">
        <x:f>COUNT(H38:K38)</x:f>
        <x:v>2</x:v>
      </x:c>
      <x:c r="N38" s="25" t="n">
        <x:v>46211.54342018518</x:v>
      </x:c>
      <x:c r="O38" s="24" t="n">
        <x:v>8902245</x:v>
      </x:c>
      <x:c r="P38" t="str">
        <x:v>legacy_common_sample_8902245</x:v>
      </x:c>
      <x:c r="Q38" t="str">
        <x:v>factor_report/gtja191_batch/gtja_184</x:v>
      </x:c>
    </x:row>
    <x:row r="39">
      <x:c r="A39" s="22" t="n">
        <x:f>IF($D39="ranked",1+COUNTIFS($D$5:$D$190,"ranked",$E$5:$E$190,"&gt;"&amp;$E39),"")</x:f>
        <x:v>35</x:v>
      </x:c>
      <x:c r="B39" s="22" t="n">
        <x:f>IF($D39="ranked",1+COUNTIFS($D$5:$D$190,"ranked",$F$5:$F$190,"&gt;"&amp;$F39),"")</x:f>
        <x:v>105</x:v>
      </x:c>
      <x:c r="C39" t="str">
        <x:v>gtja_190</x:v>
      </x:c>
      <x:c r="D39" t="str">
        <x:v>ranked</x:v>
      </x:c>
      <x:c r="E39" s="23" t="n">
        <x:f>IF(COUNT(J39,K39)&lt;2,"",AVERAGE(J39,K39))</x:f>
        <x:v>0.0297107689284278</x:v>
      </x:c>
      <x:c r="F39" s="23" t="n">
        <x:f>IF(E39="","",ABS(E39))</x:f>
        <x:v>0.0297107689284278</x:v>
      </x:c>
      <x:c r="G39" s="23" t="str">
        <x:f>IF(E39="","",IF(E39&gt;=0,"positive","negative"))</x:f>
        <x:v>positive</x:v>
      </x:c>
      <x:c r="H39" s="23" t="str">
        <x:f>IF(COUNTIFS('Raw IC'!$A$5:$A$546,$C39,'Raw IC'!$B$5:$B$546,1)=0,"",SUMIFS('Raw IC'!$C$5:$C$546,'Raw IC'!$A$5:$A$546,$C39,'Raw IC'!$B$5:$B$546,1))</x:f>
      </x:c>
      <x:c r="I39" s="23" t="str">
        <x:f>IF(COUNTIFS('Raw IC'!$A$5:$A$546,$C39,'Raw IC'!$B$5:$B$546,5)=0,"",SUMIFS('Raw IC'!$C$5:$C$546,'Raw IC'!$A$5:$A$546,$C39,'Raw IC'!$B$5:$B$546,5))</x:f>
      </x:c>
      <x:c r="J39" s="23" t="n">
        <x:f>IF(COUNTIFS('Raw IC'!$A$5:$A$546,$C39,'Raw IC'!$B$5:$B$546,10)=0,"",SUMIFS('Raw IC'!$C$5:$C$546,'Raw IC'!$A$5:$A$546,$C39,'Raw IC'!$B$5:$B$546,10))</x:f>
        <x:v>0.02983995003744111</x:v>
      </x:c>
      <x:c r="K39" s="23" t="n">
        <x:f>IF(COUNTIFS('Raw IC'!$A$5:$A$546,$C39,'Raw IC'!$B$5:$B$546,20)=0,"",SUMIFS('Raw IC'!$C$5:$C$546,'Raw IC'!$A$5:$A$546,$C39,'Raw IC'!$B$5:$B$546,20))</x:f>
        <x:v>0.029581587819414487</x:v>
      </x:c>
      <x:c r="L39" s="23" t="n">
        <x:f>IF(COUNT(H39:K39)=0,"",AVERAGE(H39:K39))</x:f>
        <x:v>0.0297107689284278</x:v>
      </x:c>
      <x:c r="M39" s="22" t="n">
        <x:f>COUNT(H39:K39)</x:f>
        <x:v>2</x:v>
      </x:c>
      <x:c r="N39" s="25" t="n">
        <x:v>46211.55394319444</x:v>
      </x:c>
      <x:c r="O39" s="24" t="n">
        <x:v>8902245</x:v>
      </x:c>
      <x:c r="P39" t="str">
        <x:v>legacy_common_sample_8902245</x:v>
      </x:c>
      <x:c r="Q39" t="str">
        <x:v>factor_report/gtja191_batch/gtja_190</x:v>
      </x:c>
    </x:row>
    <x:row r="40">
      <x:c r="A40" s="22" t="n">
        <x:f>IF($D40="ranked",1+COUNTIFS($D$5:$D$190,"ranked",$E$5:$E$190,"&gt;"&amp;$E40),"")</x:f>
        <x:v>36</x:v>
      </x:c>
      <x:c r="B40" s="22" t="n">
        <x:f>IF($D40="ranked",1+COUNTIFS($D$5:$D$190,"ranked",$F$5:$F$190,"&gt;"&amp;$F40),"")</x:f>
        <x:v>106</x:v>
      </x:c>
      <x:c r="C40" t="str">
        <x:v>gtja_026</x:v>
      </x:c>
      <x:c r="D40" t="str">
        <x:v>ranked</x:v>
      </x:c>
      <x:c r="E40" s="23" t="n">
        <x:f>IF(COUNT(J40,K40)&lt;2,"",AVERAGE(J40,K40))</x:f>
        <x:v>0.029142206340950542</x:v>
      </x:c>
      <x:c r="F40" s="23" t="n">
        <x:f>IF(E40="","",ABS(E40))</x:f>
        <x:v>0.029142206340950542</x:v>
      </x:c>
      <x:c r="G40" s="23" t="str">
        <x:f>IF(E40="","",IF(E40&gt;=0,"positive","negative"))</x:f>
        <x:v>positive</x:v>
      </x:c>
      <x:c r="H40" s="23" t="str">
        <x:f>IF(COUNTIFS('Raw IC'!$A$5:$A$546,$C40,'Raw IC'!$B$5:$B$546,1)=0,"",SUMIFS('Raw IC'!$C$5:$C$546,'Raw IC'!$A$5:$A$546,$C40,'Raw IC'!$B$5:$B$546,1))</x:f>
      </x:c>
      <x:c r="I40" s="23" t="str">
        <x:f>IF(COUNTIFS('Raw IC'!$A$5:$A$546,$C40,'Raw IC'!$B$5:$B$546,5)=0,"",SUMIFS('Raw IC'!$C$5:$C$546,'Raw IC'!$A$5:$A$546,$C40,'Raw IC'!$B$5:$B$546,5))</x:f>
      </x:c>
      <x:c r="J40" s="23" t="n">
        <x:f>IF(COUNTIFS('Raw IC'!$A$5:$A$546,$C40,'Raw IC'!$B$5:$B$546,10)=0,"",SUMIFS('Raw IC'!$C$5:$C$546,'Raw IC'!$A$5:$A$546,$C40,'Raw IC'!$B$5:$B$546,10))</x:f>
        <x:v>0.027736643204687658</x:v>
      </x:c>
      <x:c r="K40" s="23" t="n">
        <x:f>IF(COUNTIFS('Raw IC'!$A$5:$A$546,$C40,'Raw IC'!$B$5:$B$546,20)=0,"",SUMIFS('Raw IC'!$C$5:$C$546,'Raw IC'!$A$5:$A$546,$C40,'Raw IC'!$B$5:$B$546,20))</x:f>
        <x:v>0.030547769477213424</x:v>
      </x:c>
      <x:c r="L40" s="23" t="n">
        <x:f>IF(COUNT(H40:K40)=0,"",AVERAGE(H40:K40))</x:f>
        <x:v>0.029142206340950542</x:v>
      </x:c>
      <x:c r="M40" s="22" t="n">
        <x:f>COUNT(H40:K40)</x:f>
        <x:v>2</x:v>
      </x:c>
      <x:c r="N40" s="25" t="n">
        <x:v>46211.21334347222</x:v>
      </x:c>
      <x:c r="O40" s="24" t="n">
        <x:v>8902245</x:v>
      </x:c>
      <x:c r="P40" t="str">
        <x:v>legacy_common_sample_8902245</x:v>
      </x:c>
      <x:c r="Q40" t="str">
        <x:v>factor_report/gtja191_batch/gtja_026</x:v>
      </x:c>
    </x:row>
    <x:row r="41">
      <x:c r="A41" s="22" t="n">
        <x:f>IF($D41="ranked",1+COUNTIFS($D$5:$D$190,"ranked",$E$5:$E$190,"&gt;"&amp;$E41),"")</x:f>
        <x:v>37</x:v>
      </x:c>
      <x:c r="B41" s="22" t="n">
        <x:f>IF($D41="ranked",1+COUNTIFS($D$5:$D$190,"ranked",$F$5:$F$190,"&gt;"&amp;$F41),"")</x:f>
        <x:v>108</x:v>
      </x:c>
      <x:c r="C41" t="str">
        <x:v>gtja_056</x:v>
      </x:c>
      <x:c r="D41" t="str">
        <x:v>ranked</x:v>
      </x:c>
      <x:c r="E41" s="23" t="n">
        <x:f>IF(COUNT(J41,K41)&lt;2,"",AVERAGE(J41,K41))</x:f>
        <x:v>0.02855483896590924</x:v>
      </x:c>
      <x:c r="F41" s="23" t="n">
        <x:f>IF(E41="","",ABS(E41))</x:f>
        <x:v>0.02855483896590924</x:v>
      </x:c>
      <x:c r="G41" s="23" t="str">
        <x:f>IF(E41="","",IF(E41&gt;=0,"positive","negative"))</x:f>
        <x:v>positive</x:v>
      </x:c>
      <x:c r="H41" s="23" t="str">
        <x:f>IF(COUNTIFS('Raw IC'!$A$5:$A$546,$C41,'Raw IC'!$B$5:$B$546,1)=0,"",SUMIFS('Raw IC'!$C$5:$C$546,'Raw IC'!$A$5:$A$546,$C41,'Raw IC'!$B$5:$B$546,1))</x:f>
      </x:c>
      <x:c r="I41" s="23" t="str">
        <x:f>IF(COUNTIFS('Raw IC'!$A$5:$A$546,$C41,'Raw IC'!$B$5:$B$546,5)=0,"",SUMIFS('Raw IC'!$C$5:$C$546,'Raw IC'!$A$5:$A$546,$C41,'Raw IC'!$B$5:$B$546,5))</x:f>
      </x:c>
      <x:c r="J41" s="23" t="n">
        <x:f>IF(COUNTIFS('Raw IC'!$A$5:$A$546,$C41,'Raw IC'!$B$5:$B$546,10)=0,"",SUMIFS('Raw IC'!$C$5:$C$546,'Raw IC'!$A$5:$A$546,$C41,'Raw IC'!$B$5:$B$546,10))</x:f>
        <x:v>0.024696541184129516</x:v>
      </x:c>
      <x:c r="K41" s="23" t="n">
        <x:f>IF(COUNTIFS('Raw IC'!$A$5:$A$546,$C41,'Raw IC'!$B$5:$B$546,20)=0,"",SUMIFS('Raw IC'!$C$5:$C$546,'Raw IC'!$A$5:$A$546,$C41,'Raw IC'!$B$5:$B$546,20))</x:f>
        <x:v>0.03241313674768896</x:v>
      </x:c>
      <x:c r="L41" s="23" t="n">
        <x:f>IF(COUNT(H41:K41)=0,"",AVERAGE(H41:K41))</x:f>
        <x:v>0.02855483896590924</x:v>
      </x:c>
      <x:c r="M41" s="22" t="n">
        <x:f>COUNT(H41:K41)</x:f>
        <x:v>2</x:v>
      </x:c>
      <x:c r="N41" s="25" t="n">
        <x:v>46211.28159711805</x:v>
      </x:c>
      <x:c r="O41" s="24" t="n">
        <x:v>8902245</x:v>
      </x:c>
      <x:c r="P41" t="str">
        <x:v>legacy_common_sample_8902245</x:v>
      </x:c>
      <x:c r="Q41" t="str">
        <x:v>factor_report/gtja191_batch/gtja_056</x:v>
      </x:c>
    </x:row>
    <x:row r="42">
      <x:c r="A42" s="22" t="n">
        <x:f>IF($D42="ranked",1+COUNTIFS($D$5:$D$190,"ranked",$E$5:$E$190,"&gt;"&amp;$E42),"")</x:f>
        <x:v>38</x:v>
      </x:c>
      <x:c r="B42" s="22" t="n">
        <x:f>IF($D42="ranked",1+COUNTIFS($D$5:$D$190,"ranked",$F$5:$F$190,"&gt;"&amp;$F42),"")</x:f>
        <x:v>109</x:v>
      </x:c>
      <x:c r="C42" t="str">
        <x:v>gtja_086</x:v>
      </x:c>
      <x:c r="D42" t="str">
        <x:v>ranked</x:v>
      </x:c>
      <x:c r="E42" s="23" t="n">
        <x:f>IF(COUNT(J42,K42)&lt;2,"",AVERAGE(J42,K42))</x:f>
        <x:v>0.028363688087852792</x:v>
      </x:c>
      <x:c r="F42" s="23" t="n">
        <x:f>IF(E42="","",ABS(E42))</x:f>
        <x:v>0.028363688087852792</x:v>
      </x:c>
      <x:c r="G42" s="23" t="str">
        <x:f>IF(E42="","",IF(E42&gt;=0,"positive","negative"))</x:f>
        <x:v>positive</x:v>
      </x:c>
      <x:c r="H42" s="23" t="str">
        <x:f>IF(COUNTIFS('Raw IC'!$A$5:$A$546,$C42,'Raw IC'!$B$5:$B$546,1)=0,"",SUMIFS('Raw IC'!$C$5:$C$546,'Raw IC'!$A$5:$A$546,$C42,'Raw IC'!$B$5:$B$546,1))</x:f>
      </x:c>
      <x:c r="I42" s="23" t="str">
        <x:f>IF(COUNTIFS('Raw IC'!$A$5:$A$546,$C42,'Raw IC'!$B$5:$B$546,5)=0,"",SUMIFS('Raw IC'!$C$5:$C$546,'Raw IC'!$A$5:$A$546,$C42,'Raw IC'!$B$5:$B$546,5))</x:f>
      </x:c>
      <x:c r="J42" s="23" t="n">
        <x:f>IF(COUNTIFS('Raw IC'!$A$5:$A$546,$C42,'Raw IC'!$B$5:$B$546,10)=0,"",SUMIFS('Raw IC'!$C$5:$C$546,'Raw IC'!$A$5:$A$546,$C42,'Raw IC'!$B$5:$B$546,10))</x:f>
        <x:v>0.025539523204946915</x:v>
      </x:c>
      <x:c r="K42" s="23" t="n">
        <x:f>IF(COUNTIFS('Raw IC'!$A$5:$A$546,$C42,'Raw IC'!$B$5:$B$546,20)=0,"",SUMIFS('Raw IC'!$C$5:$C$546,'Raw IC'!$A$5:$A$546,$C42,'Raw IC'!$B$5:$B$546,20))</x:f>
        <x:v>0.031187852970758673</x:v>
      </x:c>
      <x:c r="L42" s="23" t="n">
        <x:f>IF(COUNT(H42:K42)=0,"",AVERAGE(H42:K42))</x:f>
        <x:v>0.028363688087852792</x:v>
      </x:c>
      <x:c r="M42" s="22" t="n">
        <x:f>COUNT(H42:K42)</x:f>
        <x:v>2</x:v>
      </x:c>
      <x:c r="N42" s="25" t="n">
        <x:v>46211.32645658565</x:v>
      </x:c>
      <x:c r="O42" s="24" t="n">
        <x:v>8902245</x:v>
      </x:c>
      <x:c r="P42" t="str">
        <x:v>legacy_common_sample_8902245</x:v>
      </x:c>
      <x:c r="Q42" t="str">
        <x:v>factor_report/gtja191_batch/gtja_086</x:v>
      </x:c>
    </x:row>
    <x:row r="43">
      <x:c r="A43" s="22" t="n">
        <x:f>IF($D43="ranked",1+COUNTIFS($D$5:$D$190,"ranked",$E$5:$E$190,"&gt;"&amp;$E43),"")</x:f>
        <x:v>39</x:v>
      </x:c>
      <x:c r="B43" s="22" t="n">
        <x:f>IF($D43="ranked",1+COUNTIFS($D$5:$D$190,"ranked",$F$5:$F$190,"&gt;"&amp;$F43),"")</x:f>
        <x:v>111</x:v>
      </x:c>
      <x:c r="C43" t="str">
        <x:v>gtja_025</x:v>
      </x:c>
      <x:c r="D43" t="str">
        <x:v>ranked</x:v>
      </x:c>
      <x:c r="E43" s="23" t="n">
        <x:f>IF(COUNT(J43,K43)&lt;2,"",AVERAGE(J43,K43))</x:f>
        <x:v>0.028008794305060203</x:v>
      </x:c>
      <x:c r="F43" s="23" t="n">
        <x:f>IF(E43="","",ABS(E43))</x:f>
        <x:v>0.028008794305060203</x:v>
      </x:c>
      <x:c r="G43" s="23" t="str">
        <x:f>IF(E43="","",IF(E43&gt;=0,"positive","negative"))</x:f>
        <x:v>positive</x:v>
      </x:c>
      <x:c r="H43" s="23" t="str">
        <x:f>IF(COUNTIFS('Raw IC'!$A$5:$A$546,$C43,'Raw IC'!$B$5:$B$546,1)=0,"",SUMIFS('Raw IC'!$C$5:$C$546,'Raw IC'!$A$5:$A$546,$C43,'Raw IC'!$B$5:$B$546,1))</x:f>
      </x:c>
      <x:c r="I43" s="23" t="str">
        <x:f>IF(COUNTIFS('Raw IC'!$A$5:$A$546,$C43,'Raw IC'!$B$5:$B$546,5)=0,"",SUMIFS('Raw IC'!$C$5:$C$546,'Raw IC'!$A$5:$A$546,$C43,'Raw IC'!$B$5:$B$546,5))</x:f>
      </x:c>
      <x:c r="J43" s="23" t="n">
        <x:f>IF(COUNTIFS('Raw IC'!$A$5:$A$546,$C43,'Raw IC'!$B$5:$B$546,10)=0,"",SUMIFS('Raw IC'!$C$5:$C$546,'Raw IC'!$A$5:$A$546,$C43,'Raw IC'!$B$5:$B$546,10))</x:f>
        <x:v>0.02562738492603111</x:v>
      </x:c>
      <x:c r="K43" s="23" t="n">
        <x:f>IF(COUNTIFS('Raw IC'!$A$5:$A$546,$C43,'Raw IC'!$B$5:$B$546,20)=0,"",SUMIFS('Raw IC'!$C$5:$C$546,'Raw IC'!$A$5:$A$546,$C43,'Raw IC'!$B$5:$B$546,20))</x:f>
        <x:v>0.0303902036840893</x:v>
      </x:c>
      <x:c r="L43" s="23" t="n">
        <x:f>IF(COUNT(H43:K43)=0,"",AVERAGE(H43:K43))</x:f>
        <x:v>0.028008794305060203</x:v>
      </x:c>
      <x:c r="M43" s="22" t="n">
        <x:f>COUNT(H43:K43)</x:f>
        <x:v>2</x:v>
      </x:c>
      <x:c r="N43" s="25" t="n">
        <x:v>46211.209765810185</x:v>
      </x:c>
      <x:c r="O43" s="24" t="n">
        <x:v>8902245</x:v>
      </x:c>
      <x:c r="P43" t="str">
        <x:v>legacy_common_sample_8902245</x:v>
      </x:c>
      <x:c r="Q43" t="str">
        <x:v>factor_report/gtja191_batch/gtja_025</x:v>
      </x:c>
    </x:row>
    <x:row r="44">
      <x:c r="A44" s="22" t="n">
        <x:f>IF($D44="ranked",1+COUNTIFS($D$5:$D$190,"ranked",$E$5:$E$190,"&gt;"&amp;$E44),"")</x:f>
        <x:v>40</x:v>
      </x:c>
      <x:c r="B44" s="22" t="n">
        <x:f>IF($D44="ranked",1+COUNTIFS($D$5:$D$190,"ranked",$F$5:$F$190,"&gt;"&amp;$F44),"")</x:f>
        <x:v>112</x:v>
      </x:c>
      <x:c r="C44" t="str">
        <x:v>gtja_017</x:v>
      </x:c>
      <x:c r="D44" t="str">
        <x:v>ranked</x:v>
      </x:c>
      <x:c r="E44" s="23" t="n">
        <x:f>IF(COUNT(J44,K44)&lt;2,"",AVERAGE(J44,K44))</x:f>
        <x:v>0.027948942963567133</x:v>
      </x:c>
      <x:c r="F44" s="23" t="n">
        <x:f>IF(E44="","",ABS(E44))</x:f>
        <x:v>0.027948942963567133</x:v>
      </x:c>
      <x:c r="G44" s="23" t="str">
        <x:f>IF(E44="","",IF(E44&gt;=0,"positive","negative"))</x:f>
        <x:v>positive</x:v>
      </x:c>
      <x:c r="H44" s="23" t="str">
        <x:f>IF(COUNTIFS('Raw IC'!$A$5:$A$546,$C44,'Raw IC'!$B$5:$B$546,1)=0,"",SUMIFS('Raw IC'!$C$5:$C$546,'Raw IC'!$A$5:$A$546,$C44,'Raw IC'!$B$5:$B$546,1))</x:f>
      </x:c>
      <x:c r="I44" s="23" t="str">
        <x:f>IF(COUNTIFS('Raw IC'!$A$5:$A$546,$C44,'Raw IC'!$B$5:$B$546,5)=0,"",SUMIFS('Raw IC'!$C$5:$C$546,'Raw IC'!$A$5:$A$546,$C44,'Raw IC'!$B$5:$B$546,5))</x:f>
      </x:c>
      <x:c r="J44" s="23" t="n">
        <x:f>IF(COUNTIFS('Raw IC'!$A$5:$A$546,$C44,'Raw IC'!$B$5:$B$546,10)=0,"",SUMIFS('Raw IC'!$C$5:$C$546,'Raw IC'!$A$5:$A$546,$C44,'Raw IC'!$B$5:$B$546,10))</x:f>
        <x:v>0.026452121278683006</x:v>
      </x:c>
      <x:c r="K44" s="23" t="n">
        <x:f>IF(COUNTIFS('Raw IC'!$A$5:$A$546,$C44,'Raw IC'!$B$5:$B$546,20)=0,"",SUMIFS('Raw IC'!$C$5:$C$546,'Raw IC'!$A$5:$A$546,$C44,'Raw IC'!$B$5:$B$546,20))</x:f>
        <x:v>0.02944576464845126</x:v>
      </x:c>
      <x:c r="L44" s="23" t="n">
        <x:f>IF(COUNT(H44:K44)=0,"",AVERAGE(H44:K44))</x:f>
        <x:v>0.027948942963567133</x:v>
      </x:c>
      <x:c r="M44" s="22" t="n">
        <x:f>COUNT(H44:K44)</x:f>
        <x:v>2</x:v>
      </x:c>
      <x:c r="N44" s="25" t="n">
        <x:v>46211.200878738426</x:v>
      </x:c>
      <x:c r="O44" s="24" t="n">
        <x:v>8902245</x:v>
      </x:c>
      <x:c r="P44" t="str">
        <x:v>legacy_common_sample_8902245</x:v>
      </x:c>
      <x:c r="Q44" t="str">
        <x:v>factor_report/gtja191_batch/gtja_017</x:v>
      </x:c>
    </x:row>
    <x:row r="45">
      <x:c r="A45" s="22" t="n">
        <x:f>IF($D45="ranked",1+COUNTIFS($D$5:$D$190,"ranked",$E$5:$E$190,"&gt;"&amp;$E45),"")</x:f>
        <x:v>41</x:v>
      </x:c>
      <x:c r="B45" s="22" t="n">
        <x:f>IF($D45="ranked",1+COUNTIFS($D$5:$D$190,"ranked",$F$5:$F$190,"&gt;"&amp;$F45),"")</x:f>
        <x:v>113</x:v>
      </x:c>
      <x:c r="C45" t="str">
        <x:v>gtja_168</x:v>
      </x:c>
      <x:c r="D45" t="str">
        <x:v>ranked</x:v>
      </x:c>
      <x:c r="E45" s="23" t="n">
        <x:f>IF(COUNT(J45,K45)&lt;2,"",AVERAGE(J45,K45))</x:f>
        <x:v>0.02766912603607815</x:v>
      </x:c>
      <x:c r="F45" s="23" t="n">
        <x:f>IF(E45="","",ABS(E45))</x:f>
        <x:v>0.02766912603607815</x:v>
      </x:c>
      <x:c r="G45" s="23" t="str">
        <x:f>IF(E45="","",IF(E45&gt;=0,"positive","negative"))</x:f>
        <x:v>positive</x:v>
      </x:c>
      <x:c r="H45" s="23" t="str">
        <x:f>IF(COUNTIFS('Raw IC'!$A$5:$A$546,$C45,'Raw IC'!$B$5:$B$546,1)=0,"",SUMIFS('Raw IC'!$C$5:$C$546,'Raw IC'!$A$5:$A$546,$C45,'Raw IC'!$B$5:$B$546,1))</x:f>
      </x:c>
      <x:c r="I45" s="23" t="str">
        <x:f>IF(COUNTIFS('Raw IC'!$A$5:$A$546,$C45,'Raw IC'!$B$5:$B$546,5)=0,"",SUMIFS('Raw IC'!$C$5:$C$546,'Raw IC'!$A$5:$A$546,$C45,'Raw IC'!$B$5:$B$546,5))</x:f>
      </x:c>
      <x:c r="J45" s="23" t="n">
        <x:f>IF(COUNTIFS('Raw IC'!$A$5:$A$546,$C45,'Raw IC'!$B$5:$B$546,10)=0,"",SUMIFS('Raw IC'!$C$5:$C$546,'Raw IC'!$A$5:$A$546,$C45,'Raw IC'!$B$5:$B$546,10))</x:f>
        <x:v>0.02736438952349721</x:v>
      </x:c>
      <x:c r="K45" s="23" t="n">
        <x:f>IF(COUNTIFS('Raw IC'!$A$5:$A$546,$C45,'Raw IC'!$B$5:$B$546,20)=0,"",SUMIFS('Raw IC'!$C$5:$C$546,'Raw IC'!$A$5:$A$546,$C45,'Raw IC'!$B$5:$B$546,20))</x:f>
        <x:v>0.027973862548659086</x:v>
      </x:c>
      <x:c r="L45" s="23" t="n">
        <x:f>IF(COUNT(H45:K45)=0,"",AVERAGE(H45:K45))</x:f>
        <x:v>0.02766912603607815</x:v>
      </x:c>
      <x:c r="M45" s="22" t="n">
        <x:f>COUNT(H45:K45)</x:f>
        <x:v>2</x:v>
      </x:c>
      <x:c r="N45" s="25" t="n">
        <x:v>46211.52286168982</x:v>
      </x:c>
      <x:c r="O45" s="24" t="n">
        <x:v>8902245</x:v>
      </x:c>
      <x:c r="P45" t="str">
        <x:v>legacy_common_sample_8902245</x:v>
      </x:c>
      <x:c r="Q45" t="str">
        <x:v>factor_report/gtja191_batch/gtja_168</x:v>
      </x:c>
    </x:row>
    <x:row r="46">
      <x:c r="A46" s="22" t="n">
        <x:f>IF($D46="ranked",1+COUNTIFS($D$5:$D$190,"ranked",$E$5:$E$190,"&gt;"&amp;$E46),"")</x:f>
        <x:v>42</x:v>
      </x:c>
      <x:c r="B46" s="22" t="n">
        <x:f>IF($D46="ranked",1+COUNTIFS($D$5:$D$190,"ranked",$F$5:$F$190,"&gt;"&amp;$F46),"")</x:f>
        <x:v>116</x:v>
      </x:c>
      <x:c r="C46" t="str">
        <x:v>gtja_065</x:v>
      </x:c>
      <x:c r="D46" t="str">
        <x:v>ranked</x:v>
      </x:c>
      <x:c r="E46" s="23" t="n">
        <x:f>IF(COUNT(J46,K46)&lt;2,"",AVERAGE(J46,K46))</x:f>
        <x:v>0.027134736577142524</x:v>
      </x:c>
      <x:c r="F46" s="23" t="n">
        <x:f>IF(E46="","",ABS(E46))</x:f>
        <x:v>0.027134736577142524</x:v>
      </x:c>
      <x:c r="G46" s="23" t="str">
        <x:f>IF(E46="","",IF(E46&gt;=0,"positive","negative"))</x:f>
        <x:v>positive</x:v>
      </x:c>
      <x:c r="H46" s="23" t="str">
        <x:f>IF(COUNTIFS('Raw IC'!$A$5:$A$546,$C46,'Raw IC'!$B$5:$B$546,1)=0,"",SUMIFS('Raw IC'!$C$5:$C$546,'Raw IC'!$A$5:$A$546,$C46,'Raw IC'!$B$5:$B$546,1))</x:f>
      </x:c>
      <x:c r="I46" s="23" t="str">
        <x:f>IF(COUNTIFS('Raw IC'!$A$5:$A$546,$C46,'Raw IC'!$B$5:$B$546,5)=0,"",SUMIFS('Raw IC'!$C$5:$C$546,'Raw IC'!$A$5:$A$546,$C46,'Raw IC'!$B$5:$B$546,5))</x:f>
      </x:c>
      <x:c r="J46" s="23" t="n">
        <x:f>IF(COUNTIFS('Raw IC'!$A$5:$A$546,$C46,'Raw IC'!$B$5:$B$546,10)=0,"",SUMIFS('Raw IC'!$C$5:$C$546,'Raw IC'!$A$5:$A$546,$C46,'Raw IC'!$B$5:$B$546,10))</x:f>
        <x:v>0.025976389900272553</x:v>
      </x:c>
      <x:c r="K46" s="23" t="n">
        <x:f>IF(COUNTIFS('Raw IC'!$A$5:$A$546,$C46,'Raw IC'!$B$5:$B$546,20)=0,"",SUMIFS('Raw IC'!$C$5:$C$546,'Raw IC'!$A$5:$A$546,$C46,'Raw IC'!$B$5:$B$546,20))</x:f>
        <x:v>0.028293083254012495</x:v>
      </x:c>
      <x:c r="L46" s="23" t="n">
        <x:f>IF(COUNT(H46:K46)=0,"",AVERAGE(H46:K46))</x:f>
        <x:v>0.027134736577142524</x:v>
      </x:c>
      <x:c r="M46" s="22" t="n">
        <x:f>COUNT(H46:K46)</x:f>
        <x:v>2</x:v>
      </x:c>
      <x:c r="N46" s="25" t="n">
        <x:v>46211.29584099537</x:v>
      </x:c>
      <x:c r="O46" s="24" t="n">
        <x:v>8902245</x:v>
      </x:c>
      <x:c r="P46" t="str">
        <x:v>legacy_common_sample_8902245</x:v>
      </x:c>
      <x:c r="Q46" t="str">
        <x:v>factor_report/gtja191_batch/gtja_065</x:v>
      </x:c>
    </x:row>
    <x:row r="47">
      <x:c r="A47" s="22" t="n">
        <x:f>IF($D47="ranked",1+COUNTIFS($D$5:$D$190,"ranked",$E$5:$E$190,"&gt;"&amp;$E47),"")</x:f>
        <x:v>43</x:v>
      </x:c>
      <x:c r="B47" s="22" t="n">
        <x:f>IF($D47="ranked",1+COUNTIFS($D$5:$D$190,"ranked",$F$5:$F$190,"&gt;"&amp;$F47),"")</x:f>
        <x:v>118</x:v>
      </x:c>
      <x:c r="C47" t="str">
        <x:v>gtja_087</x:v>
      </x:c>
      <x:c r="D47" t="str">
        <x:v>ranked</x:v>
      </x:c>
      <x:c r="E47" s="23" t="n">
        <x:f>IF(COUNT(J47,K47)&lt;2,"",AVERAGE(J47,K47))</x:f>
        <x:v>0.026901268022312155</x:v>
      </x:c>
      <x:c r="F47" s="23" t="n">
        <x:f>IF(E47="","",ABS(E47))</x:f>
        <x:v>0.026901268022312155</x:v>
      </x:c>
      <x:c r="G47" s="23" t="str">
        <x:f>IF(E47="","",IF(E47&gt;=0,"positive","negative"))</x:f>
        <x:v>positive</x:v>
      </x:c>
      <x:c r="H47" s="23" t="str">
        <x:f>IF(COUNTIFS('Raw IC'!$A$5:$A$546,$C47,'Raw IC'!$B$5:$B$546,1)=0,"",SUMIFS('Raw IC'!$C$5:$C$546,'Raw IC'!$A$5:$A$546,$C47,'Raw IC'!$B$5:$B$546,1))</x:f>
      </x:c>
      <x:c r="I47" s="23" t="str">
        <x:f>IF(COUNTIFS('Raw IC'!$A$5:$A$546,$C47,'Raw IC'!$B$5:$B$546,5)=0,"",SUMIFS('Raw IC'!$C$5:$C$546,'Raw IC'!$A$5:$A$546,$C47,'Raw IC'!$B$5:$B$546,5))</x:f>
      </x:c>
      <x:c r="J47" s="23" t="n">
        <x:f>IF(COUNTIFS('Raw IC'!$A$5:$A$546,$C47,'Raw IC'!$B$5:$B$546,10)=0,"",SUMIFS('Raw IC'!$C$5:$C$546,'Raw IC'!$A$5:$A$546,$C47,'Raw IC'!$B$5:$B$546,10))</x:f>
        <x:v>0.025257446979528055</x:v>
      </x:c>
      <x:c r="K47" s="23" t="n">
        <x:f>IF(COUNTIFS('Raw IC'!$A$5:$A$546,$C47,'Raw IC'!$B$5:$B$546,20)=0,"",SUMIFS('Raw IC'!$C$5:$C$546,'Raw IC'!$A$5:$A$546,$C47,'Raw IC'!$B$5:$B$546,20))</x:f>
        <x:v>0.028545089065096254</x:v>
      </x:c>
      <x:c r="L47" s="23" t="n">
        <x:f>IF(COUNT(H47:K47)=0,"",AVERAGE(H47:K47))</x:f>
        <x:v>0.026901268022312155</x:v>
      </x:c>
      <x:c r="M47" s="22" t="n">
        <x:f>COUNT(H47:K47)</x:f>
        <x:v>2</x:v>
      </x:c>
      <x:c r="N47" s="25" t="n">
        <x:v>46211.33017637731</x:v>
      </x:c>
      <x:c r="O47" s="24" t="n">
        <x:v>8902245</x:v>
      </x:c>
      <x:c r="P47" t="str">
        <x:v>legacy_common_sample_8902245</x:v>
      </x:c>
      <x:c r="Q47" t="str">
        <x:v>factor_report/gtja191_batch/gtja_087</x:v>
      </x:c>
    </x:row>
    <x:row r="48">
      <x:c r="A48" s="22" t="n">
        <x:f>IF($D48="ranked",1+COUNTIFS($D$5:$D$190,"ranked",$E$5:$E$190,"&gt;"&amp;$E48),"")</x:f>
        <x:v>44</x:v>
      </x:c>
      <x:c r="B48" s="22" t="n">
        <x:f>IF($D48="ranked",1+COUNTIFS($D$5:$D$190,"ranked",$F$5:$F$190,"&gt;"&amp;$F48),"")</x:f>
        <x:v>119</x:v>
      </x:c>
      <x:c r="C48" t="str">
        <x:v>gtja_001</x:v>
      </x:c>
      <x:c r="D48" t="str">
        <x:v>ranked</x:v>
      </x:c>
      <x:c r="E48" s="23" t="n">
        <x:f>IF(COUNT(J48,K48)&lt;2,"",AVERAGE(J48,K48))</x:f>
        <x:v>0.026226963449732694</x:v>
      </x:c>
      <x:c r="F48" s="23" t="n">
        <x:f>IF(E48="","",ABS(E48))</x:f>
        <x:v>0.026226963449732694</x:v>
      </x:c>
      <x:c r="G48" s="23" t="str">
        <x:f>IF(E48="","",IF(E48&gt;=0,"positive","negative"))</x:f>
        <x:v>positive</x:v>
      </x:c>
      <x:c r="H48" s="23" t="str">
        <x:f>IF(COUNTIFS('Raw IC'!$A$5:$A$546,$C48,'Raw IC'!$B$5:$B$546,1)=0,"",SUMIFS('Raw IC'!$C$5:$C$546,'Raw IC'!$A$5:$A$546,$C48,'Raw IC'!$B$5:$B$546,1))</x:f>
      </x:c>
      <x:c r="I48" s="23" t="str">
        <x:f>IF(COUNTIFS('Raw IC'!$A$5:$A$546,$C48,'Raw IC'!$B$5:$B$546,5)=0,"",SUMIFS('Raw IC'!$C$5:$C$546,'Raw IC'!$A$5:$A$546,$C48,'Raw IC'!$B$5:$B$546,5))</x:f>
      </x:c>
      <x:c r="J48" s="23" t="n">
        <x:f>IF(COUNTIFS('Raw IC'!$A$5:$A$546,$C48,'Raw IC'!$B$5:$B$546,10)=0,"",SUMIFS('Raw IC'!$C$5:$C$546,'Raw IC'!$A$5:$A$546,$C48,'Raw IC'!$B$5:$B$546,10))</x:f>
        <x:v>0.02543854179141846</x:v>
      </x:c>
      <x:c r="K48" s="23" t="n">
        <x:f>IF(COUNTIFS('Raw IC'!$A$5:$A$546,$C48,'Raw IC'!$B$5:$B$546,20)=0,"",SUMIFS('Raw IC'!$C$5:$C$546,'Raw IC'!$A$5:$A$546,$C48,'Raw IC'!$B$5:$B$546,20))</x:f>
        <x:v>0.027015385108046932</x:v>
      </x:c>
      <x:c r="L48" s="23" t="n">
        <x:f>IF(COUNT(H48:K48)=0,"",AVERAGE(H48:K48))</x:f>
        <x:v>0.026226963449732694</x:v>
      </x:c>
      <x:c r="M48" s="22" t="n">
        <x:f>COUNT(H48:K48)</x:f>
        <x:v>2</x:v>
      </x:c>
      <x:c r="N48" s="25" t="n">
        <x:v>46211.15197799769</x:v>
      </x:c>
      <x:c r="O48" s="24" t="n">
        <x:v>8902245</x:v>
      </x:c>
      <x:c r="P48" t="str">
        <x:v>legacy_common_sample_8902245</x:v>
      </x:c>
      <x:c r="Q48" t="str">
        <x:v>factor_report/gtja191_batch/gtja_001</x:v>
      </x:c>
    </x:row>
    <x:row r="49">
      <x:c r="A49" s="22" t="n">
        <x:f>IF($D49="ranked",1+COUNTIFS($D$5:$D$190,"ranked",$E$5:$E$190,"&gt;"&amp;$E49),"")</x:f>
        <x:v>45</x:v>
      </x:c>
      <x:c r="B49" s="22" t="n">
        <x:f>IF($D49="ranked",1+COUNTIFS($D$5:$D$190,"ranked",$F$5:$F$190,"&gt;"&amp;$F49),"")</x:f>
        <x:v>121</x:v>
      </x:c>
      <x:c r="C49" t="str">
        <x:v>gtja_136</x:v>
      </x:c>
      <x:c r="D49" t="str">
        <x:v>ranked</x:v>
      </x:c>
      <x:c r="E49" s="23" t="n">
        <x:f>IF(COUNT(J49,K49)&lt;2,"",AVERAGE(J49,K49))</x:f>
        <x:v>0.024639092206704034</x:v>
      </x:c>
      <x:c r="F49" s="23" t="n">
        <x:f>IF(E49="","",ABS(E49))</x:f>
        <x:v>0.024639092206704034</x:v>
      </x:c>
      <x:c r="G49" s="23" t="str">
        <x:f>IF(E49="","",IF(E49&gt;=0,"positive","negative"))</x:f>
        <x:v>positive</x:v>
      </x:c>
      <x:c r="H49" s="23" t="str">
        <x:f>IF(COUNTIFS('Raw IC'!$A$5:$A$546,$C49,'Raw IC'!$B$5:$B$546,1)=0,"",SUMIFS('Raw IC'!$C$5:$C$546,'Raw IC'!$A$5:$A$546,$C49,'Raw IC'!$B$5:$B$546,1))</x:f>
      </x:c>
      <x:c r="I49" s="23" t="str">
        <x:f>IF(COUNTIFS('Raw IC'!$A$5:$A$546,$C49,'Raw IC'!$B$5:$B$546,5)=0,"",SUMIFS('Raw IC'!$C$5:$C$546,'Raw IC'!$A$5:$A$546,$C49,'Raw IC'!$B$5:$B$546,5))</x:f>
      </x:c>
      <x:c r="J49" s="23" t="n">
        <x:f>IF(COUNTIFS('Raw IC'!$A$5:$A$546,$C49,'Raw IC'!$B$5:$B$546,10)=0,"",SUMIFS('Raw IC'!$C$5:$C$546,'Raw IC'!$A$5:$A$546,$C49,'Raw IC'!$B$5:$B$546,10))</x:f>
        <x:v>0.022192194068804304</x:v>
      </x:c>
      <x:c r="K49" s="23" t="n">
        <x:f>IF(COUNTIFS('Raw IC'!$A$5:$A$546,$C49,'Raw IC'!$B$5:$B$546,20)=0,"",SUMIFS('Raw IC'!$C$5:$C$546,'Raw IC'!$A$5:$A$546,$C49,'Raw IC'!$B$5:$B$546,20))</x:f>
        <x:v>0.027085990344603763</x:v>
      </x:c>
      <x:c r="L49" s="23" t="n">
        <x:f>IF(COUNT(H49:K49)=0,"",AVERAGE(H49:K49))</x:f>
        <x:v>0.024639092206704034</x:v>
      </x:c>
      <x:c r="M49" s="22" t="n">
        <x:f>COUNT(H49:K49)</x:f>
        <x:v>2</x:v>
      </x:c>
      <x:c r="N49" s="25" t="n">
        <x:v>46211.42709479167</x:v>
      </x:c>
      <x:c r="O49" s="24" t="n">
        <x:v>8902245</x:v>
      </x:c>
      <x:c r="P49" t="str">
        <x:v>legacy_common_sample_8902245</x:v>
      </x:c>
      <x:c r="Q49" t="str">
        <x:v>factor_report/gtja191_batch/gtja_136</x:v>
      </x:c>
    </x:row>
    <x:row r="50">
      <x:c r="A50" s="22" t="n">
        <x:f>IF($D50="ranked",1+COUNTIFS($D$5:$D$190,"ranked",$E$5:$E$190,"&gt;"&amp;$E50),"")</x:f>
        <x:v>46</x:v>
      </x:c>
      <x:c r="B50" s="22" t="n">
        <x:f>IF($D50="ranked",1+COUNTIFS($D$5:$D$190,"ranked",$F$5:$F$190,"&gt;"&amp;$F50),"")</x:f>
        <x:v>125</x:v>
      </x:c>
      <x:c r="C50" t="str">
        <x:v>gtja_113</x:v>
      </x:c>
      <x:c r="D50" t="str">
        <x:v>ranked</x:v>
      </x:c>
      <x:c r="E50" s="23" t="n">
        <x:f>IF(COUNT(J50,K50)&lt;2,"",AVERAGE(J50,K50))</x:f>
        <x:v>0.023812700462177556</x:v>
      </x:c>
      <x:c r="F50" s="23" t="n">
        <x:f>IF(E50="","",ABS(E50))</x:f>
        <x:v>0.023812700462177556</x:v>
      </x:c>
      <x:c r="G50" s="23" t="str">
        <x:f>IF(E50="","",IF(E50&gt;=0,"positive","negative"))</x:f>
        <x:v>positive</x:v>
      </x:c>
      <x:c r="H50" s="23" t="str">
        <x:f>IF(COUNTIFS('Raw IC'!$A$5:$A$546,$C50,'Raw IC'!$B$5:$B$546,1)=0,"",SUMIFS('Raw IC'!$C$5:$C$546,'Raw IC'!$A$5:$A$546,$C50,'Raw IC'!$B$5:$B$546,1))</x:f>
      </x:c>
      <x:c r="I50" s="23" t="str">
        <x:f>IF(COUNTIFS('Raw IC'!$A$5:$A$546,$C50,'Raw IC'!$B$5:$B$546,5)=0,"",SUMIFS('Raw IC'!$C$5:$C$546,'Raw IC'!$A$5:$A$546,$C50,'Raw IC'!$B$5:$B$546,5))</x:f>
      </x:c>
      <x:c r="J50" s="23" t="n">
        <x:f>IF(COUNTIFS('Raw IC'!$A$5:$A$546,$C50,'Raw IC'!$B$5:$B$546,10)=0,"",SUMIFS('Raw IC'!$C$5:$C$546,'Raw IC'!$A$5:$A$546,$C50,'Raw IC'!$B$5:$B$546,10))</x:f>
        <x:v>0.022923565843053446</x:v>
      </x:c>
      <x:c r="K50" s="23" t="n">
        <x:f>IF(COUNTIFS('Raw IC'!$A$5:$A$546,$C50,'Raw IC'!$B$5:$B$546,20)=0,"",SUMIFS('Raw IC'!$C$5:$C$546,'Raw IC'!$A$5:$A$546,$C50,'Raw IC'!$B$5:$B$546,20))</x:f>
        <x:v>0.024701835081301665</x:v>
      </x:c>
      <x:c r="L50" s="23" t="n">
        <x:f>IF(COUNT(H50:K50)=0,"",AVERAGE(H50:K50))</x:f>
        <x:v>0.023812700462177556</x:v>
      </x:c>
      <x:c r="M50" s="22" t="n">
        <x:f>COUNT(H50:K50)</x:f>
        <x:v>2</x:v>
      </x:c>
      <x:c r="N50" s="25" t="n">
        <x:v>46211.366626724535</x:v>
      </x:c>
      <x:c r="O50" s="24" t="n">
        <x:v>8902245</x:v>
      </x:c>
      <x:c r="P50" t="str">
        <x:v>legacy_common_sample_8902245</x:v>
      </x:c>
      <x:c r="Q50" t="str">
        <x:v>factor_report/gtja191_batch/gtja_113</x:v>
      </x:c>
    </x:row>
    <x:row r="51">
      <x:c r="A51" s="22" t="n">
        <x:f>IF($D51="ranked",1+COUNTIFS($D$5:$D$190,"ranked",$E$5:$E$190,"&gt;"&amp;$E51),"")</x:f>
        <x:v>47</x:v>
      </x:c>
      <x:c r="B51" s="22" t="n">
        <x:f>IF($D51="ranked",1+COUNTIFS($D$5:$D$190,"ranked",$F$5:$F$190,"&gt;"&amp;$F51),"")</x:f>
        <x:v>127</x:v>
      </x:c>
      <x:c r="C51" t="str">
        <x:v>gtja_038</x:v>
      </x:c>
      <x:c r="D51" t="str">
        <x:v>ranked</x:v>
      </x:c>
      <x:c r="E51" s="23" t="n">
        <x:f>IF(COUNT(J51,K51)&lt;2,"",AVERAGE(J51,K51))</x:f>
        <x:v>0.023661402757701677</x:v>
      </x:c>
      <x:c r="F51" s="23" t="n">
        <x:f>IF(E51="","",ABS(E51))</x:f>
        <x:v>0.023661402757701677</x:v>
      </x:c>
      <x:c r="G51" s="23" t="str">
        <x:f>IF(E51="","",IF(E51&gt;=0,"positive","negative"))</x:f>
        <x:v>positive</x:v>
      </x:c>
      <x:c r="H51" s="23" t="str">
        <x:f>IF(COUNTIFS('Raw IC'!$A$5:$A$546,$C51,'Raw IC'!$B$5:$B$546,1)=0,"",SUMIFS('Raw IC'!$C$5:$C$546,'Raw IC'!$A$5:$A$546,$C51,'Raw IC'!$B$5:$B$546,1))</x:f>
      </x:c>
      <x:c r="I51" s="23" t="str">
        <x:f>IF(COUNTIFS('Raw IC'!$A$5:$A$546,$C51,'Raw IC'!$B$5:$B$546,5)=0,"",SUMIFS('Raw IC'!$C$5:$C$546,'Raw IC'!$A$5:$A$546,$C51,'Raw IC'!$B$5:$B$546,5))</x:f>
      </x:c>
      <x:c r="J51" s="23" t="n">
        <x:f>IF(COUNTIFS('Raw IC'!$A$5:$A$546,$C51,'Raw IC'!$B$5:$B$546,10)=0,"",SUMIFS('Raw IC'!$C$5:$C$546,'Raw IC'!$A$5:$A$546,$C51,'Raw IC'!$B$5:$B$546,10))</x:f>
        <x:v>0.022366618714618012</x:v>
      </x:c>
      <x:c r="K51" s="23" t="n">
        <x:f>IF(COUNTIFS('Raw IC'!$A$5:$A$546,$C51,'Raw IC'!$B$5:$B$546,20)=0,"",SUMIFS('Raw IC'!$C$5:$C$546,'Raw IC'!$A$5:$A$546,$C51,'Raw IC'!$B$5:$B$546,20))</x:f>
        <x:v>0.024956186800785343</x:v>
      </x:c>
      <x:c r="L51" s="23" t="n">
        <x:f>IF(COUNT(H51:K51)=0,"",AVERAGE(H51:K51))</x:f>
        <x:v>0.023661402757701677</x:v>
      </x:c>
      <x:c r="M51" s="22" t="n">
        <x:f>COUNT(H51:K51)</x:f>
        <x:v>2</x:v>
      </x:c>
      <x:c r="N51" s="25" t="n">
        <x:v>46211.24138539352</x:v>
      </x:c>
      <x:c r="O51" s="24" t="n">
        <x:v>8902245</x:v>
      </x:c>
      <x:c r="P51" t="str">
        <x:v>legacy_common_sample_8902245</x:v>
      </x:c>
      <x:c r="Q51" t="str">
        <x:v>factor_report/gtja191_batch/gtja_038</x:v>
      </x:c>
    </x:row>
    <x:row r="52">
      <x:c r="A52" s="22" t="n">
        <x:f>IF($D52="ranked",1+COUNTIFS($D$5:$D$190,"ranked",$E$5:$E$190,"&gt;"&amp;$E52),"")</x:f>
        <x:v>48</x:v>
      </x:c>
      <x:c r="B52" s="22" t="n">
        <x:f>IF($D52="ranked",1+COUNTIFS($D$5:$D$190,"ranked",$F$5:$F$190,"&gt;"&amp;$F52),"")</x:f>
        <x:v>128</x:v>
      </x:c>
      <x:c r="C52" t="str">
        <x:v>gtja_048</x:v>
      </x:c>
      <x:c r="D52" t="str">
        <x:v>ranked</x:v>
      </x:c>
      <x:c r="E52" s="23" t="n">
        <x:f>IF(COUNT(J52,K52)&lt;2,"",AVERAGE(J52,K52))</x:f>
        <x:v>0.023447819536555236</x:v>
      </x:c>
      <x:c r="F52" s="23" t="n">
        <x:f>IF(E52="","",ABS(E52))</x:f>
        <x:v>0.023447819536555236</x:v>
      </x:c>
      <x:c r="G52" s="23" t="str">
        <x:f>IF(E52="","",IF(E52&gt;=0,"positive","negative"))</x:f>
        <x:v>positive</x:v>
      </x:c>
      <x:c r="H52" s="23" t="str">
        <x:f>IF(COUNTIFS('Raw IC'!$A$5:$A$546,$C52,'Raw IC'!$B$5:$B$546,1)=0,"",SUMIFS('Raw IC'!$C$5:$C$546,'Raw IC'!$A$5:$A$546,$C52,'Raw IC'!$B$5:$B$546,1))</x:f>
      </x:c>
      <x:c r="I52" s="23" t="str">
        <x:f>IF(COUNTIFS('Raw IC'!$A$5:$A$546,$C52,'Raw IC'!$B$5:$B$546,5)=0,"",SUMIFS('Raw IC'!$C$5:$C$546,'Raw IC'!$A$5:$A$546,$C52,'Raw IC'!$B$5:$B$546,5))</x:f>
      </x:c>
      <x:c r="J52" s="23" t="n">
        <x:f>IF(COUNTIFS('Raw IC'!$A$5:$A$546,$C52,'Raw IC'!$B$5:$B$546,10)=0,"",SUMIFS('Raw IC'!$C$5:$C$546,'Raw IC'!$A$5:$A$546,$C52,'Raw IC'!$B$5:$B$546,10))</x:f>
        <x:v>0.022741292802513278</x:v>
      </x:c>
      <x:c r="K52" s="23" t="n">
        <x:f>IF(COUNTIFS('Raw IC'!$A$5:$A$546,$C52,'Raw IC'!$B$5:$B$546,20)=0,"",SUMIFS('Raw IC'!$C$5:$C$546,'Raw IC'!$A$5:$A$546,$C52,'Raw IC'!$B$5:$B$546,20))</x:f>
        <x:v>0.024154346270597194</x:v>
      </x:c>
      <x:c r="L52" s="23" t="n">
        <x:f>IF(COUNT(H52:K52)=0,"",AVERAGE(H52:K52))</x:f>
        <x:v>0.023447819536555236</x:v>
      </x:c>
      <x:c r="M52" s="22" t="n">
        <x:f>COUNT(H52:K52)</x:f>
        <x:v>2</x:v>
      </x:c>
      <x:c r="N52" s="25" t="n">
        <x:v>46211.27421923611</x:v>
      </x:c>
      <x:c r="O52" s="24" t="n">
        <x:v>8902245</x:v>
      </x:c>
      <x:c r="P52" t="str">
        <x:v>legacy_common_sample_8902245</x:v>
      </x:c>
      <x:c r="Q52" t="str">
        <x:v>factor_report/gtja191_batch/gtja_048</x:v>
      </x:c>
    </x:row>
    <x:row r="53">
      <x:c r="A53" s="22" t="n">
        <x:f>IF($D53="ranked",1+COUNTIFS($D$5:$D$190,"ranked",$E$5:$E$190,"&gt;"&amp;$E53),"")</x:f>
        <x:v>49</x:v>
      </x:c>
      <x:c r="B53" s="22" t="n">
        <x:f>IF($D53="ranked",1+COUNTIFS($D$5:$D$190,"ranked",$F$5:$F$190,"&gt;"&amp;$F53),"")</x:f>
        <x:v>129</x:v>
      </x:c>
      <x:c r="C53" t="str">
        <x:v>gtja_072</x:v>
      </x:c>
      <x:c r="D53" t="str">
        <x:v>ranked</x:v>
      </x:c>
      <x:c r="E53" s="23" t="n">
        <x:f>IF(COUNT(J53,K53)&lt;2,"",AVERAGE(J53,K53))</x:f>
        <x:v>0.023208390412237278</x:v>
      </x:c>
      <x:c r="F53" s="23" t="n">
        <x:f>IF(E53="","",ABS(E53))</x:f>
        <x:v>0.023208390412237278</x:v>
      </x:c>
      <x:c r="G53" s="23" t="str">
        <x:f>IF(E53="","",IF(E53&gt;=0,"positive","negative"))</x:f>
        <x:v>positive</x:v>
      </x:c>
      <x:c r="H53" s="23" t="str">
        <x:f>IF(COUNTIFS('Raw IC'!$A$5:$A$546,$C53,'Raw IC'!$B$5:$B$546,1)=0,"",SUMIFS('Raw IC'!$C$5:$C$546,'Raw IC'!$A$5:$A$546,$C53,'Raw IC'!$B$5:$B$546,1))</x:f>
      </x:c>
      <x:c r="I53" s="23" t="str">
        <x:f>IF(COUNTIFS('Raw IC'!$A$5:$A$546,$C53,'Raw IC'!$B$5:$B$546,5)=0,"",SUMIFS('Raw IC'!$C$5:$C$546,'Raw IC'!$A$5:$A$546,$C53,'Raw IC'!$B$5:$B$546,5))</x:f>
      </x:c>
      <x:c r="J53" s="23" t="n">
        <x:f>IF(COUNTIFS('Raw IC'!$A$5:$A$546,$C53,'Raw IC'!$B$5:$B$546,10)=0,"",SUMIFS('Raw IC'!$C$5:$C$546,'Raw IC'!$A$5:$A$546,$C53,'Raw IC'!$B$5:$B$546,10))</x:f>
        <x:v>0.020469736367572655</x:v>
      </x:c>
      <x:c r="K53" s="23" t="n">
        <x:f>IF(COUNTIFS('Raw IC'!$A$5:$A$546,$C53,'Raw IC'!$B$5:$B$546,20)=0,"",SUMIFS('Raw IC'!$C$5:$C$546,'Raw IC'!$A$5:$A$546,$C53,'Raw IC'!$B$5:$B$546,20))</x:f>
        <x:v>0.0259470444569019</x:v>
      </x:c>
      <x:c r="L53" s="23" t="n">
        <x:f>IF(COUNT(H53:K53)=0,"",AVERAGE(H53:K53))</x:f>
        <x:v>0.023208390412237278</x:v>
      </x:c>
      <x:c r="M53" s="22" t="n">
        <x:f>COUNT(H53:K53)</x:f>
        <x:v>2</x:v>
      </x:c>
      <x:c r="N53" s="25" t="n">
        <x:v>46211.29907770833</x:v>
      </x:c>
      <x:c r="O53" s="24" t="n">
        <x:v>8902245</x:v>
      </x:c>
      <x:c r="P53" t="str">
        <x:v>legacy_common_sample_8902245</x:v>
      </x:c>
      <x:c r="Q53" t="str">
        <x:v>factor_report/gtja191_batch/gtja_072</x:v>
      </x:c>
    </x:row>
    <x:row r="54">
      <x:c r="A54" s="22" t="n">
        <x:f>IF($D54="ranked",1+COUNTIFS($D$5:$D$190,"ranked",$E$5:$E$190,"&gt;"&amp;$E54),"")</x:f>
        <x:v>50</x:v>
      </x:c>
      <x:c r="B54" s="22" t="n">
        <x:f>IF($D54="ranked",1+COUNTIFS($D$5:$D$190,"ranked",$F$5:$F$190,"&gt;"&amp;$F54),"")</x:f>
        <x:v>130</x:v>
      </x:c>
      <x:c r="C54" t="str">
        <x:v>gtja_101</x:v>
      </x:c>
      <x:c r="D54" t="str">
        <x:v>ranked</x:v>
      </x:c>
      <x:c r="E54" s="23" t="n">
        <x:f>IF(COUNT(J54,K54)&lt;2,"",AVERAGE(J54,K54))</x:f>
        <x:v>0.02303583277155441</x:v>
      </x:c>
      <x:c r="F54" s="23" t="n">
        <x:f>IF(E54="","",ABS(E54))</x:f>
        <x:v>0.02303583277155441</x:v>
      </x:c>
      <x:c r="G54" s="23" t="str">
        <x:f>IF(E54="","",IF(E54&gt;=0,"positive","negative"))</x:f>
        <x:v>positive</x:v>
      </x:c>
      <x:c r="H54" s="23" t="str">
        <x:f>IF(COUNTIFS('Raw IC'!$A$5:$A$546,$C54,'Raw IC'!$B$5:$B$546,1)=0,"",SUMIFS('Raw IC'!$C$5:$C$546,'Raw IC'!$A$5:$A$546,$C54,'Raw IC'!$B$5:$B$546,1))</x:f>
      </x:c>
      <x:c r="I54" s="23" t="str">
        <x:f>IF(COUNTIFS('Raw IC'!$A$5:$A$546,$C54,'Raw IC'!$B$5:$B$546,5)=0,"",SUMIFS('Raw IC'!$C$5:$C$546,'Raw IC'!$A$5:$A$546,$C54,'Raw IC'!$B$5:$B$546,5))</x:f>
      </x:c>
      <x:c r="J54" s="23" t="n">
        <x:f>IF(COUNTIFS('Raw IC'!$A$5:$A$546,$C54,'Raw IC'!$B$5:$B$546,10)=0,"",SUMIFS('Raw IC'!$C$5:$C$546,'Raw IC'!$A$5:$A$546,$C54,'Raw IC'!$B$5:$B$546,10))</x:f>
        <x:v>0.02186142074971069</x:v>
      </x:c>
      <x:c r="K54" s="23" t="n">
        <x:f>IF(COUNTIFS('Raw IC'!$A$5:$A$546,$C54,'Raw IC'!$B$5:$B$546,20)=0,"",SUMIFS('Raw IC'!$C$5:$C$546,'Raw IC'!$A$5:$A$546,$C54,'Raw IC'!$B$5:$B$546,20))</x:f>
        <x:v>0.024210244793398127</x:v>
      </x:c>
      <x:c r="L54" s="23" t="n">
        <x:f>IF(COUNT(H54:K54)=0,"",AVERAGE(H54:K54))</x:f>
        <x:v>0.02303583277155441</x:v>
      </x:c>
      <x:c r="M54" s="22" t="n">
        <x:f>COUNT(H54:K54)</x:f>
        <x:v>2</x:v>
      </x:c>
      <x:c r="N54" s="25" t="n">
        <x:v>46211.35053340278</x:v>
      </x:c>
      <x:c r="O54" s="24" t="n">
        <x:v>8902245</x:v>
      </x:c>
      <x:c r="P54" t="str">
        <x:v>legacy_common_sample_8902245</x:v>
      </x:c>
      <x:c r="Q54" t="str">
        <x:v>factor_report/gtja191_batch/gtja_101</x:v>
      </x:c>
    </x:row>
    <x:row r="55">
      <x:c r="A55" s="22" t="n">
        <x:f>IF($D55="ranked",1+COUNTIFS($D$5:$D$190,"ranked",$E$5:$E$190,"&gt;"&amp;$E55),"")</x:f>
        <x:v>51</x:v>
      </x:c>
      <x:c r="B55" s="22" t="n">
        <x:f>IF($D55="ranked",1+COUNTIFS($D$5:$D$190,"ranked",$F$5:$F$190,"&gt;"&amp;$F55),"")</x:f>
        <x:v>131</x:v>
      </x:c>
      <x:c r="C55" t="str">
        <x:v>gtja_108</x:v>
      </x:c>
      <x:c r="D55" t="str">
        <x:v>ranked</x:v>
      </x:c>
      <x:c r="E55" s="23" t="n">
        <x:f>IF(COUNT(J55,K55)&lt;2,"",AVERAGE(J55,K55))</x:f>
        <x:v>0.02263384510486477</x:v>
      </x:c>
      <x:c r="F55" s="23" t="n">
        <x:f>IF(E55="","",ABS(E55))</x:f>
        <x:v>0.02263384510486477</x:v>
      </x:c>
      <x:c r="G55" s="23" t="str">
        <x:f>IF(E55="","",IF(E55&gt;=0,"positive","negative"))</x:f>
        <x:v>positive</x:v>
      </x:c>
      <x:c r="H55" s="23" t="str">
        <x:f>IF(COUNTIFS('Raw IC'!$A$5:$A$546,$C55,'Raw IC'!$B$5:$B$546,1)=0,"",SUMIFS('Raw IC'!$C$5:$C$546,'Raw IC'!$A$5:$A$546,$C55,'Raw IC'!$B$5:$B$546,1))</x:f>
      </x:c>
      <x:c r="I55" s="23" t="str">
        <x:f>IF(COUNTIFS('Raw IC'!$A$5:$A$546,$C55,'Raw IC'!$B$5:$B$546,5)=0,"",SUMIFS('Raw IC'!$C$5:$C$546,'Raw IC'!$A$5:$A$546,$C55,'Raw IC'!$B$5:$B$546,5))</x:f>
      </x:c>
      <x:c r="J55" s="23" t="n">
        <x:f>IF(COUNTIFS('Raw IC'!$A$5:$A$546,$C55,'Raw IC'!$B$5:$B$546,10)=0,"",SUMIFS('Raw IC'!$C$5:$C$546,'Raw IC'!$A$5:$A$546,$C55,'Raw IC'!$B$5:$B$546,10))</x:f>
        <x:v>0.021305135627949195</x:v>
      </x:c>
      <x:c r="K55" s="23" t="n">
        <x:f>IF(COUNTIFS('Raw IC'!$A$5:$A$546,$C55,'Raw IC'!$B$5:$B$546,20)=0,"",SUMIFS('Raw IC'!$C$5:$C$546,'Raw IC'!$A$5:$A$546,$C55,'Raw IC'!$B$5:$B$546,20))</x:f>
        <x:v>0.02396255458178034</x:v>
      </x:c>
      <x:c r="L55" s="23" t="n">
        <x:f>IF(COUNT(H55:K55)=0,"",AVERAGE(H55:K55))</x:f>
        <x:v>0.02263384510486477</x:v>
      </x:c>
      <x:c r="M55" s="22" t="n">
        <x:f>COUNT(H55:K55)</x:f>
        <x:v>2</x:v>
      </x:c>
      <x:c r="N55" s="25" t="n">
        <x:v>46211.360724976854</x:v>
      </x:c>
      <x:c r="O55" s="24" t="n">
        <x:v>8902245</x:v>
      </x:c>
      <x:c r="P55" t="str">
        <x:v>legacy_common_sample_8902245</x:v>
      </x:c>
      <x:c r="Q55" t="str">
        <x:v>factor_report/gtja191_batch/gtja_108</x:v>
      </x:c>
    </x:row>
    <x:row r="56">
      <x:c r="A56" s="22" t="n">
        <x:f>IF($D56="ranked",1+COUNTIFS($D$5:$D$190,"ranked",$E$5:$E$190,"&gt;"&amp;$E56),"")</x:f>
        <x:v>52</x:v>
      </x:c>
      <x:c r="B56" s="22" t="n">
        <x:f>IF($D56="ranked",1+COUNTIFS($D$5:$D$190,"ranked",$F$5:$F$190,"&gt;"&amp;$F56),"")</x:f>
        <x:v>132</x:v>
      </x:c>
      <x:c r="C56" t="str">
        <x:v>gtja_082</x:v>
      </x:c>
      <x:c r="D56" t="str">
        <x:v>ranked</x:v>
      </x:c>
      <x:c r="E56" s="23" t="n">
        <x:f>IF(COUNT(J56,K56)&lt;2,"",AVERAGE(J56,K56))</x:f>
        <x:v>0.022252590697642308</x:v>
      </x:c>
      <x:c r="F56" s="23" t="n">
        <x:f>IF(E56="","",ABS(E56))</x:f>
        <x:v>0.022252590697642308</x:v>
      </x:c>
      <x:c r="G56" s="23" t="str">
        <x:f>IF(E56="","",IF(E56&gt;=0,"positive","negative"))</x:f>
        <x:v>positive</x:v>
      </x:c>
      <x:c r="H56" s="23" t="str">
        <x:f>IF(COUNTIFS('Raw IC'!$A$5:$A$546,$C56,'Raw IC'!$B$5:$B$546,1)=0,"",SUMIFS('Raw IC'!$C$5:$C$546,'Raw IC'!$A$5:$A$546,$C56,'Raw IC'!$B$5:$B$546,1))</x:f>
      </x:c>
      <x:c r="I56" s="23" t="str">
        <x:f>IF(COUNTIFS('Raw IC'!$A$5:$A$546,$C56,'Raw IC'!$B$5:$B$546,5)=0,"",SUMIFS('Raw IC'!$C$5:$C$546,'Raw IC'!$A$5:$A$546,$C56,'Raw IC'!$B$5:$B$546,5))</x:f>
      </x:c>
      <x:c r="J56" s="23" t="n">
        <x:f>IF(COUNTIFS('Raw IC'!$A$5:$A$546,$C56,'Raw IC'!$B$5:$B$546,10)=0,"",SUMIFS('Raw IC'!$C$5:$C$546,'Raw IC'!$A$5:$A$546,$C56,'Raw IC'!$B$5:$B$546,10))</x:f>
        <x:v>0.019699206520663495</x:v>
      </x:c>
      <x:c r="K56" s="23" t="n">
        <x:f>IF(COUNTIFS('Raw IC'!$A$5:$A$546,$C56,'Raw IC'!$B$5:$B$546,20)=0,"",SUMIFS('Raw IC'!$C$5:$C$546,'Raw IC'!$A$5:$A$546,$C56,'Raw IC'!$B$5:$B$546,20))</x:f>
        <x:v>0.024805974874621117</x:v>
      </x:c>
      <x:c r="L56" s="23" t="n">
        <x:f>IF(COUNT(H56:K56)=0,"",AVERAGE(H56:K56))</x:f>
        <x:v>0.022252590697642308</x:v>
      </x:c>
      <x:c r="M56" s="22" t="n">
        <x:f>COUNT(H56:K56)</x:f>
        <x:v>2</x:v>
      </x:c>
      <x:c r="N56" s="25" t="n">
        <x:v>46211.314943969905</x:v>
      </x:c>
      <x:c r="O56" s="24" t="n">
        <x:v>8902245</x:v>
      </x:c>
      <x:c r="P56" t="str">
        <x:v>legacy_common_sample_8902245</x:v>
      </x:c>
      <x:c r="Q56" t="str">
        <x:v>factor_report/gtja191_batch/gtja_082</x:v>
      </x:c>
    </x:row>
    <x:row r="57">
      <x:c r="A57" s="22" t="n">
        <x:f>IF($D57="ranked",1+COUNTIFS($D$5:$D$190,"ranked",$E$5:$E$190,"&gt;"&amp;$E57),"")</x:f>
        <x:v>53</x:v>
      </x:c>
      <x:c r="B57" s="22" t="n">
        <x:f>IF($D57="ranked",1+COUNTIFS($D$5:$D$190,"ranked",$F$5:$F$190,"&gt;"&amp;$F57),"")</x:f>
        <x:v>133</x:v>
      </x:c>
      <x:c r="C57" t="str">
        <x:v>gtja_047</x:v>
      </x:c>
      <x:c r="D57" t="str">
        <x:v>ranked</x:v>
      </x:c>
      <x:c r="E57" s="23" t="n">
        <x:f>IF(COUNT(J57,K57)&lt;2,"",AVERAGE(J57,K57))</x:f>
        <x:v>0.022234311142540857</x:v>
      </x:c>
      <x:c r="F57" s="23" t="n">
        <x:f>IF(E57="","",ABS(E57))</x:f>
        <x:v>0.022234311142540857</x:v>
      </x:c>
      <x:c r="G57" s="23" t="str">
        <x:f>IF(E57="","",IF(E57&gt;=0,"positive","negative"))</x:f>
        <x:v>positive</x:v>
      </x:c>
      <x:c r="H57" s="23" t="str">
        <x:f>IF(COUNTIFS('Raw IC'!$A$5:$A$546,$C57,'Raw IC'!$B$5:$B$546,1)=0,"",SUMIFS('Raw IC'!$C$5:$C$546,'Raw IC'!$A$5:$A$546,$C57,'Raw IC'!$B$5:$B$546,1))</x:f>
      </x:c>
      <x:c r="I57" s="23" t="str">
        <x:f>IF(COUNTIFS('Raw IC'!$A$5:$A$546,$C57,'Raw IC'!$B$5:$B$546,5)=0,"",SUMIFS('Raw IC'!$C$5:$C$546,'Raw IC'!$A$5:$A$546,$C57,'Raw IC'!$B$5:$B$546,5))</x:f>
      </x:c>
      <x:c r="J57" s="23" t="n">
        <x:f>IF(COUNTIFS('Raw IC'!$A$5:$A$546,$C57,'Raw IC'!$B$5:$B$546,10)=0,"",SUMIFS('Raw IC'!$C$5:$C$546,'Raw IC'!$A$5:$A$546,$C57,'Raw IC'!$B$5:$B$546,10))</x:f>
        <x:v>0.01954156887494311</x:v>
      </x:c>
      <x:c r="K57" s="23" t="n">
        <x:f>IF(COUNTIFS('Raw IC'!$A$5:$A$546,$C57,'Raw IC'!$B$5:$B$546,20)=0,"",SUMIFS('Raw IC'!$C$5:$C$546,'Raw IC'!$A$5:$A$546,$C57,'Raw IC'!$B$5:$B$546,20))</x:f>
        <x:v>0.024927053410138605</x:v>
      </x:c>
      <x:c r="L57" s="23" t="n">
        <x:f>IF(COUNT(H57:K57)=0,"",AVERAGE(H57:K57))</x:f>
        <x:v>0.022234311142540857</x:v>
      </x:c>
      <x:c r="M57" s="22" t="n">
        <x:f>COUNT(H57:K57)</x:f>
        <x:v>2</x:v>
      </x:c>
      <x:c r="N57" s="25" t="n">
        <x:v>46211.27178611111</x:v>
      </x:c>
      <x:c r="O57" s="24" t="n">
        <x:v>8902245</x:v>
      </x:c>
      <x:c r="P57" t="str">
        <x:v>legacy_common_sample_8902245</x:v>
      </x:c>
      <x:c r="Q57" t="str">
        <x:v>factor_report/gtja191_batch/gtja_047</x:v>
      </x:c>
    </x:row>
    <x:row r="58">
      <x:c r="A58" s="22" t="n">
        <x:f>IF($D58="ranked",1+COUNTIFS($D$5:$D$190,"ranked",$E$5:$E$190,"&gt;"&amp;$E58),"")</x:f>
        <x:v>54</x:v>
      </x:c>
      <x:c r="B58" s="22" t="n">
        <x:f>IF($D58="ranked",1+COUNTIFS($D$5:$D$190,"ranked",$F$5:$F$190,"&gt;"&amp;$F58),"")</x:f>
        <x:v>134</x:v>
      </x:c>
      <x:c r="C58" t="str">
        <x:v>gtja_092</x:v>
      </x:c>
      <x:c r="D58" t="str">
        <x:v>ranked</x:v>
      </x:c>
      <x:c r="E58" s="23" t="n">
        <x:f>IF(COUNT(J58,K58)&lt;2,"",AVERAGE(J58,K58))</x:f>
        <x:v>0.022097396335901395</x:v>
      </x:c>
      <x:c r="F58" s="23" t="n">
        <x:f>IF(E58="","",ABS(E58))</x:f>
        <x:v>0.022097396335901395</x:v>
      </x:c>
      <x:c r="G58" s="23" t="str">
        <x:f>IF(E58="","",IF(E58&gt;=0,"positive","negative"))</x:f>
        <x:v>positive</x:v>
      </x:c>
      <x:c r="H58" s="23" t="str">
        <x:f>IF(COUNTIFS('Raw IC'!$A$5:$A$546,$C58,'Raw IC'!$B$5:$B$546,1)=0,"",SUMIFS('Raw IC'!$C$5:$C$546,'Raw IC'!$A$5:$A$546,$C58,'Raw IC'!$B$5:$B$546,1))</x:f>
      </x:c>
      <x:c r="I58" s="23" t="str">
        <x:f>IF(COUNTIFS('Raw IC'!$A$5:$A$546,$C58,'Raw IC'!$B$5:$B$546,5)=0,"",SUMIFS('Raw IC'!$C$5:$C$546,'Raw IC'!$A$5:$A$546,$C58,'Raw IC'!$B$5:$B$546,5))</x:f>
      </x:c>
      <x:c r="J58" s="23" t="n">
        <x:f>IF(COUNTIFS('Raw IC'!$A$5:$A$546,$C58,'Raw IC'!$B$5:$B$546,10)=0,"",SUMIFS('Raw IC'!$C$5:$C$546,'Raw IC'!$A$5:$A$546,$C58,'Raw IC'!$B$5:$B$546,10))</x:f>
        <x:v>0.020594322057518277</x:v>
      </x:c>
      <x:c r="K58" s="23" t="n">
        <x:f>IF(COUNTIFS('Raw IC'!$A$5:$A$546,$C58,'Raw IC'!$B$5:$B$546,20)=0,"",SUMIFS('Raw IC'!$C$5:$C$546,'Raw IC'!$A$5:$A$546,$C58,'Raw IC'!$B$5:$B$546,20))</x:f>
        <x:v>0.02360047061428451</x:v>
      </x:c>
      <x:c r="L58" s="23" t="n">
        <x:f>IF(COUNT(H58:K58)=0,"",AVERAGE(H58:K58))</x:f>
        <x:v>0.022097396335901395</x:v>
      </x:c>
      <x:c r="M58" s="22" t="n">
        <x:f>COUNT(H58:K58)</x:f>
        <x:v>2</x:v>
      </x:c>
      <x:c r="N58" s="25" t="n">
        <x:v>46211.339528993056</x:v>
      </x:c>
      <x:c r="O58" s="24" t="n">
        <x:v>8902245</x:v>
      </x:c>
      <x:c r="P58" t="str">
        <x:v>legacy_common_sample_8902245</x:v>
      </x:c>
      <x:c r="Q58" t="str">
        <x:v>factor_report/gtja191_batch/gtja_092</x:v>
      </x:c>
    </x:row>
    <x:row r="59">
      <x:c r="A59" s="22" t="n">
        <x:f>IF($D59="ranked",1+COUNTIFS($D$5:$D$190,"ranked",$E$5:$E$190,"&gt;"&amp;$E59),"")</x:f>
        <x:v>55</x:v>
      </x:c>
      <x:c r="B59" s="22" t="n">
        <x:f>IF($D59="ranked",1+COUNTIFS($D$5:$D$190,"ranked",$F$5:$F$190,"&gt;"&amp;$F59),"")</x:f>
        <x:v>138</x:v>
      </x:c>
      <x:c r="C59" t="str">
        <x:v>gtja_130</x:v>
      </x:c>
      <x:c r="D59" t="str">
        <x:v>ranked</x:v>
      </x:c>
      <x:c r="E59" s="23" t="n">
        <x:f>IF(COUNT(J59,K59)&lt;2,"",AVERAGE(J59,K59))</x:f>
        <x:v>0.020028243359532794</x:v>
      </x:c>
      <x:c r="F59" s="23" t="n">
        <x:f>IF(E59="","",ABS(E59))</x:f>
        <x:v>0.020028243359532794</x:v>
      </x:c>
      <x:c r="G59" s="23" t="str">
        <x:f>IF(E59="","",IF(E59&gt;=0,"positive","negative"))</x:f>
        <x:v>positive</x:v>
      </x:c>
      <x:c r="H59" s="23" t="str">
        <x:f>IF(COUNTIFS('Raw IC'!$A$5:$A$546,$C59,'Raw IC'!$B$5:$B$546,1)=0,"",SUMIFS('Raw IC'!$C$5:$C$546,'Raw IC'!$A$5:$A$546,$C59,'Raw IC'!$B$5:$B$546,1))</x:f>
      </x:c>
      <x:c r="I59" s="23" t="str">
        <x:f>IF(COUNTIFS('Raw IC'!$A$5:$A$546,$C59,'Raw IC'!$B$5:$B$546,5)=0,"",SUMIFS('Raw IC'!$C$5:$C$546,'Raw IC'!$A$5:$A$546,$C59,'Raw IC'!$B$5:$B$546,5))</x:f>
      </x:c>
      <x:c r="J59" s="23" t="n">
        <x:f>IF(COUNTIFS('Raw IC'!$A$5:$A$546,$C59,'Raw IC'!$B$5:$B$546,10)=0,"",SUMIFS('Raw IC'!$C$5:$C$546,'Raw IC'!$A$5:$A$546,$C59,'Raw IC'!$B$5:$B$546,10))</x:f>
        <x:v>0.019332473959898393</x:v>
      </x:c>
      <x:c r="K59" s="23" t="n">
        <x:f>IF(COUNTIFS('Raw IC'!$A$5:$A$546,$C59,'Raw IC'!$B$5:$B$546,20)=0,"",SUMIFS('Raw IC'!$C$5:$C$546,'Raw IC'!$A$5:$A$546,$C59,'Raw IC'!$B$5:$B$546,20))</x:f>
        <x:v>0.020724012759167194</x:v>
      </x:c>
      <x:c r="L59" s="23" t="n">
        <x:f>IF(COUNT(H59:K59)=0,"",AVERAGE(H59:K59))</x:f>
        <x:v>0.020028243359532794</x:v>
      </x:c>
      <x:c r="M59" s="22" t="n">
        <x:f>COUNT(H59:K59)</x:f>
        <x:v>2</x:v>
      </x:c>
      <x:c r="N59" s="25" t="n">
        <x:v>46211.42025105324</x:v>
      </x:c>
      <x:c r="O59" s="24" t="n">
        <x:v>8902245</x:v>
      </x:c>
      <x:c r="P59" t="str">
        <x:v>legacy_common_sample_8902245</x:v>
      </x:c>
      <x:c r="Q59" t="str">
        <x:v>factor_report/gtja191_batch/gtja_130</x:v>
      </x:c>
    </x:row>
    <x:row r="60">
      <x:c r="A60" s="22" t="n">
        <x:f>IF($D60="ranked",1+COUNTIFS($D$5:$D$190,"ranked",$E$5:$E$190,"&gt;"&amp;$E60),"")</x:f>
        <x:v>56</x:v>
      </x:c>
      <x:c r="B60" s="22" t="n">
        <x:f>IF($D60="ranked",1+COUNTIFS($D$5:$D$190,"ranked",$F$5:$F$190,"&gt;"&amp;$F60),"")</x:f>
        <x:v>139</x:v>
      </x:c>
      <x:c r="C60" t="str">
        <x:v>gtja_141</x:v>
      </x:c>
      <x:c r="D60" t="str">
        <x:v>ranked</x:v>
      </x:c>
      <x:c r="E60" s="23" t="n">
        <x:f>IF(COUNT(J60,K60)&lt;2,"",AVERAGE(J60,K60))</x:f>
        <x:v>0.019410577155030563</x:v>
      </x:c>
      <x:c r="F60" s="23" t="n">
        <x:f>IF(E60="","",ABS(E60))</x:f>
        <x:v>0.019410577155030563</x:v>
      </x:c>
      <x:c r="G60" s="23" t="str">
        <x:f>IF(E60="","",IF(E60&gt;=0,"positive","negative"))</x:f>
        <x:v>positive</x:v>
      </x:c>
      <x:c r="H60" s="23" t="str">
        <x:f>IF(COUNTIFS('Raw IC'!$A$5:$A$546,$C60,'Raw IC'!$B$5:$B$546,1)=0,"",SUMIFS('Raw IC'!$C$5:$C$546,'Raw IC'!$A$5:$A$546,$C60,'Raw IC'!$B$5:$B$546,1))</x:f>
      </x:c>
      <x:c r="I60" s="23" t="str">
        <x:f>IF(COUNTIFS('Raw IC'!$A$5:$A$546,$C60,'Raw IC'!$B$5:$B$546,5)=0,"",SUMIFS('Raw IC'!$C$5:$C$546,'Raw IC'!$A$5:$A$546,$C60,'Raw IC'!$B$5:$B$546,5))</x:f>
      </x:c>
      <x:c r="J60" s="23" t="n">
        <x:f>IF(COUNTIFS('Raw IC'!$A$5:$A$546,$C60,'Raw IC'!$B$5:$B$546,10)=0,"",SUMIFS('Raw IC'!$C$5:$C$546,'Raw IC'!$A$5:$A$546,$C60,'Raw IC'!$B$5:$B$546,10))</x:f>
        <x:v>0.0187110845344238</x:v>
      </x:c>
      <x:c r="K60" s="23" t="n">
        <x:f>IF(COUNTIFS('Raw IC'!$A$5:$A$546,$C60,'Raw IC'!$B$5:$B$546,20)=0,"",SUMIFS('Raw IC'!$C$5:$C$546,'Raw IC'!$A$5:$A$546,$C60,'Raw IC'!$B$5:$B$546,20))</x:f>
        <x:v>0.02011006977563733</x:v>
      </x:c>
      <x:c r="L60" s="23" t="n">
        <x:f>IF(COUNT(H60:K60)=0,"",AVERAGE(H60:K60))</x:f>
        <x:v>0.019410577155030563</x:v>
      </x:c>
      <x:c r="M60" s="22" t="n">
        <x:f>COUNT(H60:K60)</x:f>
        <x:v>2</x:v>
      </x:c>
      <x:c r="N60" s="25" t="n">
        <x:v>46211.443886967594</x:v>
      </x:c>
      <x:c r="O60" s="24" t="n">
        <x:v>8902245</x:v>
      </x:c>
      <x:c r="P60" t="str">
        <x:v>legacy_common_sample_8902245</x:v>
      </x:c>
      <x:c r="Q60" t="str">
        <x:v>factor_report/gtja191_batch/gtja_141</x:v>
      </x:c>
    </x:row>
    <x:row r="61">
      <x:c r="A61" s="22" t="n">
        <x:f>IF($D61="ranked",1+COUNTIFS($D$5:$D$190,"ranked",$E$5:$E$190,"&gt;"&amp;$E61),"")</x:f>
        <x:v>57</x:v>
      </x:c>
      <x:c r="B61" s="22" t="n">
        <x:f>IF($D61="ranked",1+COUNTIFS($D$5:$D$190,"ranked",$F$5:$F$190,"&gt;"&amp;$F61),"")</x:f>
        <x:v>140</x:v>
      </x:c>
      <x:c r="C61" t="str">
        <x:v>gtja_006</x:v>
      </x:c>
      <x:c r="D61" t="str">
        <x:v>ranked</x:v>
      </x:c>
      <x:c r="E61" s="23" t="n">
        <x:f>IF(COUNT(J61,K61)&lt;2,"",AVERAGE(J61,K61))</x:f>
        <x:v>0.01935027409978145</x:v>
      </x:c>
      <x:c r="F61" s="23" t="n">
        <x:f>IF(E61="","",ABS(E61))</x:f>
        <x:v>0.01935027409978145</x:v>
      </x:c>
      <x:c r="G61" s="23" t="str">
        <x:f>IF(E61="","",IF(E61&gt;=0,"positive","negative"))</x:f>
        <x:v>positive</x:v>
      </x:c>
      <x:c r="H61" s="23" t="str">
        <x:f>IF(COUNTIFS('Raw IC'!$A$5:$A$546,$C61,'Raw IC'!$B$5:$B$546,1)=0,"",SUMIFS('Raw IC'!$C$5:$C$546,'Raw IC'!$A$5:$A$546,$C61,'Raw IC'!$B$5:$B$546,1))</x:f>
      </x:c>
      <x:c r="I61" s="23" t="str">
        <x:f>IF(COUNTIFS('Raw IC'!$A$5:$A$546,$C61,'Raw IC'!$B$5:$B$546,5)=0,"",SUMIFS('Raw IC'!$C$5:$C$546,'Raw IC'!$A$5:$A$546,$C61,'Raw IC'!$B$5:$B$546,5))</x:f>
      </x:c>
      <x:c r="J61" s="23" t="n">
        <x:f>IF(COUNTIFS('Raw IC'!$A$5:$A$546,$C61,'Raw IC'!$B$5:$B$546,10)=0,"",SUMIFS('Raw IC'!$C$5:$C$546,'Raw IC'!$A$5:$A$546,$C61,'Raw IC'!$B$5:$B$546,10))</x:f>
        <x:v>0.018833424828975622</x:v>
      </x:c>
      <x:c r="K61" s="23" t="n">
        <x:f>IF(COUNTIFS('Raw IC'!$A$5:$A$546,$C61,'Raw IC'!$B$5:$B$546,20)=0,"",SUMIFS('Raw IC'!$C$5:$C$546,'Raw IC'!$A$5:$A$546,$C61,'Raw IC'!$B$5:$B$546,20))</x:f>
        <x:v>0.01986712337058728</x:v>
      </x:c>
      <x:c r="L61" s="23" t="n">
        <x:f>IF(COUNT(H61:K61)=0,"",AVERAGE(H61:K61))</x:f>
        <x:v>0.01935027409978145</x:v>
      </x:c>
      <x:c r="M61" s="22" t="n">
        <x:f>COUNT(H61:K61)</x:f>
        <x:v>2</x:v>
      </x:c>
      <x:c r="N61" s="25" t="n">
        <x:v>46211.17062405092</x:v>
      </x:c>
      <x:c r="O61" s="24" t="n">
        <x:v>8902245</x:v>
      </x:c>
      <x:c r="P61" t="str">
        <x:v>legacy_common_sample_8902245</x:v>
      </x:c>
      <x:c r="Q61" t="str">
        <x:v>factor_report/gtja191_batch/gtja_006</x:v>
      </x:c>
    </x:row>
    <x:row r="62">
      <x:c r="A62" s="22" t="n">
        <x:f>IF($D62="ranked",1+COUNTIFS($D$5:$D$190,"ranked",$E$5:$E$190,"&gt;"&amp;$E62),"")</x:f>
        <x:v>58</x:v>
      </x:c>
      <x:c r="B62" s="22" t="n">
        <x:f>IF($D62="ranked",1+COUNTIFS($D$5:$D$190,"ranked",$F$5:$F$190,"&gt;"&amp;$F62),"")</x:f>
        <x:v>141</x:v>
      </x:c>
      <x:c r="C62" t="str">
        <x:v>gtja_183</x:v>
      </x:c>
      <x:c r="D62" t="str">
        <x:v>ranked</x:v>
      </x:c>
      <x:c r="E62" s="23" t="n">
        <x:f>IF(COUNT(J62,K62)&lt;2,"",AVERAGE(J62,K62))</x:f>
        <x:v>0.01819665933418746</x:v>
      </x:c>
      <x:c r="F62" s="23" t="n">
        <x:f>IF(E62="","",ABS(E62))</x:f>
        <x:v>0.01819665933418746</x:v>
      </x:c>
      <x:c r="G62" s="23" t="str">
        <x:f>IF(E62="","",IF(E62&gt;=0,"positive","negative"))</x:f>
        <x:v>positive</x:v>
      </x:c>
      <x:c r="H62" s="23" t="str">
        <x:f>IF(COUNTIFS('Raw IC'!$A$5:$A$546,$C62,'Raw IC'!$B$5:$B$546,1)=0,"",SUMIFS('Raw IC'!$C$5:$C$546,'Raw IC'!$A$5:$A$546,$C62,'Raw IC'!$B$5:$B$546,1))</x:f>
      </x:c>
      <x:c r="I62" s="23" t="str">
        <x:f>IF(COUNTIFS('Raw IC'!$A$5:$A$546,$C62,'Raw IC'!$B$5:$B$546,5)=0,"",SUMIFS('Raw IC'!$C$5:$C$546,'Raw IC'!$A$5:$A$546,$C62,'Raw IC'!$B$5:$B$546,5))</x:f>
      </x:c>
      <x:c r="J62" s="23" t="n">
        <x:f>IF(COUNTIFS('Raw IC'!$A$5:$A$546,$C62,'Raw IC'!$B$5:$B$546,10)=0,"",SUMIFS('Raw IC'!$C$5:$C$546,'Raw IC'!$A$5:$A$546,$C62,'Raw IC'!$B$5:$B$546,10))</x:f>
        <x:v>0.01674646395746224</x:v>
      </x:c>
      <x:c r="K62" s="23" t="n">
        <x:f>IF(COUNTIFS('Raw IC'!$A$5:$A$546,$C62,'Raw IC'!$B$5:$B$546,20)=0,"",SUMIFS('Raw IC'!$C$5:$C$546,'Raw IC'!$A$5:$A$546,$C62,'Raw IC'!$B$5:$B$546,20))</x:f>
        <x:v>0.01964685471091268</x:v>
      </x:c>
      <x:c r="L62" s="23" t="n">
        <x:f>IF(COUNT(H62:K62)=0,"",AVERAGE(H62:K62))</x:f>
        <x:v>0.01819665933418746</x:v>
      </x:c>
      <x:c r="M62" s="22" t="n">
        <x:f>COUNT(H62:K62)</x:f>
        <x:v>2</x:v>
      </x:c>
      <x:c r="N62" s="25" t="n">
        <x:v>46211.5411328125</x:v>
      </x:c>
      <x:c r="O62" s="24" t="n">
        <x:v>8902245</x:v>
      </x:c>
      <x:c r="P62" t="str">
        <x:v>legacy_common_sample_8902245</x:v>
      </x:c>
      <x:c r="Q62" t="str">
        <x:v>factor_report/gtja191_batch/gtja_183</x:v>
      </x:c>
    </x:row>
    <x:row r="63">
      <x:c r="A63" s="22" t="n">
        <x:f>IF($D63="ranked",1+COUNTIFS($D$5:$D$190,"ranked",$E$5:$E$190,"&gt;"&amp;$E63),"")</x:f>
        <x:v>59</x:v>
      </x:c>
      <x:c r="B63" s="22" t="n">
        <x:f>IF($D63="ranked",1+COUNTIFS($D$5:$D$190,"ranked",$F$5:$F$190,"&gt;"&amp;$F63),"")</x:f>
        <x:v>145</x:v>
      </x:c>
      <x:c r="C63" t="str">
        <x:v>gtja_037</x:v>
      </x:c>
      <x:c r="D63" t="str">
        <x:v>ranked</x:v>
      </x:c>
      <x:c r="E63" s="23" t="n">
        <x:f>IF(COUNT(J63,K63)&lt;2,"",AVERAGE(J63,K63))</x:f>
        <x:v>0.015756970183061096</x:v>
      </x:c>
      <x:c r="F63" s="23" t="n">
        <x:f>IF(E63="","",ABS(E63))</x:f>
        <x:v>0.015756970183061096</x:v>
      </x:c>
      <x:c r="G63" s="23" t="str">
        <x:f>IF(E63="","",IF(E63&gt;=0,"positive","negative"))</x:f>
        <x:v>positive</x:v>
      </x:c>
      <x:c r="H63" s="23" t="str">
        <x:f>IF(COUNTIFS('Raw IC'!$A$5:$A$546,$C63,'Raw IC'!$B$5:$B$546,1)=0,"",SUMIFS('Raw IC'!$C$5:$C$546,'Raw IC'!$A$5:$A$546,$C63,'Raw IC'!$B$5:$B$546,1))</x:f>
      </x:c>
      <x:c r="I63" s="23" t="str">
        <x:f>IF(COUNTIFS('Raw IC'!$A$5:$A$546,$C63,'Raw IC'!$B$5:$B$546,5)=0,"",SUMIFS('Raw IC'!$C$5:$C$546,'Raw IC'!$A$5:$A$546,$C63,'Raw IC'!$B$5:$B$546,5))</x:f>
      </x:c>
      <x:c r="J63" s="23" t="n">
        <x:f>IF(COUNTIFS('Raw IC'!$A$5:$A$546,$C63,'Raw IC'!$B$5:$B$546,10)=0,"",SUMIFS('Raw IC'!$C$5:$C$546,'Raw IC'!$A$5:$A$546,$C63,'Raw IC'!$B$5:$B$546,10))</x:f>
        <x:v>0.014642357715960992</x:v>
      </x:c>
      <x:c r="K63" s="23" t="n">
        <x:f>IF(COUNTIFS('Raw IC'!$A$5:$A$546,$C63,'Raw IC'!$B$5:$B$546,20)=0,"",SUMIFS('Raw IC'!$C$5:$C$546,'Raw IC'!$A$5:$A$546,$C63,'Raw IC'!$B$5:$B$546,20))</x:f>
        <x:v>0.0168715826501612</x:v>
      </x:c>
      <x:c r="L63" s="23" t="n">
        <x:f>IF(COUNT(H63:K63)=0,"",AVERAGE(H63:K63))</x:f>
        <x:v>0.015756970183061096</x:v>
      </x:c>
      <x:c r="M63" s="22" t="n">
        <x:f>COUNT(H63:K63)</x:f>
        <x:v>2</x:v>
      </x:c>
      <x:c r="N63" s="25" t="n">
        <x:v>46211.237209722225</x:v>
      </x:c>
      <x:c r="O63" s="24" t="n">
        <x:v>8902245</x:v>
      </x:c>
      <x:c r="P63" t="str">
        <x:v>legacy_common_sample_8902245</x:v>
      </x:c>
      <x:c r="Q63" t="str">
        <x:v>factor_report/gtja191_batch/gtja_037</x:v>
      </x:c>
    </x:row>
    <x:row r="64">
      <x:c r="A64" s="22" t="n">
        <x:f>IF($D64="ranked",1+COUNTIFS($D$5:$D$190,"ranked",$E$5:$E$190,"&gt;"&amp;$E64),"")</x:f>
        <x:v>60</x:v>
      </x:c>
      <x:c r="B64" s="22" t="n">
        <x:f>IF($D64="ranked",1+COUNTIFS($D$5:$D$190,"ranked",$F$5:$F$190,"&gt;"&amp;$F64),"")</x:f>
        <x:v>151</x:v>
      </x:c>
      <x:c r="C64" t="str">
        <x:v>gtja_123</x:v>
      </x:c>
      <x:c r="D64" t="str">
        <x:v>ranked</x:v>
      </x:c>
      <x:c r="E64" s="23" t="n">
        <x:f>IF(COUNT(J64,K64)&lt;2,"",AVERAGE(J64,K64))</x:f>
        <x:v>0.014108292650018756</x:v>
      </x:c>
      <x:c r="F64" s="23" t="n">
        <x:f>IF(E64="","",ABS(E64))</x:f>
        <x:v>0.014108292650018756</x:v>
      </x:c>
      <x:c r="G64" s="23" t="str">
        <x:f>IF(E64="","",IF(E64&gt;=0,"positive","negative"))</x:f>
        <x:v>positive</x:v>
      </x:c>
      <x:c r="H64" s="23" t="str">
        <x:f>IF(COUNTIFS('Raw IC'!$A$5:$A$546,$C64,'Raw IC'!$B$5:$B$546,1)=0,"",SUMIFS('Raw IC'!$C$5:$C$546,'Raw IC'!$A$5:$A$546,$C64,'Raw IC'!$B$5:$B$546,1))</x:f>
      </x:c>
      <x:c r="I64" s="23" t="str">
        <x:f>IF(COUNTIFS('Raw IC'!$A$5:$A$546,$C64,'Raw IC'!$B$5:$B$546,5)=0,"",SUMIFS('Raw IC'!$C$5:$C$546,'Raw IC'!$A$5:$A$546,$C64,'Raw IC'!$B$5:$B$546,5))</x:f>
      </x:c>
      <x:c r="J64" s="23" t="n">
        <x:f>IF(COUNTIFS('Raw IC'!$A$5:$A$546,$C64,'Raw IC'!$B$5:$B$546,10)=0,"",SUMIFS('Raw IC'!$C$5:$C$546,'Raw IC'!$A$5:$A$546,$C64,'Raw IC'!$B$5:$B$546,10))</x:f>
        <x:v>0.011980777322754587</x:v>
      </x:c>
      <x:c r="K64" s="23" t="n">
        <x:f>IF(COUNTIFS('Raw IC'!$A$5:$A$546,$C64,'Raw IC'!$B$5:$B$546,20)=0,"",SUMIFS('Raw IC'!$C$5:$C$546,'Raw IC'!$A$5:$A$546,$C64,'Raw IC'!$B$5:$B$546,20))</x:f>
        <x:v>0.016235807977282926</x:v>
      </x:c>
      <x:c r="L64" s="23" t="n">
        <x:f>IF(COUNT(H64:K64)=0,"",AVERAGE(H64:K64))</x:f>
        <x:v>0.014108292650018756</x:v>
      </x:c>
      <x:c r="M64" s="22" t="n">
        <x:f>COUNT(H64:K64)</x:f>
        <x:v>2</x:v>
      </x:c>
      <x:c r="N64" s="25" t="n">
        <x:v>46211.407905775464</x:v>
      </x:c>
      <x:c r="O64" s="24" t="n">
        <x:v>8902245</x:v>
      </x:c>
      <x:c r="P64" t="str">
        <x:v>legacy_common_sample_8902245</x:v>
      </x:c>
      <x:c r="Q64" t="str">
        <x:v>factor_report/gtja191_batch/gtja_123</x:v>
      </x:c>
    </x:row>
    <x:row r="65">
      <x:c r="A65" s="22" t="n">
        <x:f>IF($D65="ranked",1+COUNTIFS($D$5:$D$190,"ranked",$E$5:$E$190,"&gt;"&amp;$E65),"")</x:f>
        <x:v>61</x:v>
      </x:c>
      <x:c r="B65" s="22" t="n">
        <x:f>IF($D65="ranked",1+COUNTIFS($D$5:$D$190,"ranked",$F$5:$F$190,"&gt;"&amp;$F65),"")</x:f>
        <x:v>154</x:v>
      </x:c>
      <x:c r="C65" t="str">
        <x:v>gtja_013</x:v>
      </x:c>
      <x:c r="D65" t="str">
        <x:v>ranked</x:v>
      </x:c>
      <x:c r="E65" s="23" t="n">
        <x:f>IF(COUNT(J65,K65)&lt;2,"",AVERAGE(J65,K65))</x:f>
        <x:v>0.012854285278537523</x:v>
      </x:c>
      <x:c r="F65" s="23" t="n">
        <x:f>IF(E65="","",ABS(E65))</x:f>
        <x:v>0.012854285278537523</x:v>
      </x:c>
      <x:c r="G65" s="23" t="str">
        <x:f>IF(E65="","",IF(E65&gt;=0,"positive","negative"))</x:f>
        <x:v>positive</x:v>
      </x:c>
      <x:c r="H65" s="23" t="str">
        <x:f>IF(COUNTIFS('Raw IC'!$A$5:$A$546,$C65,'Raw IC'!$B$5:$B$546,1)=0,"",SUMIFS('Raw IC'!$C$5:$C$546,'Raw IC'!$A$5:$A$546,$C65,'Raw IC'!$B$5:$B$546,1))</x:f>
      </x:c>
      <x:c r="I65" s="23" t="str">
        <x:f>IF(COUNTIFS('Raw IC'!$A$5:$A$546,$C65,'Raw IC'!$B$5:$B$546,5)=0,"",SUMIFS('Raw IC'!$C$5:$C$546,'Raw IC'!$A$5:$A$546,$C65,'Raw IC'!$B$5:$B$546,5))</x:f>
      </x:c>
      <x:c r="J65" s="23" t="n">
        <x:f>IF(COUNTIFS('Raw IC'!$A$5:$A$546,$C65,'Raw IC'!$B$5:$B$546,10)=0,"",SUMIFS('Raw IC'!$C$5:$C$546,'Raw IC'!$A$5:$A$546,$C65,'Raw IC'!$B$5:$B$546,10))</x:f>
        <x:v>0.011452862954066247</x:v>
      </x:c>
      <x:c r="K65" s="23" t="n">
        <x:f>IF(COUNTIFS('Raw IC'!$A$5:$A$546,$C65,'Raw IC'!$B$5:$B$546,20)=0,"",SUMIFS('Raw IC'!$C$5:$C$546,'Raw IC'!$A$5:$A$546,$C65,'Raw IC'!$B$5:$B$546,20))</x:f>
        <x:v>0.014255707603008797</x:v>
      </x:c>
      <x:c r="L65" s="23" t="n">
        <x:f>IF(COUNT(H65:K65)=0,"",AVERAGE(H65:K65))</x:f>
        <x:v>0.012854285278537523</x:v>
      </x:c>
      <x:c r="M65" s="22" t="n">
        <x:f>COUNT(H65:K65)</x:f>
        <x:v>2</x:v>
      </x:c>
      <x:c r="N65" s="25" t="n">
        <x:v>46211.18888071759</x:v>
      </x:c>
      <x:c r="O65" s="24" t="n">
        <x:v>8902245</x:v>
      </x:c>
      <x:c r="P65" t="str">
        <x:v>legacy_common_sample_8902245</x:v>
      </x:c>
      <x:c r="Q65" t="str">
        <x:v>factor_report/gtja191_batch/gtja_013</x:v>
      </x:c>
    </x:row>
    <x:row r="66">
      <x:c r="A66" s="22" t="n">
        <x:f>IF($D66="ranked",1+COUNTIFS($D$5:$D$190,"ranked",$E$5:$E$190,"&gt;"&amp;$E66),"")</x:f>
        <x:v>62</x:v>
      </x:c>
      <x:c r="B66" s="22" t="n">
        <x:f>IF($D66="ranked",1+COUNTIFS($D$5:$D$190,"ranked",$F$5:$F$190,"&gt;"&amp;$F66),"")</x:f>
        <x:v>155</x:v>
      </x:c>
      <x:c r="C66" t="str">
        <x:v>gtja_039</x:v>
      </x:c>
      <x:c r="D66" t="str">
        <x:v>ranked</x:v>
      </x:c>
      <x:c r="E66" s="23" t="n">
        <x:f>IF(COUNT(J66,K66)&lt;2,"",AVERAGE(J66,K66))</x:f>
        <x:v>0.01269107629639029</x:v>
      </x:c>
      <x:c r="F66" s="23" t="n">
        <x:f>IF(E66="","",ABS(E66))</x:f>
        <x:v>0.01269107629639029</x:v>
      </x:c>
      <x:c r="G66" s="23" t="str">
        <x:f>IF(E66="","",IF(E66&gt;=0,"positive","negative"))</x:f>
        <x:v>positive</x:v>
      </x:c>
      <x:c r="H66" s="23" t="str">
        <x:f>IF(COUNTIFS('Raw IC'!$A$5:$A$546,$C66,'Raw IC'!$B$5:$B$546,1)=0,"",SUMIFS('Raw IC'!$C$5:$C$546,'Raw IC'!$A$5:$A$546,$C66,'Raw IC'!$B$5:$B$546,1))</x:f>
      </x:c>
      <x:c r="I66" s="23" t="str">
        <x:f>IF(COUNTIFS('Raw IC'!$A$5:$A$546,$C66,'Raw IC'!$B$5:$B$546,5)=0,"",SUMIFS('Raw IC'!$C$5:$C$546,'Raw IC'!$A$5:$A$546,$C66,'Raw IC'!$B$5:$B$546,5))</x:f>
      </x:c>
      <x:c r="J66" s="23" t="n">
        <x:f>IF(COUNTIFS('Raw IC'!$A$5:$A$546,$C66,'Raw IC'!$B$5:$B$546,10)=0,"",SUMIFS('Raw IC'!$C$5:$C$546,'Raw IC'!$A$5:$A$546,$C66,'Raw IC'!$B$5:$B$546,10))</x:f>
        <x:v>0.012210149620699561</x:v>
      </x:c>
      <x:c r="K66" s="23" t="n">
        <x:f>IF(COUNTIFS('Raw IC'!$A$5:$A$546,$C66,'Raw IC'!$B$5:$B$546,20)=0,"",SUMIFS('Raw IC'!$C$5:$C$546,'Raw IC'!$A$5:$A$546,$C66,'Raw IC'!$B$5:$B$546,20))</x:f>
        <x:v>0.013172002972081018</x:v>
      </x:c>
      <x:c r="L66" s="23" t="n">
        <x:f>IF(COUNT(H66:K66)=0,"",AVERAGE(H66:K66))</x:f>
        <x:v>0.01269107629639029</x:v>
      </x:c>
      <x:c r="M66" s="22" t="n">
        <x:f>COUNT(H66:K66)</x:f>
        <x:v>2</x:v>
      </x:c>
      <x:c r="N66" s="25" t="n">
        <x:v>46211.24500390046</x:v>
      </x:c>
      <x:c r="O66" s="24" t="n">
        <x:v>8902245</x:v>
      </x:c>
      <x:c r="P66" t="str">
        <x:v>legacy_common_sample_8902245</x:v>
      </x:c>
      <x:c r="Q66" t="str">
        <x:v>factor_report/gtja191_batch/gtja_039</x:v>
      </x:c>
    </x:row>
    <x:row r="67">
      <x:c r="A67" s="22" t="n">
        <x:f>IF($D67="ranked",1+COUNTIFS($D$5:$D$190,"ranked",$E$5:$E$190,"&gt;"&amp;$E67),"")</x:f>
        <x:v>63</x:v>
      </x:c>
      <x:c r="B67" s="22" t="n">
        <x:f>IF($D67="ranked",1+COUNTIFS($D$5:$D$190,"ranked",$F$5:$F$190,"&gt;"&amp;$F67),"")</x:f>
        <x:v>156</x:v>
      </x:c>
      <x:c r="C67" t="str">
        <x:v>gtja_125</x:v>
      </x:c>
      <x:c r="D67" t="str">
        <x:v>ranked</x:v>
      </x:c>
      <x:c r="E67" s="23" t="n">
        <x:f>IF(COUNT(J67,K67)&lt;2,"",AVERAGE(J67,K67))</x:f>
        <x:v>0.011693229486813068</x:v>
      </x:c>
      <x:c r="F67" s="23" t="n">
        <x:f>IF(E67="","",ABS(E67))</x:f>
        <x:v>0.011693229486813068</x:v>
      </x:c>
      <x:c r="G67" s="23" t="str">
        <x:f>IF(E67="","",IF(E67&gt;=0,"positive","negative"))</x:f>
        <x:v>positive</x:v>
      </x:c>
      <x:c r="H67" s="23" t="str">
        <x:f>IF(COUNTIFS('Raw IC'!$A$5:$A$546,$C67,'Raw IC'!$B$5:$B$546,1)=0,"",SUMIFS('Raw IC'!$C$5:$C$546,'Raw IC'!$A$5:$A$546,$C67,'Raw IC'!$B$5:$B$546,1))</x:f>
      </x:c>
      <x:c r="I67" s="23" t="str">
        <x:f>IF(COUNTIFS('Raw IC'!$A$5:$A$546,$C67,'Raw IC'!$B$5:$B$546,5)=0,"",SUMIFS('Raw IC'!$C$5:$C$546,'Raw IC'!$A$5:$A$546,$C67,'Raw IC'!$B$5:$B$546,5))</x:f>
      </x:c>
      <x:c r="J67" s="23" t="n">
        <x:f>IF(COUNTIFS('Raw IC'!$A$5:$A$546,$C67,'Raw IC'!$B$5:$B$546,10)=0,"",SUMIFS('Raw IC'!$C$5:$C$546,'Raw IC'!$A$5:$A$546,$C67,'Raw IC'!$B$5:$B$546,10))</x:f>
        <x:v>0.010222219351592081</x:v>
      </x:c>
      <x:c r="K67" s="23" t="n">
        <x:f>IF(COUNTIFS('Raw IC'!$A$5:$A$546,$C67,'Raw IC'!$B$5:$B$546,20)=0,"",SUMIFS('Raw IC'!$C$5:$C$546,'Raw IC'!$A$5:$A$546,$C67,'Raw IC'!$B$5:$B$546,20))</x:f>
        <x:v>0.013164239622034054</x:v>
      </x:c>
      <x:c r="L67" s="23" t="n">
        <x:f>IF(COUNT(H67:K67)=0,"",AVERAGE(H67:K67))</x:f>
        <x:v>0.011693229486813068</x:v>
      </x:c>
      <x:c r="M67" s="22" t="n">
        <x:f>COUNT(H67:K67)</x:f>
        <x:v>2</x:v>
      </x:c>
      <x:c r="N67" s="25" t="n">
        <x:v>46211.41519543981</x:v>
      </x:c>
      <x:c r="O67" s="24" t="n">
        <x:v>8902245</x:v>
      </x:c>
      <x:c r="P67" t="str">
        <x:v>legacy_common_sample_8902245</x:v>
      </x:c>
      <x:c r="Q67" t="str">
        <x:v>factor_report/gtja191_batch/gtja_125</x:v>
      </x:c>
    </x:row>
    <x:row r="68">
      <x:c r="A68" s="22" t="n">
        <x:f>IF($D68="ranked",1+COUNTIFS($D$5:$D$190,"ranked",$E$5:$E$190,"&gt;"&amp;$E68),"")</x:f>
        <x:v>64</x:v>
      </x:c>
      <x:c r="B68" s="22" t="n">
        <x:f>IF($D68="ranked",1+COUNTIFS($D$5:$D$190,"ranked",$F$5:$F$190,"&gt;"&amp;$F68),"")</x:f>
        <x:v>158</x:v>
      </x:c>
      <x:c r="C68" t="str">
        <x:v>gtja_117</x:v>
      </x:c>
      <x:c r="D68" t="str">
        <x:v>ranked</x:v>
      </x:c>
      <x:c r="E68" s="23" t="n">
        <x:f>IF(COUNT(J68,K68)&lt;2,"",AVERAGE(J68,K68))</x:f>
        <x:v>0.010774558269321208</x:v>
      </x:c>
      <x:c r="F68" s="23" t="n">
        <x:f>IF(E68="","",ABS(E68))</x:f>
        <x:v>0.010774558269321208</x:v>
      </x:c>
      <x:c r="G68" s="23" t="str">
        <x:f>IF(E68="","",IF(E68&gt;=0,"positive","negative"))</x:f>
        <x:v>positive</x:v>
      </x:c>
      <x:c r="H68" s="23" t="str">
        <x:f>IF(COUNTIFS('Raw IC'!$A$5:$A$546,$C68,'Raw IC'!$B$5:$B$546,1)=0,"",SUMIFS('Raw IC'!$C$5:$C$546,'Raw IC'!$A$5:$A$546,$C68,'Raw IC'!$B$5:$B$546,1))</x:f>
      </x:c>
      <x:c r="I68" s="23" t="str">
        <x:f>IF(COUNTIFS('Raw IC'!$A$5:$A$546,$C68,'Raw IC'!$B$5:$B$546,5)=0,"",SUMIFS('Raw IC'!$C$5:$C$546,'Raw IC'!$A$5:$A$546,$C68,'Raw IC'!$B$5:$B$546,5))</x:f>
      </x:c>
      <x:c r="J68" s="23" t="n">
        <x:f>IF(COUNTIFS('Raw IC'!$A$5:$A$546,$C68,'Raw IC'!$B$5:$B$546,10)=0,"",SUMIFS('Raw IC'!$C$5:$C$546,'Raw IC'!$A$5:$A$546,$C68,'Raw IC'!$B$5:$B$546,10))</x:f>
        <x:v>0.010421149081802894</x:v>
      </x:c>
      <x:c r="K68" s="23" t="n">
        <x:f>IF(COUNTIFS('Raw IC'!$A$5:$A$546,$C68,'Raw IC'!$B$5:$B$546,20)=0,"",SUMIFS('Raw IC'!$C$5:$C$546,'Raw IC'!$A$5:$A$546,$C68,'Raw IC'!$B$5:$B$546,20))</x:f>
        <x:v>0.011127967456839522</x:v>
      </x:c>
      <x:c r="L68" s="23" t="n">
        <x:f>IF(COUNT(H68:K68)=0,"",AVERAGE(H68:K68))</x:f>
        <x:v>0.010774558269321208</x:v>
      </x:c>
      <x:c r="M68" s="22" t="n">
        <x:f>COUNT(H68:K68)</x:f>
        <x:v>2</x:v>
      </x:c>
      <x:c r="N68" s="25" t="n">
        <x:v>46211.384815150464</x:v>
      </x:c>
      <x:c r="O68" s="24" t="n">
        <x:v>8902245</x:v>
      </x:c>
      <x:c r="P68" t="str">
        <x:v>legacy_common_sample_8902245</x:v>
      </x:c>
      <x:c r="Q68" t="str">
        <x:v>factor_report/gtja191_batch/gtja_117</x:v>
      </x:c>
    </x:row>
    <x:row r="69">
      <x:c r="A69" s="22" t="n">
        <x:f>IF($D69="ranked",1+COUNTIFS($D$5:$D$190,"ranked",$E$5:$E$190,"&gt;"&amp;$E69),"")</x:f>
        <x:v>65</x:v>
      </x:c>
      <x:c r="B69" s="22" t="n">
        <x:f>IF($D69="ranked",1+COUNTIFS($D$5:$D$190,"ranked",$F$5:$F$190,"&gt;"&amp;$F69),"")</x:f>
        <x:v>159</x:v>
      </x:c>
      <x:c r="C69" t="str">
        <x:v>gtja_115</x:v>
      </x:c>
      <x:c r="D69" t="str">
        <x:v>ranked</x:v>
      </x:c>
      <x:c r="E69" s="23" t="n">
        <x:f>IF(COUNT(J69,K69)&lt;2,"",AVERAGE(J69,K69))</x:f>
        <x:v>0.010316327818707189</x:v>
      </x:c>
      <x:c r="F69" s="23" t="n">
        <x:f>IF(E69="","",ABS(E69))</x:f>
        <x:v>0.010316327818707189</x:v>
      </x:c>
      <x:c r="G69" s="23" t="str">
        <x:f>IF(E69="","",IF(E69&gt;=0,"positive","negative"))</x:f>
        <x:v>positive</x:v>
      </x:c>
      <x:c r="H69" s="23" t="str">
        <x:f>IF(COUNTIFS('Raw IC'!$A$5:$A$546,$C69,'Raw IC'!$B$5:$B$546,1)=0,"",SUMIFS('Raw IC'!$C$5:$C$546,'Raw IC'!$A$5:$A$546,$C69,'Raw IC'!$B$5:$B$546,1))</x:f>
      </x:c>
      <x:c r="I69" s="23" t="str">
        <x:f>IF(COUNTIFS('Raw IC'!$A$5:$A$546,$C69,'Raw IC'!$B$5:$B$546,5)=0,"",SUMIFS('Raw IC'!$C$5:$C$546,'Raw IC'!$A$5:$A$546,$C69,'Raw IC'!$B$5:$B$546,5))</x:f>
      </x:c>
      <x:c r="J69" s="23" t="n">
        <x:f>IF(COUNTIFS('Raw IC'!$A$5:$A$546,$C69,'Raw IC'!$B$5:$B$546,10)=0,"",SUMIFS('Raw IC'!$C$5:$C$546,'Raw IC'!$A$5:$A$546,$C69,'Raw IC'!$B$5:$B$546,10))</x:f>
        <x:v>0.007737353715511953</x:v>
      </x:c>
      <x:c r="K69" s="23" t="n">
        <x:f>IF(COUNTIFS('Raw IC'!$A$5:$A$546,$C69,'Raw IC'!$B$5:$B$546,20)=0,"",SUMIFS('Raw IC'!$C$5:$C$546,'Raw IC'!$A$5:$A$546,$C69,'Raw IC'!$B$5:$B$546,20))</x:f>
        <x:v>0.012895301921902426</x:v>
      </x:c>
      <x:c r="L69" s="23" t="n">
        <x:f>IF(COUNT(H69:K69)=0,"",AVERAGE(H69:K69))</x:f>
        <x:v>0.010316327818707189</x:v>
      </x:c>
      <x:c r="M69" s="22" t="n">
        <x:f>COUNT(H69:K69)</x:f>
        <x:v>2</x:v>
      </x:c>
      <x:c r="N69" s="25" t="n">
        <x:v>46211.375733472225</x:v>
      </x:c>
      <x:c r="O69" s="24" t="n">
        <x:v>8902245</x:v>
      </x:c>
      <x:c r="P69" t="str">
        <x:v>legacy_common_sample_8902245</x:v>
      </x:c>
      <x:c r="Q69" t="str">
        <x:v>factor_report/gtja191_batch/gtja_115</x:v>
      </x:c>
    </x:row>
    <x:row r="70">
      <x:c r="A70" s="22" t="n">
        <x:f>IF($D70="ranked",1+COUNTIFS($D$5:$D$190,"ranked",$E$5:$E$190,"&gt;"&amp;$E70),"")</x:f>
        <x:v>66</x:v>
      </x:c>
      <x:c r="B70" s="22" t="n">
        <x:f>IF($D70="ranked",1+COUNTIFS($D$5:$D$190,"ranked",$F$5:$F$190,"&gt;"&amp;$F70),"")</x:f>
        <x:v>161</x:v>
      </x:c>
      <x:c r="C70" t="str">
        <x:v>gtja_180</x:v>
      </x:c>
      <x:c r="D70" t="str">
        <x:v>ranked</x:v>
      </x:c>
      <x:c r="E70" s="23" t="n">
        <x:f>IF(COUNT(J70,K70)&lt;2,"",AVERAGE(J70,K70))</x:f>
        <x:v>0.009663960255289518</x:v>
      </x:c>
      <x:c r="F70" s="23" t="n">
        <x:f>IF(E70="","",ABS(E70))</x:f>
        <x:v>0.009663960255289518</x:v>
      </x:c>
      <x:c r="G70" s="23" t="str">
        <x:f>IF(E70="","",IF(E70&gt;=0,"positive","negative"))</x:f>
        <x:v>positive</x:v>
      </x:c>
      <x:c r="H70" s="23" t="str">
        <x:f>IF(COUNTIFS('Raw IC'!$A$5:$A$546,$C70,'Raw IC'!$B$5:$B$546,1)=0,"",SUMIFS('Raw IC'!$C$5:$C$546,'Raw IC'!$A$5:$A$546,$C70,'Raw IC'!$B$5:$B$546,1))</x:f>
      </x:c>
      <x:c r="I70" s="23" t="str">
        <x:f>IF(COUNTIFS('Raw IC'!$A$5:$A$546,$C70,'Raw IC'!$B$5:$B$546,5)=0,"",SUMIFS('Raw IC'!$C$5:$C$546,'Raw IC'!$A$5:$A$546,$C70,'Raw IC'!$B$5:$B$546,5))</x:f>
      </x:c>
      <x:c r="J70" s="23" t="n">
        <x:f>IF(COUNTIFS('Raw IC'!$A$5:$A$546,$C70,'Raw IC'!$B$5:$B$546,10)=0,"",SUMIFS('Raw IC'!$C$5:$C$546,'Raw IC'!$A$5:$A$546,$C70,'Raw IC'!$B$5:$B$546,10))</x:f>
        <x:v>0.007859838396532771</x:v>
      </x:c>
      <x:c r="K70" s="23" t="n">
        <x:f>IF(COUNTIFS('Raw IC'!$A$5:$A$546,$C70,'Raw IC'!$B$5:$B$546,20)=0,"",SUMIFS('Raw IC'!$C$5:$C$546,'Raw IC'!$A$5:$A$546,$C70,'Raw IC'!$B$5:$B$546,20))</x:f>
        <x:v>0.011468082114046265</x:v>
      </x:c>
      <x:c r="L70" s="23" t="n">
        <x:f>IF(COUNT(H70:K70)=0,"",AVERAGE(H70:K70))</x:f>
        <x:v>0.009663960255289518</x:v>
      </x:c>
      <x:c r="M70" s="22" t="n">
        <x:f>COUNT(H70:K70)</x:f>
        <x:v>2</x:v>
      </x:c>
      <x:c r="N70" s="25" t="n">
        <x:v>46211.53854369213</x:v>
      </x:c>
      <x:c r="O70" s="24" t="n">
        <x:v>8902245</x:v>
      </x:c>
      <x:c r="P70" t="str">
        <x:v>legacy_common_sample_8902245</x:v>
      </x:c>
      <x:c r="Q70" t="str">
        <x:v>factor_report/gtja191_batch/gtja_180</x:v>
      </x:c>
    </x:row>
    <x:row r="71">
      <x:c r="A71" s="22" t="n">
        <x:f>IF($D71="ranked",1+COUNTIFS($D$5:$D$190,"ranked",$E$5:$E$190,"&gt;"&amp;$E71),"")</x:f>
        <x:v>67</x:v>
      </x:c>
      <x:c r="B71" s="22" t="n">
        <x:f>IF($D71="ranked",1+COUNTIFS($D$5:$D$190,"ranked",$F$5:$F$190,"&gt;"&amp;$F71),"")</x:f>
        <x:v>162</x:v>
      </x:c>
      <x:c r="C71" t="str">
        <x:v>gtja_114</x:v>
      </x:c>
      <x:c r="D71" t="str">
        <x:v>ranked</x:v>
      </x:c>
      <x:c r="E71" s="23" t="n">
        <x:f>IF(COUNT(J71,K71)&lt;2,"",AVERAGE(J71,K71))</x:f>
        <x:v>0.009629382256968572</x:v>
      </x:c>
      <x:c r="F71" s="23" t="n">
        <x:f>IF(E71="","",ABS(E71))</x:f>
        <x:v>0.009629382256968572</x:v>
      </x:c>
      <x:c r="G71" s="23" t="str">
        <x:f>IF(E71="","",IF(E71&gt;=0,"positive","negative"))</x:f>
        <x:v>positive</x:v>
      </x:c>
      <x:c r="H71" s="23" t="str">
        <x:f>IF(COUNTIFS('Raw IC'!$A$5:$A$546,$C71,'Raw IC'!$B$5:$B$546,1)=0,"",SUMIFS('Raw IC'!$C$5:$C$546,'Raw IC'!$A$5:$A$546,$C71,'Raw IC'!$B$5:$B$546,1))</x:f>
      </x:c>
      <x:c r="I71" s="23" t="str">
        <x:f>IF(COUNTIFS('Raw IC'!$A$5:$A$546,$C71,'Raw IC'!$B$5:$B$546,5)=0,"",SUMIFS('Raw IC'!$C$5:$C$546,'Raw IC'!$A$5:$A$546,$C71,'Raw IC'!$B$5:$B$546,5))</x:f>
      </x:c>
      <x:c r="J71" s="23" t="n">
        <x:f>IF(COUNTIFS('Raw IC'!$A$5:$A$546,$C71,'Raw IC'!$B$5:$B$546,10)=0,"",SUMIFS('Raw IC'!$C$5:$C$546,'Raw IC'!$A$5:$A$546,$C71,'Raw IC'!$B$5:$B$546,10))</x:f>
        <x:v>0.00891392515696735</x:v>
      </x:c>
      <x:c r="K71" s="23" t="n">
        <x:f>IF(COUNTIFS('Raw IC'!$A$5:$A$546,$C71,'Raw IC'!$B$5:$B$546,20)=0,"",SUMIFS('Raw IC'!$C$5:$C$546,'Raw IC'!$A$5:$A$546,$C71,'Raw IC'!$B$5:$B$546,20))</x:f>
        <x:v>0.010344839356969794</x:v>
      </x:c>
      <x:c r="L71" s="23" t="n">
        <x:f>IF(COUNT(H71:K71)=0,"",AVERAGE(H71:K71))</x:f>
        <x:v>0.009629382256968572</x:v>
      </x:c>
      <x:c r="M71" s="22" t="n">
        <x:f>COUNT(H71:K71)</x:f>
        <x:v>2</x:v>
      </x:c>
      <x:c r="N71" s="25" t="n">
        <x:v>46211.36905150463</x:v>
      </x:c>
      <x:c r="O71" s="24" t="n">
        <x:v>8902245</x:v>
      </x:c>
      <x:c r="P71" t="str">
        <x:v>legacy_common_sample_8902245</x:v>
      </x:c>
      <x:c r="Q71" t="str">
        <x:v>factor_report/gtja191_batch/gtja_114</x:v>
      </x:c>
    </x:row>
    <x:row r="72">
      <x:c r="A72" s="22" t="n">
        <x:f>IF($D72="ranked",1+COUNTIFS($D$5:$D$190,"ranked",$E$5:$E$190,"&gt;"&amp;$E72),"")</x:f>
        <x:v>68</x:v>
      </x:c>
      <x:c r="B72" s="22" t="n">
        <x:f>IF($D72="ranked",1+COUNTIFS($D$5:$D$190,"ranked",$F$5:$F$190,"&gt;"&amp;$F72),"")</x:f>
        <x:v>163</x:v>
      </x:c>
      <x:c r="C72" t="str">
        <x:v>gtja_170</x:v>
      </x:c>
      <x:c r="D72" t="str">
        <x:v>ranked</x:v>
      </x:c>
      <x:c r="E72" s="23" t="n">
        <x:f>IF(COUNT(J72,K72)&lt;2,"",AVERAGE(J72,K72))</x:f>
        <x:v>0.008775472290580068</x:v>
      </x:c>
      <x:c r="F72" s="23" t="n">
        <x:f>IF(E72="","",ABS(E72))</x:f>
        <x:v>0.008775472290580068</x:v>
      </x:c>
      <x:c r="G72" s="23" t="str">
        <x:f>IF(E72="","",IF(E72&gt;=0,"positive","negative"))</x:f>
        <x:v>positive</x:v>
      </x:c>
      <x:c r="H72" s="23" t="str">
        <x:f>IF(COUNTIFS('Raw IC'!$A$5:$A$546,$C72,'Raw IC'!$B$5:$B$546,1)=0,"",SUMIFS('Raw IC'!$C$5:$C$546,'Raw IC'!$A$5:$A$546,$C72,'Raw IC'!$B$5:$B$546,1))</x:f>
      </x:c>
      <x:c r="I72" s="23" t="str">
        <x:f>IF(COUNTIFS('Raw IC'!$A$5:$A$546,$C72,'Raw IC'!$B$5:$B$546,5)=0,"",SUMIFS('Raw IC'!$C$5:$C$546,'Raw IC'!$A$5:$A$546,$C72,'Raw IC'!$B$5:$B$546,5))</x:f>
      </x:c>
      <x:c r="J72" s="23" t="n">
        <x:f>IF(COUNTIFS('Raw IC'!$A$5:$A$546,$C72,'Raw IC'!$B$5:$B$546,10)=0,"",SUMIFS('Raw IC'!$C$5:$C$546,'Raw IC'!$A$5:$A$546,$C72,'Raw IC'!$B$5:$B$546,10))</x:f>
        <x:v>0.006814785039770921</x:v>
      </x:c>
      <x:c r="K72" s="23" t="n">
        <x:f>IF(COUNTIFS('Raw IC'!$A$5:$A$546,$C72,'Raw IC'!$B$5:$B$546,20)=0,"",SUMIFS('Raw IC'!$C$5:$C$546,'Raw IC'!$A$5:$A$546,$C72,'Raw IC'!$B$5:$B$546,20))</x:f>
        <x:v>0.010736159541389215</x:v>
      </x:c>
      <x:c r="L72" s="23" t="n">
        <x:f>IF(COUNT(H72:K72)=0,"",AVERAGE(H72:K72))</x:f>
        <x:v>0.008775472290580068</x:v>
      </x:c>
      <x:c r="M72" s="22" t="n">
        <x:f>COUNT(H72:K72)</x:f>
        <x:v>2</x:v>
      </x:c>
      <x:c r="N72" s="25" t="n">
        <x:v>46211.52554471065</x:v>
      </x:c>
      <x:c r="O72" s="24" t="n">
        <x:v>8902245</x:v>
      </x:c>
      <x:c r="P72" t="str">
        <x:v>legacy_common_sample_8902245</x:v>
      </x:c>
      <x:c r="Q72" t="str">
        <x:v>factor_report/gtja191_batch/gtja_170</x:v>
      </x:c>
    </x:row>
    <x:row r="73">
      <x:c r="A73" s="22" t="n">
        <x:f>IF($D73="ranked",1+COUNTIFS($D$5:$D$190,"ranked",$E$5:$E$190,"&gt;"&amp;$E73),"")</x:f>
        <x:v>69</x:v>
      </x:c>
      <x:c r="B73" s="22" t="n">
        <x:f>IF($D73="ranked",1+COUNTIFS($D$5:$D$190,"ranked",$F$5:$F$190,"&gt;"&amp;$F73),"")</x:f>
        <x:v>164</x:v>
      </x:c>
      <x:c r="C73" t="str">
        <x:v>gtja_085</x:v>
      </x:c>
      <x:c r="D73" t="str">
        <x:v>ranked</x:v>
      </x:c>
      <x:c r="E73" s="23" t="n">
        <x:f>IF(COUNT(J73,K73)&lt;2,"",AVERAGE(J73,K73))</x:f>
        <x:v>0.008726225399203704</x:v>
      </x:c>
      <x:c r="F73" s="23" t="n">
        <x:f>IF(E73="","",ABS(E73))</x:f>
        <x:v>0.008726225399203704</x:v>
      </x:c>
      <x:c r="G73" s="23" t="str">
        <x:f>IF(E73="","",IF(E73&gt;=0,"positive","negative"))</x:f>
        <x:v>positive</x:v>
      </x:c>
      <x:c r="H73" s="23" t="str">
        <x:f>IF(COUNTIFS('Raw IC'!$A$5:$A$546,$C73,'Raw IC'!$B$5:$B$546,1)=0,"",SUMIFS('Raw IC'!$C$5:$C$546,'Raw IC'!$A$5:$A$546,$C73,'Raw IC'!$B$5:$B$546,1))</x:f>
      </x:c>
      <x:c r="I73" s="23" t="str">
        <x:f>IF(COUNTIFS('Raw IC'!$A$5:$A$546,$C73,'Raw IC'!$B$5:$B$546,5)=0,"",SUMIFS('Raw IC'!$C$5:$C$546,'Raw IC'!$A$5:$A$546,$C73,'Raw IC'!$B$5:$B$546,5))</x:f>
      </x:c>
      <x:c r="J73" s="23" t="n">
        <x:f>IF(COUNTIFS('Raw IC'!$A$5:$A$546,$C73,'Raw IC'!$B$5:$B$546,10)=0,"",SUMIFS('Raw IC'!$C$5:$C$546,'Raw IC'!$A$5:$A$546,$C73,'Raw IC'!$B$5:$B$546,10))</x:f>
        <x:v>0.009101116867026332</x:v>
      </x:c>
      <x:c r="K73" s="23" t="n">
        <x:f>IF(COUNTIFS('Raw IC'!$A$5:$A$546,$C73,'Raw IC'!$B$5:$B$546,20)=0,"",SUMIFS('Raw IC'!$C$5:$C$546,'Raw IC'!$A$5:$A$546,$C73,'Raw IC'!$B$5:$B$546,20))</x:f>
        <x:v>0.008351333931381075</x:v>
      </x:c>
      <x:c r="L73" s="23" t="n">
        <x:f>IF(COUNT(H73:K73)=0,"",AVERAGE(H73:K73))</x:f>
        <x:v>0.008726225399203704</x:v>
      </x:c>
      <x:c r="M73" s="22" t="n">
        <x:f>COUNT(H73:K73)</x:f>
        <x:v>2</x:v>
      </x:c>
      <x:c r="N73" s="25" t="n">
        <x:v>46211.32386585648</x:v>
      </x:c>
      <x:c r="O73" s="24" t="n">
        <x:v>8902245</x:v>
      </x:c>
      <x:c r="P73" t="str">
        <x:v>legacy_common_sample_8902245</x:v>
      </x:c>
      <x:c r="Q73" t="str">
        <x:v>factor_report/gtja191_batch/gtja_085</x:v>
      </x:c>
    </x:row>
    <x:row r="74">
      <x:c r="A74" s="22" t="n">
        <x:f>IF($D74="ranked",1+COUNTIFS($D$5:$D$190,"ranked",$E$5:$E$190,"&gt;"&amp;$E74),"")</x:f>
        <x:v>70</x:v>
      </x:c>
      <x:c r="B74" s="22" t="n">
        <x:f>IF($D74="ranked",1+COUNTIFS($D$5:$D$190,"ranked",$F$5:$F$190,"&gt;"&amp;$F74),"")</x:f>
        <x:v>166</x:v>
      </x:c>
      <x:c r="C74" t="str">
        <x:v>gtja_104</x:v>
      </x:c>
      <x:c r="D74" t="str">
        <x:v>ranked</x:v>
      </x:c>
      <x:c r="E74" s="23" t="n">
        <x:f>IF(COUNT(J74,K74)&lt;2,"",AVERAGE(J74,K74))</x:f>
        <x:v>0.007887445686885266</x:v>
      </x:c>
      <x:c r="F74" s="23" t="n">
        <x:f>IF(E74="","",ABS(E74))</x:f>
        <x:v>0.007887445686885266</x:v>
      </x:c>
      <x:c r="G74" s="23" t="str">
        <x:f>IF(E74="","",IF(E74&gt;=0,"positive","negative"))</x:f>
        <x:v>positive</x:v>
      </x:c>
      <x:c r="H74" s="23" t="str">
        <x:f>IF(COUNTIFS('Raw IC'!$A$5:$A$546,$C74,'Raw IC'!$B$5:$B$546,1)=0,"",SUMIFS('Raw IC'!$C$5:$C$546,'Raw IC'!$A$5:$A$546,$C74,'Raw IC'!$B$5:$B$546,1))</x:f>
      </x:c>
      <x:c r="I74" s="23" t="str">
        <x:f>IF(COUNTIFS('Raw IC'!$A$5:$A$546,$C74,'Raw IC'!$B$5:$B$546,5)=0,"",SUMIFS('Raw IC'!$C$5:$C$546,'Raw IC'!$A$5:$A$546,$C74,'Raw IC'!$B$5:$B$546,5))</x:f>
      </x:c>
      <x:c r="J74" s="23" t="n">
        <x:f>IF(COUNTIFS('Raw IC'!$A$5:$A$546,$C74,'Raw IC'!$B$5:$B$546,10)=0,"",SUMIFS('Raw IC'!$C$5:$C$546,'Raw IC'!$A$5:$A$546,$C74,'Raw IC'!$B$5:$B$546,10))</x:f>
        <x:v>0.007983525906834345</x:v>
      </x:c>
      <x:c r="K74" s="23" t="n">
        <x:f>IF(COUNTIFS('Raw IC'!$A$5:$A$546,$C74,'Raw IC'!$B$5:$B$546,20)=0,"",SUMIFS('Raw IC'!$C$5:$C$546,'Raw IC'!$A$5:$A$546,$C74,'Raw IC'!$B$5:$B$546,20))</x:f>
        <x:v>0.007791365466936186</x:v>
      </x:c>
      <x:c r="L74" s="23" t="n">
        <x:f>IF(COUNT(H74:K74)=0,"",AVERAGE(H74:K74))</x:f>
        <x:v>0.007887445686885266</x:v>
      </x:c>
      <x:c r="M74" s="22" t="n">
        <x:f>COUNT(H74:K74)</x:f>
        <x:v>2</x:v>
      </x:c>
      <x:c r="N74" s="25" t="n">
        <x:v>46211.35578873842</x:v>
      </x:c>
      <x:c r="O74" s="24" t="n">
        <x:v>8902245</x:v>
      </x:c>
      <x:c r="P74" t="str">
        <x:v>legacy_common_sample_8902245</x:v>
      </x:c>
      <x:c r="Q74" t="str">
        <x:v>factor_report/gtja191_batch/gtja_104</x:v>
      </x:c>
    </x:row>
    <x:row r="75">
      <x:c r="A75" s="22" t="n">
        <x:f>IF($D75="ranked",1+COUNTIFS($D$5:$D$190,"ranked",$E$5:$E$190,"&gt;"&amp;$E75),"")</x:f>
        <x:v>71</x:v>
      </x:c>
      <x:c r="B75" s="22" t="n">
        <x:f>IF($D75="ranked",1+COUNTIFS($D$5:$D$190,"ranked",$F$5:$F$190,"&gt;"&amp;$F75),"")</x:f>
        <x:v>170</x:v>
      </x:c>
      <x:c r="C75" t="str">
        <x:v>gtja_165</x:v>
      </x:c>
      <x:c r="D75" t="str">
        <x:v>ranked</x:v>
      </x:c>
      <x:c r="E75" s="23" t="n">
        <x:f>IF(COUNT(J75,K75)&lt;2,"",AVERAGE(J75,K75))</x:f>
        <x:v>0.005368097220748684</x:v>
      </x:c>
      <x:c r="F75" s="23" t="n">
        <x:f>IF(E75="","",ABS(E75))</x:f>
        <x:v>0.005368097220748684</x:v>
      </x:c>
      <x:c r="G75" s="23" t="str">
        <x:f>IF(E75="","",IF(E75&gt;=0,"positive","negative"))</x:f>
        <x:v>positive</x:v>
      </x:c>
      <x:c r="H75" s="23" t="str">
        <x:f>IF(COUNTIFS('Raw IC'!$A$5:$A$546,$C75,'Raw IC'!$B$5:$B$546,1)=0,"",SUMIFS('Raw IC'!$C$5:$C$546,'Raw IC'!$A$5:$A$546,$C75,'Raw IC'!$B$5:$B$546,1))</x:f>
      </x:c>
      <x:c r="I75" s="23" t="str">
        <x:f>IF(COUNTIFS('Raw IC'!$A$5:$A$546,$C75,'Raw IC'!$B$5:$B$546,5)=0,"",SUMIFS('Raw IC'!$C$5:$C$546,'Raw IC'!$A$5:$A$546,$C75,'Raw IC'!$B$5:$B$546,5))</x:f>
      </x:c>
      <x:c r="J75" s="23" t="n">
        <x:f>IF(COUNTIFS('Raw IC'!$A$5:$A$546,$C75,'Raw IC'!$B$5:$B$546,10)=0,"",SUMIFS('Raw IC'!$C$5:$C$546,'Raw IC'!$A$5:$A$546,$C75,'Raw IC'!$B$5:$B$546,10))</x:f>
        <x:v>0.004761957217324623</x:v>
      </x:c>
      <x:c r="K75" s="23" t="n">
        <x:f>IF(COUNTIFS('Raw IC'!$A$5:$A$546,$C75,'Raw IC'!$B$5:$B$546,20)=0,"",SUMIFS('Raw IC'!$C$5:$C$546,'Raw IC'!$A$5:$A$546,$C75,'Raw IC'!$B$5:$B$546,20))</x:f>
        <x:v>0.005974237224172743</x:v>
      </x:c>
      <x:c r="L75" s="23" t="n">
        <x:f>IF(COUNT(H75:K75)=0,"",AVERAGE(H75:K75))</x:f>
        <x:v>0.005368097220748684</x:v>
      </x:c>
      <x:c r="M75" s="22" t="n">
        <x:f>COUNT(H75:K75)</x:f>
        <x:v>2</x:v>
      </x:c>
      <x:c r="N75" s="25" t="n">
        <x:v>46211.5176621412</x:v>
      </x:c>
      <x:c r="O75" s="24" t="n">
        <x:v>8902245</x:v>
      </x:c>
      <x:c r="P75" t="str">
        <x:v>legacy_common_sample_8902245</x:v>
      </x:c>
      <x:c r="Q75" t="str">
        <x:v>factor_report/gtja191_batch/gtja_165</x:v>
      </x:c>
    </x:row>
    <x:row r="76">
      <x:c r="A76" s="22" t="n">
        <x:f>IF($D76="ranked",1+COUNTIFS($D$5:$D$190,"ranked",$E$5:$E$190,"&gt;"&amp;$E76),"")</x:f>
        <x:v>72</x:v>
      </x:c>
      <x:c r="B76" s="22" t="n">
        <x:f>IF($D76="ranked",1+COUNTIFS($D$5:$D$190,"ranked",$F$5:$F$190,"&gt;"&amp;$F76),"")</x:f>
        <x:v>172</x:v>
      </x:c>
      <x:c r="C76" t="str">
        <x:v>gtja_073</x:v>
      </x:c>
      <x:c r="D76" t="str">
        <x:v>ranked</x:v>
      </x:c>
      <x:c r="E76" s="23" t="n">
        <x:f>IF(COUNT(J76,K76)&lt;2,"",AVERAGE(J76,K76))</x:f>
        <x:v>0.005039966765361696</x:v>
      </x:c>
      <x:c r="F76" s="23" t="n">
        <x:f>IF(E76="","",ABS(E76))</x:f>
        <x:v>0.005039966765361696</x:v>
      </x:c>
      <x:c r="G76" s="23" t="str">
        <x:f>IF(E76="","",IF(E76&gt;=0,"positive","negative"))</x:f>
        <x:v>positive</x:v>
      </x:c>
      <x:c r="H76" s="23" t="str">
        <x:f>IF(COUNTIFS('Raw IC'!$A$5:$A$546,$C76,'Raw IC'!$B$5:$B$546,1)=0,"",SUMIFS('Raw IC'!$C$5:$C$546,'Raw IC'!$A$5:$A$546,$C76,'Raw IC'!$B$5:$B$546,1))</x:f>
      </x:c>
      <x:c r="I76" s="23" t="str">
        <x:f>IF(COUNTIFS('Raw IC'!$A$5:$A$546,$C76,'Raw IC'!$B$5:$B$546,5)=0,"",SUMIFS('Raw IC'!$C$5:$C$546,'Raw IC'!$A$5:$A$546,$C76,'Raw IC'!$B$5:$B$546,5))</x:f>
      </x:c>
      <x:c r="J76" s="23" t="n">
        <x:f>IF(COUNTIFS('Raw IC'!$A$5:$A$546,$C76,'Raw IC'!$B$5:$B$546,10)=0,"",SUMIFS('Raw IC'!$C$5:$C$546,'Raw IC'!$A$5:$A$546,$C76,'Raw IC'!$B$5:$B$546,10))</x:f>
        <x:v>0.0030758054530690684</x:v>
      </x:c>
      <x:c r="K76" s="23" t="n">
        <x:f>IF(COUNTIFS('Raw IC'!$A$5:$A$546,$C76,'Raw IC'!$B$5:$B$546,20)=0,"",SUMIFS('Raw IC'!$C$5:$C$546,'Raw IC'!$A$5:$A$546,$C76,'Raw IC'!$B$5:$B$546,20))</x:f>
        <x:v>0.007004128077654323</x:v>
      </x:c>
      <x:c r="L76" s="23" t="n">
        <x:f>IF(COUNT(H76:K76)=0,"",AVERAGE(H76:K76))</x:f>
        <x:v>0.005039966765361696</x:v>
      </x:c>
      <x:c r="M76" s="22" t="n">
        <x:f>COUNT(H76:K76)</x:f>
        <x:v>2</x:v>
      </x:c>
      <x:c r="N76" s="25" t="n">
        <x:v>46211.30391246528</x:v>
      </x:c>
      <x:c r="O76" s="24" t="n">
        <x:v>8902245</x:v>
      </x:c>
      <x:c r="P76" t="str">
        <x:v>legacy_common_sample_8902245</x:v>
      </x:c>
      <x:c r="Q76" t="str">
        <x:v>factor_report/gtja191_batch/gtja_073</x:v>
      </x:c>
    </x:row>
    <x:row r="77">
      <x:c r="A77" s="22" t="n">
        <x:f>IF($D77="ranked",1+COUNTIFS($D$5:$D$190,"ranked",$E$5:$E$190,"&gt;"&amp;$E77),"")</x:f>
        <x:v>73</x:v>
      </x:c>
      <x:c r="B77" s="22" t="n">
        <x:f>IF($D77="ranked",1+COUNTIFS($D$5:$D$190,"ranked",$F$5:$F$190,"&gt;"&amp;$F77),"")</x:f>
        <x:v>173</x:v>
      </x:c>
      <x:c r="C77" t="str">
        <x:v>gtja_138</x:v>
      </x:c>
      <x:c r="D77" t="str">
        <x:v>ranked</x:v>
      </x:c>
      <x:c r="E77" s="23" t="n">
        <x:f>IF(COUNT(J77,K77)&lt;2,"",AVERAGE(J77,K77))</x:f>
        <x:v>0.004965201996911139</x:v>
      </x:c>
      <x:c r="F77" s="23" t="n">
        <x:f>IF(E77="","",ABS(E77))</x:f>
        <x:v>0.004965201996911139</x:v>
      </x:c>
      <x:c r="G77" s="23" t="str">
        <x:f>IF(E77="","",IF(E77&gt;=0,"positive","negative"))</x:f>
        <x:v>positive</x:v>
      </x:c>
      <x:c r="H77" s="23" t="str">
        <x:f>IF(COUNTIFS('Raw IC'!$A$5:$A$546,$C77,'Raw IC'!$B$5:$B$546,1)=0,"",SUMIFS('Raw IC'!$C$5:$C$546,'Raw IC'!$A$5:$A$546,$C77,'Raw IC'!$B$5:$B$546,1))</x:f>
      </x:c>
      <x:c r="I77" s="23" t="str">
        <x:f>IF(COUNTIFS('Raw IC'!$A$5:$A$546,$C77,'Raw IC'!$B$5:$B$546,5)=0,"",SUMIFS('Raw IC'!$C$5:$C$546,'Raw IC'!$A$5:$A$546,$C77,'Raw IC'!$B$5:$B$546,5))</x:f>
      </x:c>
      <x:c r="J77" s="23" t="n">
        <x:f>IF(COUNTIFS('Raw IC'!$A$5:$A$546,$C77,'Raw IC'!$B$5:$B$546,10)=0,"",SUMIFS('Raw IC'!$C$5:$C$546,'Raw IC'!$A$5:$A$546,$C77,'Raw IC'!$B$5:$B$546,10))</x:f>
        <x:v>0.0028396447418830703</x:v>
      </x:c>
      <x:c r="K77" s="23" t="n">
        <x:f>IF(COUNTIFS('Raw IC'!$A$5:$A$546,$C77,'Raw IC'!$B$5:$B$546,20)=0,"",SUMIFS('Raw IC'!$C$5:$C$546,'Raw IC'!$A$5:$A$546,$C77,'Raw IC'!$B$5:$B$546,20))</x:f>
        <x:v>0.007090759251939209</x:v>
      </x:c>
      <x:c r="L77" s="23" t="n">
        <x:f>IF(COUNT(H77:K77)=0,"",AVERAGE(H77:K77))</x:f>
        <x:v>0.004965201996911139</x:v>
      </x:c>
      <x:c r="M77" s="22" t="n">
        <x:f>COUNT(H77:K77)</x:f>
        <x:v>2</x:v>
      </x:c>
      <x:c r="N77" s="25" t="n">
        <x:v>46211.431942800926</x:v>
      </x:c>
      <x:c r="O77" s="24" t="n">
        <x:v>8902245</x:v>
      </x:c>
      <x:c r="P77" t="str">
        <x:v>legacy_common_sample_8902245</x:v>
      </x:c>
      <x:c r="Q77" t="str">
        <x:v>factor_report/gtja191_batch/gtja_138</x:v>
      </x:c>
    </x:row>
    <x:row r="78">
      <x:c r="A78" s="22" t="n">
        <x:f>IF($D78="ranked",1+COUNTIFS($D$5:$D$190,"ranked",$E$5:$E$190,"&gt;"&amp;$E78),"")</x:f>
        <x:v>74</x:v>
      </x:c>
      <x:c r="B78" s="22" t="n">
        <x:f>IF($D78="ranked",1+COUNTIFS($D$5:$D$190,"ranked",$F$5:$F$190,"&gt;"&amp;$F78),"")</x:f>
        <x:v>174</x:v>
      </x:c>
      <x:c r="C78" t="str">
        <x:v>gtja_163</x:v>
      </x:c>
      <x:c r="D78" t="str">
        <x:v>ranked</x:v>
      </x:c>
      <x:c r="E78" s="23" t="n">
        <x:f>IF(COUNT(J78,K78)&lt;2,"",AVERAGE(J78,K78))</x:f>
        <x:v>0.004623326213291954</x:v>
      </x:c>
      <x:c r="F78" s="23" t="n">
        <x:f>IF(E78="","",ABS(E78))</x:f>
        <x:v>0.004623326213291954</x:v>
      </x:c>
      <x:c r="G78" s="23" t="str">
        <x:f>IF(E78="","",IF(E78&gt;=0,"positive","negative"))</x:f>
        <x:v>positive</x:v>
      </x:c>
      <x:c r="H78" s="23" t="str">
        <x:f>IF(COUNTIFS('Raw IC'!$A$5:$A$546,$C78,'Raw IC'!$B$5:$B$546,1)=0,"",SUMIFS('Raw IC'!$C$5:$C$546,'Raw IC'!$A$5:$A$546,$C78,'Raw IC'!$B$5:$B$546,1))</x:f>
      </x:c>
      <x:c r="I78" s="23" t="str">
        <x:f>IF(COUNTIFS('Raw IC'!$A$5:$A$546,$C78,'Raw IC'!$B$5:$B$546,5)=0,"",SUMIFS('Raw IC'!$C$5:$C$546,'Raw IC'!$A$5:$A$546,$C78,'Raw IC'!$B$5:$B$546,5))</x:f>
      </x:c>
      <x:c r="J78" s="23" t="n">
        <x:f>IF(COUNTIFS('Raw IC'!$A$5:$A$546,$C78,'Raw IC'!$B$5:$B$546,10)=0,"",SUMIFS('Raw IC'!$C$5:$C$546,'Raw IC'!$A$5:$A$546,$C78,'Raw IC'!$B$5:$B$546,10))</x:f>
        <x:v>0.004280049698009344</x:v>
      </x:c>
      <x:c r="K78" s="23" t="n">
        <x:f>IF(COUNTIFS('Raw IC'!$A$5:$A$546,$C78,'Raw IC'!$B$5:$B$546,20)=0,"",SUMIFS('Raw IC'!$C$5:$C$546,'Raw IC'!$A$5:$A$546,$C78,'Raw IC'!$B$5:$B$546,20))</x:f>
        <x:v>0.004966602728574565</x:v>
      </x:c>
      <x:c r="L78" s="23" t="n">
        <x:f>IF(COUNT(H78:K78)=0,"",AVERAGE(H78:K78))</x:f>
        <x:v>0.004623326213291954</x:v>
      </x:c>
      <x:c r="M78" s="22" t="n">
        <x:f>COUNT(H78:K78)</x:f>
        <x:v>2</x:v>
      </x:c>
      <x:c r="N78" s="25" t="n">
        <x:v>46211.5122449537</x:v>
      </x:c>
      <x:c r="O78" s="24" t="n">
        <x:v>8902245</x:v>
      </x:c>
      <x:c r="P78" t="str">
        <x:v>legacy_common_sample_8902245</x:v>
      </x:c>
      <x:c r="Q78" t="str">
        <x:v>factor_report/gtja191_batch/gtja_163</x:v>
      </x:c>
    </x:row>
    <x:row r="79">
      <x:c r="A79" s="22" t="n">
        <x:f>IF($D79="ranked",1+COUNTIFS($D$5:$D$190,"ranked",$E$5:$E$190,"&gt;"&amp;$E79),"")</x:f>
        <x:v>75</x:v>
      </x:c>
      <x:c r="B79" s="22" t="n">
        <x:f>IF($D79="ranked",1+COUNTIFS($D$5:$D$190,"ranked",$F$5:$F$190,"&gt;"&amp;$F79),"")</x:f>
        <x:v>175</x:v>
      </x:c>
      <x:c r="C79" t="str">
        <x:v>gtja_111</x:v>
      </x:c>
      <x:c r="D79" t="str">
        <x:v>ranked</x:v>
      </x:c>
      <x:c r="E79" s="23" t="n">
        <x:f>IF(COUNT(J79,K79)&lt;2,"",AVERAGE(J79,K79))</x:f>
        <x:v>0.003156203331253025</x:v>
      </x:c>
      <x:c r="F79" s="23" t="n">
        <x:f>IF(E79="","",ABS(E79))</x:f>
        <x:v>0.003156203331253025</x:v>
      </x:c>
      <x:c r="G79" s="23" t="str">
        <x:f>IF(E79="","",IF(E79&gt;=0,"positive","negative"))</x:f>
        <x:v>positive</x:v>
      </x:c>
      <x:c r="H79" s="23" t="str">
        <x:f>IF(COUNTIFS('Raw IC'!$A$5:$A$546,$C79,'Raw IC'!$B$5:$B$546,1)=0,"",SUMIFS('Raw IC'!$C$5:$C$546,'Raw IC'!$A$5:$A$546,$C79,'Raw IC'!$B$5:$B$546,1))</x:f>
      </x:c>
      <x:c r="I79" s="23" t="str">
        <x:f>IF(COUNTIFS('Raw IC'!$A$5:$A$546,$C79,'Raw IC'!$B$5:$B$546,5)=0,"",SUMIFS('Raw IC'!$C$5:$C$546,'Raw IC'!$A$5:$A$546,$C79,'Raw IC'!$B$5:$B$546,5))</x:f>
      </x:c>
      <x:c r="J79" s="23" t="n">
        <x:f>IF(COUNTIFS('Raw IC'!$A$5:$A$546,$C79,'Raw IC'!$B$5:$B$546,10)=0,"",SUMIFS('Raw IC'!$C$5:$C$546,'Raw IC'!$A$5:$A$546,$C79,'Raw IC'!$B$5:$B$546,10))</x:f>
        <x:v>0.0043128644724922645</x:v>
      </x:c>
      <x:c r="K79" s="23" t="n">
        <x:f>IF(COUNTIFS('Raw IC'!$A$5:$A$546,$C79,'Raw IC'!$B$5:$B$546,20)=0,"",SUMIFS('Raw IC'!$C$5:$C$546,'Raw IC'!$A$5:$A$546,$C79,'Raw IC'!$B$5:$B$546,20))</x:f>
        <x:v>0.0019995421900137846</x:v>
      </x:c>
      <x:c r="L79" s="23" t="n">
        <x:f>IF(COUNT(H79:K79)=0,"",AVERAGE(H79:K79))</x:f>
        <x:v>0.003156203331253025</x:v>
      </x:c>
      <x:c r="M79" s="22" t="n">
        <x:f>COUNT(H79:K79)</x:f>
        <x:v>2</x:v>
      </x:c>
      <x:c r="N79" s="25" t="n">
        <x:v>46211.36424368055</x:v>
      </x:c>
      <x:c r="O79" s="24" t="n">
        <x:v>8902245</x:v>
      </x:c>
      <x:c r="P79" t="str">
        <x:v>legacy_common_sample_8902245</x:v>
      </x:c>
      <x:c r="Q79" t="str">
        <x:v>factor_report/gtja191_batch/gtja_111</x:v>
      </x:c>
    </x:row>
    <x:row r="80">
      <x:c r="A80" s="22" t="n">
        <x:f>IF($D80="ranked",1+COUNTIFS($D$5:$D$190,"ranked",$E$5:$E$190,"&gt;"&amp;$E80),"")</x:f>
        <x:v>76</x:v>
      </x:c>
      <x:c r="B80" s="22" t="n">
        <x:f>IF($D80="ranked",1+COUNTIFS($D$5:$D$190,"ranked",$F$5:$F$190,"&gt;"&amp;$F80),"")</x:f>
        <x:v>176</x:v>
      </x:c>
      <x:c r="C80" t="str">
        <x:v>gtja_002</x:v>
      </x:c>
      <x:c r="D80" t="str">
        <x:v>ranked</x:v>
      </x:c>
      <x:c r="E80" s="23" t="n">
        <x:f>IF(COUNT(J80,K80)&lt;2,"",AVERAGE(J80,K80))</x:f>
        <x:v>0.0029630384698811547</x:v>
      </x:c>
      <x:c r="F80" s="23" t="n">
        <x:f>IF(E80="","",ABS(E80))</x:f>
        <x:v>0.0029630384698811547</x:v>
      </x:c>
      <x:c r="G80" s="23" t="str">
        <x:f>IF(E80="","",IF(E80&gt;=0,"positive","negative"))</x:f>
        <x:v>positive</x:v>
      </x:c>
      <x:c r="H80" s="23" t="str">
        <x:f>IF(COUNTIFS('Raw IC'!$A$5:$A$546,$C80,'Raw IC'!$B$5:$B$546,1)=0,"",SUMIFS('Raw IC'!$C$5:$C$546,'Raw IC'!$A$5:$A$546,$C80,'Raw IC'!$B$5:$B$546,1))</x:f>
      </x:c>
      <x:c r="I80" s="23" t="str">
        <x:f>IF(COUNTIFS('Raw IC'!$A$5:$A$546,$C80,'Raw IC'!$B$5:$B$546,5)=0,"",SUMIFS('Raw IC'!$C$5:$C$546,'Raw IC'!$A$5:$A$546,$C80,'Raw IC'!$B$5:$B$546,5))</x:f>
      </x:c>
      <x:c r="J80" s="23" t="n">
        <x:f>IF(COUNTIFS('Raw IC'!$A$5:$A$546,$C80,'Raw IC'!$B$5:$B$546,10)=0,"",SUMIFS('Raw IC'!$C$5:$C$546,'Raw IC'!$A$5:$A$546,$C80,'Raw IC'!$B$5:$B$546,10))</x:f>
        <x:v>0.003331327897083199</x:v>
      </x:c>
      <x:c r="K80" s="23" t="n">
        <x:f>IF(COUNTIFS('Raw IC'!$A$5:$A$546,$C80,'Raw IC'!$B$5:$B$546,20)=0,"",SUMIFS('Raw IC'!$C$5:$C$546,'Raw IC'!$A$5:$A$546,$C80,'Raw IC'!$B$5:$B$546,20))</x:f>
        <x:v>0.00259474904267911</x:v>
      </x:c>
      <x:c r="L80" s="23" t="n">
        <x:f>IF(COUNT(H80:K80)=0,"",AVERAGE(H80:K80))</x:f>
        <x:v>0.0029630384698811547</x:v>
      </x:c>
      <x:c r="M80" s="22" t="n">
        <x:f>COUNT(H80:K80)</x:f>
        <x:v>2</x:v>
      </x:c>
      <x:c r="N80" s="25" t="n">
        <x:v>46211.155761828704</x:v>
      </x:c>
      <x:c r="O80" s="24" t="n">
        <x:v>8902245</x:v>
      </x:c>
      <x:c r="P80" t="str">
        <x:v>legacy_common_sample_8902245</x:v>
      </x:c>
      <x:c r="Q80" t="str">
        <x:v>factor_report/gtja191_batch/gtja_002</x:v>
      </x:c>
    </x:row>
    <x:row r="81">
      <x:c r="A81" s="22" t="n">
        <x:f>IF($D81="ranked",1+COUNTIFS($D$5:$D$190,"ranked",$E$5:$E$190,"&gt;"&amp;$E81),"")</x:f>
        <x:v>77</x:v>
      </x:c>
      <x:c r="B81" s="22" t="n">
        <x:f>IF($D81="ranked",1+COUNTIFS($D$5:$D$190,"ranked",$F$5:$F$190,"&gt;"&amp;$F81),"")</x:f>
        <x:v>177</x:v>
      </x:c>
      <x:c r="C81" t="str">
        <x:v>gtja_119</x:v>
      </x:c>
      <x:c r="D81" t="str">
        <x:v>ranked</x:v>
      </x:c>
      <x:c r="E81" s="23" t="n">
        <x:f>IF(COUNT(J81,K81)&lt;2,"",AVERAGE(J81,K81))</x:f>
        <x:v>0.002589543591272838</x:v>
      </x:c>
      <x:c r="F81" s="23" t="n">
        <x:f>IF(E81="","",ABS(E81))</x:f>
        <x:v>0.002589543591272838</x:v>
      </x:c>
      <x:c r="G81" s="23" t="str">
        <x:f>IF(E81="","",IF(E81&gt;=0,"positive","negative"))</x:f>
        <x:v>positive</x:v>
      </x:c>
      <x:c r="H81" s="23" t="str">
        <x:f>IF(COUNTIFS('Raw IC'!$A$5:$A$546,$C81,'Raw IC'!$B$5:$B$546,1)=0,"",SUMIFS('Raw IC'!$C$5:$C$546,'Raw IC'!$A$5:$A$546,$C81,'Raw IC'!$B$5:$B$546,1))</x:f>
      </x:c>
      <x:c r="I81" s="23" t="str">
        <x:f>IF(COUNTIFS('Raw IC'!$A$5:$A$546,$C81,'Raw IC'!$B$5:$B$546,5)=0,"",SUMIFS('Raw IC'!$C$5:$C$546,'Raw IC'!$A$5:$A$546,$C81,'Raw IC'!$B$5:$B$546,5))</x:f>
      </x:c>
      <x:c r="J81" s="23" t="n">
        <x:f>IF(COUNTIFS('Raw IC'!$A$5:$A$546,$C81,'Raw IC'!$B$5:$B$546,10)=0,"",SUMIFS('Raw IC'!$C$5:$C$546,'Raw IC'!$A$5:$A$546,$C81,'Raw IC'!$B$5:$B$546,10))</x:f>
        <x:v>0.0011128183046609727</x:v>
      </x:c>
      <x:c r="K81" s="23" t="n">
        <x:f>IF(COUNTIFS('Raw IC'!$A$5:$A$546,$C81,'Raw IC'!$B$5:$B$546,20)=0,"",SUMIFS('Raw IC'!$C$5:$C$546,'Raw IC'!$A$5:$A$546,$C81,'Raw IC'!$B$5:$B$546,20))</x:f>
        <x:v>0.004066268877884704</x:v>
      </x:c>
      <x:c r="L81" s="23" t="n">
        <x:f>IF(COUNT(H81:K81)=0,"",AVERAGE(H81:K81))</x:f>
        <x:v>0.002589543591272838</x:v>
      </x:c>
      <x:c r="M81" s="22" t="n">
        <x:f>COUNT(H81:K81)</x:f>
        <x:v>2</x:v>
      </x:c>
      <x:c r="N81" s="25" t="n">
        <x:v>46211.39142025463</x:v>
      </x:c>
      <x:c r="O81" s="24" t="n">
        <x:v>8902245</x:v>
      </x:c>
      <x:c r="P81" t="str">
        <x:v>legacy_common_sample_8902245</x:v>
      </x:c>
      <x:c r="Q81" t="str">
        <x:v>factor_report/gtja191_batch/gtja_119</x:v>
      </x:c>
    </x:row>
    <x:row r="82">
      <x:c r="A82" s="22" t="n">
        <x:f>IF($D82="ranked",1+COUNTIFS($D$5:$D$190,"ranked",$E$5:$E$190,"&gt;"&amp;$E82),"")</x:f>
        <x:v>78</x:v>
      </x:c>
      <x:c r="B82" s="22" t="n">
        <x:f>IF($D82="ranked",1+COUNTIFS($D$5:$D$190,"ranked",$F$5:$F$190,"&gt;"&amp;$F82),"")</x:f>
        <x:v>182</x:v>
      </x:c>
      <x:c r="C82" t="str">
        <x:v>gtja_004</x:v>
      </x:c>
      <x:c r="D82" t="str">
        <x:v>ranked</x:v>
      </x:c>
      <x:c r="E82" s="23" t="n">
        <x:f>IF(COUNT(J82,K82)&lt;2,"",AVERAGE(J82,K82))</x:f>
        <x:v>0.0005203812331917964</x:v>
      </x:c>
      <x:c r="F82" s="23" t="n">
        <x:f>IF(E82="","",ABS(E82))</x:f>
        <x:v>0.0005203812331917964</x:v>
      </x:c>
      <x:c r="G82" s="23" t="str">
        <x:f>IF(E82="","",IF(E82&gt;=0,"positive","negative"))</x:f>
        <x:v>positive</x:v>
      </x:c>
      <x:c r="H82" s="23" t="str">
        <x:f>IF(COUNTIFS('Raw IC'!$A$5:$A$546,$C82,'Raw IC'!$B$5:$B$546,1)=0,"",SUMIFS('Raw IC'!$C$5:$C$546,'Raw IC'!$A$5:$A$546,$C82,'Raw IC'!$B$5:$B$546,1))</x:f>
      </x:c>
      <x:c r="I82" s="23" t="str">
        <x:f>IF(COUNTIFS('Raw IC'!$A$5:$A$546,$C82,'Raw IC'!$B$5:$B$546,5)=0,"",SUMIFS('Raw IC'!$C$5:$C$546,'Raw IC'!$A$5:$A$546,$C82,'Raw IC'!$B$5:$B$546,5))</x:f>
      </x:c>
      <x:c r="J82" s="23" t="n">
        <x:f>IF(COUNTIFS('Raw IC'!$A$5:$A$546,$C82,'Raw IC'!$B$5:$B$546,10)=0,"",SUMIFS('Raw IC'!$C$5:$C$546,'Raw IC'!$A$5:$A$546,$C82,'Raw IC'!$B$5:$B$546,10))</x:f>
        <x:v>0.00039597296901405636</x:v>
      </x:c>
      <x:c r="K82" s="23" t="n">
        <x:f>IF(COUNTIFS('Raw IC'!$A$5:$A$546,$C82,'Raw IC'!$B$5:$B$546,20)=0,"",SUMIFS('Raw IC'!$C$5:$C$546,'Raw IC'!$A$5:$A$546,$C82,'Raw IC'!$B$5:$B$546,20))</x:f>
        <x:v>0.0006447894973695364</x:v>
      </x:c>
      <x:c r="L82" s="23" t="n">
        <x:f>IF(COUNT(H82:K82)=0,"",AVERAGE(H82:K82))</x:f>
        <x:v>0.0005203812331917964</x:v>
      </x:c>
      <x:c r="M82" s="22" t="n">
        <x:f>COUNT(H82:K82)</x:f>
        <x:v>2</x:v>
      </x:c>
      <x:c r="N82" s="25" t="n">
        <x:v>46211.15884189815</x:v>
      </x:c>
      <x:c r="O82" s="24" t="n">
        <x:v>8902245</x:v>
      </x:c>
      <x:c r="P82" t="str">
        <x:v>legacy_common_sample_8902245</x:v>
      </x:c>
      <x:c r="Q82" t="str">
        <x:v>factor_report/gtja191_batch/gtja_004</x:v>
      </x:c>
    </x:row>
    <x:row r="83">
      <x:c r="A83" s="22" t="n">
        <x:f>IF($D83="ranked",1+COUNTIFS($D$5:$D$190,"ranked",$E$5:$E$190,"&gt;"&amp;$E83),"")</x:f>
        <x:v>79</x:v>
      </x:c>
      <x:c r="B83" s="22" t="n">
        <x:f>IF($D83="ranked",1+COUNTIFS($D$5:$D$190,"ranked",$F$5:$F$190,"&gt;"&amp;$F83),"")</x:f>
        <x:v>181</x:v>
      </x:c>
      <x:c r="C83" t="str">
        <x:v>gtja_186</x:v>
      </x:c>
      <x:c r="D83" t="str">
        <x:v>ranked</x:v>
      </x:c>
      <x:c r="E83" s="23" t="n">
        <x:f>IF(COUNT(J83,K83)&lt;2,"",AVERAGE(J83,K83))</x:f>
        <x:v>-0.001292883178464869</x:v>
      </x:c>
      <x:c r="F83" s="23" t="n">
        <x:f>IF(E83="","",ABS(E83))</x:f>
        <x:v>0.001292883178464869</x:v>
      </x:c>
      <x:c r="G83" s="23" t="str">
        <x:f>IF(E83="","",IF(E83&gt;=0,"positive","negative"))</x:f>
        <x:v>negative</x:v>
      </x:c>
      <x:c r="H83" s="23" t="str">
        <x:f>IF(COUNTIFS('Raw IC'!$A$5:$A$546,$C83,'Raw IC'!$B$5:$B$546,1)=0,"",SUMIFS('Raw IC'!$C$5:$C$546,'Raw IC'!$A$5:$A$546,$C83,'Raw IC'!$B$5:$B$546,1))</x:f>
      </x:c>
      <x:c r="I83" s="23" t="str">
        <x:f>IF(COUNTIFS('Raw IC'!$A$5:$A$546,$C83,'Raw IC'!$B$5:$B$546,5)=0,"",SUMIFS('Raw IC'!$C$5:$C$546,'Raw IC'!$A$5:$A$546,$C83,'Raw IC'!$B$5:$B$546,5))</x:f>
      </x:c>
      <x:c r="J83" s="23" t="n">
        <x:f>IF(COUNTIFS('Raw IC'!$A$5:$A$546,$C83,'Raw IC'!$B$5:$B$546,10)=0,"",SUMIFS('Raw IC'!$C$5:$C$546,'Raw IC'!$A$5:$A$546,$C83,'Raw IC'!$B$5:$B$546,10))</x:f>
        <x:v>-0.0023580811704866154</x:v>
      </x:c>
      <x:c r="K83" s="23" t="n">
        <x:f>IF(COUNTIFS('Raw IC'!$A$5:$A$546,$C83,'Raw IC'!$B$5:$B$546,20)=0,"",SUMIFS('Raw IC'!$C$5:$C$546,'Raw IC'!$A$5:$A$546,$C83,'Raw IC'!$B$5:$B$546,20))</x:f>
        <x:v>-0.0002276851864431226</x:v>
      </x:c>
      <x:c r="L83" s="23" t="n">
        <x:f>IF(COUNT(H83:K83)=0,"",AVERAGE(H83:K83))</x:f>
        <x:v>-0.001292883178464869</x:v>
      </x:c>
      <x:c r="M83" s="22" t="n">
        <x:f>COUNT(H83:K83)</x:f>
        <x:v>2</x:v>
      </x:c>
      <x:c r="N83" s="25" t="n">
        <x:v>46211.5485016088</x:v>
      </x:c>
      <x:c r="O83" s="24" t="n">
        <x:v>8902245</x:v>
      </x:c>
      <x:c r="P83" t="str">
        <x:v>legacy_common_sample_8902245</x:v>
      </x:c>
      <x:c r="Q83" t="str">
        <x:v>factor_report/gtja191_batch/gtja_186</x:v>
      </x:c>
    </x:row>
    <x:row r="84">
      <x:c r="A84" s="22" t="n">
        <x:f>IF($D84="ranked",1+COUNTIFS($D$5:$D$190,"ranked",$E$5:$E$190,"&gt;"&amp;$E84),"")</x:f>
        <x:v>80</x:v>
      </x:c>
      <x:c r="B84" s="22" t="n">
        <x:f>IF($D84="ranked",1+COUNTIFS($D$5:$D$190,"ranked",$F$5:$F$190,"&gt;"&amp;$F84),"")</x:f>
        <x:v>180</x:v>
      </x:c>
      <x:c r="C84" t="str">
        <x:v>gtja_171</x:v>
      </x:c>
      <x:c r="D84" t="str">
        <x:v>ranked</x:v>
      </x:c>
      <x:c r="E84" s="23" t="n">
        <x:f>IF(COUNT(J84,K84)&lt;2,"",AVERAGE(J84,K84))</x:f>
        <x:v>-0.0014968867804344135</x:v>
      </x:c>
      <x:c r="F84" s="23" t="n">
        <x:f>IF(E84="","",ABS(E84))</x:f>
        <x:v>0.0014968867804344135</x:v>
      </x:c>
      <x:c r="G84" s="23" t="str">
        <x:f>IF(E84="","",IF(E84&gt;=0,"positive","negative"))</x:f>
        <x:v>negative</x:v>
      </x:c>
      <x:c r="H84" s="23" t="str">
        <x:f>IF(COUNTIFS('Raw IC'!$A$5:$A$546,$C84,'Raw IC'!$B$5:$B$546,1)=0,"",SUMIFS('Raw IC'!$C$5:$C$546,'Raw IC'!$A$5:$A$546,$C84,'Raw IC'!$B$5:$B$546,1))</x:f>
      </x:c>
      <x:c r="I84" s="23" t="str">
        <x:f>IF(COUNTIFS('Raw IC'!$A$5:$A$546,$C84,'Raw IC'!$B$5:$B$546,5)=0,"",SUMIFS('Raw IC'!$C$5:$C$546,'Raw IC'!$A$5:$A$546,$C84,'Raw IC'!$B$5:$B$546,5))</x:f>
      </x:c>
      <x:c r="J84" s="23" t="n">
        <x:f>IF(COUNTIFS('Raw IC'!$A$5:$A$546,$C84,'Raw IC'!$B$5:$B$546,10)=0,"",SUMIFS('Raw IC'!$C$5:$C$546,'Raw IC'!$A$5:$A$546,$C84,'Raw IC'!$B$5:$B$546,10))</x:f>
        <x:v>-0.0015023745819483184</x:v>
      </x:c>
      <x:c r="K84" s="23" t="n">
        <x:f>IF(COUNTIFS('Raw IC'!$A$5:$A$546,$C84,'Raw IC'!$B$5:$B$546,20)=0,"",SUMIFS('Raw IC'!$C$5:$C$546,'Raw IC'!$A$5:$A$546,$C84,'Raw IC'!$B$5:$B$546,20))</x:f>
        <x:v>-0.0014913989789205086</x:v>
      </x:c>
      <x:c r="L84" s="23" t="n">
        <x:f>IF(COUNT(H84:K84)=0,"",AVERAGE(H84:K84))</x:f>
        <x:v>-0.0014968867804344135</x:v>
      </x:c>
      <x:c r="M84" s="22" t="n">
        <x:f>COUNT(H84:K84)</x:f>
        <x:v>2</x:v>
      </x:c>
      <x:c r="N84" s="25" t="n">
        <x:v>46211.52808474537</x:v>
      </x:c>
      <x:c r="O84" s="24" t="n">
        <x:v>8902245</x:v>
      </x:c>
      <x:c r="P84" t="str">
        <x:v>legacy_common_sample_8902245</x:v>
      </x:c>
      <x:c r="Q84" t="str">
        <x:v>factor_report/gtja191_batch/gtja_171</x:v>
      </x:c>
    </x:row>
    <x:row r="85">
      <x:c r="A85" s="22" t="n">
        <x:f>IF($D85="ranked",1+COUNTIFS($D$5:$D$190,"ranked",$E$5:$E$190,"&gt;"&amp;$E85),"")</x:f>
        <x:v>81</x:v>
      </x:c>
      <x:c r="B85" s="22" t="n">
        <x:f>IF($D85="ranked",1+COUNTIFS($D$5:$D$190,"ranked",$F$5:$F$190,"&gt;"&amp;$F85),"")</x:f>
        <x:v>179</x:v>
      </x:c>
      <x:c r="C85" t="str">
        <x:v>gtja_142</x:v>
      </x:c>
      <x:c r="D85" t="str">
        <x:v>ranked</x:v>
      </x:c>
      <x:c r="E85" s="23" t="n">
        <x:f>IF(COUNT(J85,K85)&lt;2,"",AVERAGE(J85,K85))</x:f>
        <x:v>-0.0015034721690445323</x:v>
      </x:c>
      <x:c r="F85" s="23" t="n">
        <x:f>IF(E85="","",ABS(E85))</x:f>
        <x:v>0.0015034721690445323</x:v>
      </x:c>
      <x:c r="G85" s="23" t="str">
        <x:f>IF(E85="","",IF(E85&gt;=0,"positive","negative"))</x:f>
        <x:v>negative</x:v>
      </x:c>
      <x:c r="H85" s="23" t="str">
        <x:f>IF(COUNTIFS('Raw IC'!$A$5:$A$546,$C85,'Raw IC'!$B$5:$B$546,1)=0,"",SUMIFS('Raw IC'!$C$5:$C$546,'Raw IC'!$A$5:$A$546,$C85,'Raw IC'!$B$5:$B$546,1))</x:f>
      </x:c>
      <x:c r="I85" s="23" t="str">
        <x:f>IF(COUNTIFS('Raw IC'!$A$5:$A$546,$C85,'Raw IC'!$B$5:$B$546,5)=0,"",SUMIFS('Raw IC'!$C$5:$C$546,'Raw IC'!$A$5:$A$546,$C85,'Raw IC'!$B$5:$B$546,5))</x:f>
      </x:c>
      <x:c r="J85" s="23" t="n">
        <x:f>IF(COUNTIFS('Raw IC'!$A$5:$A$546,$C85,'Raw IC'!$B$5:$B$546,10)=0,"",SUMIFS('Raw IC'!$C$5:$C$546,'Raw IC'!$A$5:$A$546,$C85,'Raw IC'!$B$5:$B$546,10))</x:f>
        <x:v>-0.0007659892413414567</x:v>
      </x:c>
      <x:c r="K85" s="23" t="n">
        <x:f>IF(COUNTIFS('Raw IC'!$A$5:$A$546,$C85,'Raw IC'!$B$5:$B$546,20)=0,"",SUMIFS('Raw IC'!$C$5:$C$546,'Raw IC'!$A$5:$A$546,$C85,'Raw IC'!$B$5:$B$546,20))</x:f>
        <x:v>-0.002240955096747608</x:v>
      </x:c>
      <x:c r="L85" s="23" t="n">
        <x:f>IF(COUNT(H85:K85)=0,"",AVERAGE(H85:K85))</x:f>
        <x:v>-0.0015034721690445323</x:v>
      </x:c>
      <x:c r="M85" s="22" t="n">
        <x:f>COUNT(H85:K85)</x:f>
        <x:v>2</x:v>
      </x:c>
      <x:c r="N85" s="25" t="n">
        <x:v>46211.45015293981</x:v>
      </x:c>
      <x:c r="O85" s="24" t="n">
        <x:v>8902245</x:v>
      </x:c>
      <x:c r="P85" t="str">
        <x:v>legacy_common_sample_8902245</x:v>
      </x:c>
      <x:c r="Q85" t="str">
        <x:v>factor_report/gtja191_batch/gtja_142</x:v>
      </x:c>
    </x:row>
    <x:row r="86">
      <x:c r="A86" s="22" t="n">
        <x:f>IF($D86="ranked",1+COUNTIFS($D$5:$D$190,"ranked",$E$5:$E$190,"&gt;"&amp;$E86),"")</x:f>
        <x:v>82</x:v>
      </x:c>
      <x:c r="B86" s="22" t="n">
        <x:f>IF($D86="ranked",1+COUNTIFS($D$5:$D$190,"ranked",$F$5:$F$190,"&gt;"&amp;$F86),"")</x:f>
        <x:v>178</x:v>
      </x:c>
      <x:c r="C86" t="str">
        <x:v>gtja_172</x:v>
      </x:c>
      <x:c r="D86" t="str">
        <x:v>ranked</x:v>
      </x:c>
      <x:c r="E86" s="23" t="n">
        <x:f>IF(COUNT(J86,K86)&lt;2,"",AVERAGE(J86,K86))</x:f>
        <x:v>-0.0016786862579768176</x:v>
      </x:c>
      <x:c r="F86" s="23" t="n">
        <x:f>IF(E86="","",ABS(E86))</x:f>
        <x:v>0.0016786862579768176</x:v>
      </x:c>
      <x:c r="G86" s="23" t="str">
        <x:f>IF(E86="","",IF(E86&gt;=0,"positive","negative"))</x:f>
        <x:v>negative</x:v>
      </x:c>
      <x:c r="H86" s="23" t="str">
        <x:f>IF(COUNTIFS('Raw IC'!$A$5:$A$546,$C86,'Raw IC'!$B$5:$B$546,1)=0,"",SUMIFS('Raw IC'!$C$5:$C$546,'Raw IC'!$A$5:$A$546,$C86,'Raw IC'!$B$5:$B$546,1))</x:f>
      </x:c>
      <x:c r="I86" s="23" t="str">
        <x:f>IF(COUNTIFS('Raw IC'!$A$5:$A$546,$C86,'Raw IC'!$B$5:$B$546,5)=0,"",SUMIFS('Raw IC'!$C$5:$C$546,'Raw IC'!$A$5:$A$546,$C86,'Raw IC'!$B$5:$B$546,5))</x:f>
      </x:c>
      <x:c r="J86" s="23" t="n">
        <x:f>IF(COUNTIFS('Raw IC'!$A$5:$A$546,$C86,'Raw IC'!$B$5:$B$546,10)=0,"",SUMIFS('Raw IC'!$C$5:$C$546,'Raw IC'!$A$5:$A$546,$C86,'Raw IC'!$B$5:$B$546,10))</x:f>
        <x:v>-0.0028721415964441267</x:v>
      </x:c>
      <x:c r="K86" s="23" t="n">
        <x:f>IF(COUNTIFS('Raw IC'!$A$5:$A$546,$C86,'Raw IC'!$B$5:$B$546,20)=0,"",SUMIFS('Raw IC'!$C$5:$C$546,'Raw IC'!$A$5:$A$546,$C86,'Raw IC'!$B$5:$B$546,20))</x:f>
        <x:v>-0.00048523091950950875</x:v>
      </x:c>
      <x:c r="L86" s="23" t="n">
        <x:f>IF(COUNT(H86:K86)=0,"",AVERAGE(H86:K86))</x:f>
        <x:v>-0.0016786862579768176</x:v>
      </x:c>
      <x:c r="M86" s="22" t="n">
        <x:f>COUNT(H86:K86)</x:f>
        <x:v>2</x:v>
      </x:c>
      <x:c r="N86" s="25" t="n">
        <x:v>46211.5309509838</x:v>
      </x:c>
      <x:c r="O86" s="24" t="n">
        <x:v>8902245</x:v>
      </x:c>
      <x:c r="P86" t="str">
        <x:v>legacy_common_sample_8902245</x:v>
      </x:c>
      <x:c r="Q86" t="str">
        <x:v>factor_report/gtja191_batch/gtja_172</x:v>
      </x:c>
    </x:row>
    <x:row r="87">
      <x:c r="A87" s="22" t="n">
        <x:f>IF($D87="ranked",1+COUNTIFS($D$5:$D$190,"ranked",$E$5:$E$190,"&gt;"&amp;$E87),"")</x:f>
        <x:v>83</x:v>
      </x:c>
      <x:c r="B87" s="22" t="n">
        <x:f>IF($D87="ranked",1+COUNTIFS($D$5:$D$190,"ranked",$F$5:$F$190,"&gt;"&amp;$F87),"")</x:f>
        <x:v>171</x:v>
      </x:c>
      <x:c r="C87" t="str">
        <x:v>gtja_146</x:v>
      </x:c>
      <x:c r="D87" t="str">
        <x:v>ranked</x:v>
      </x:c>
      <x:c r="E87" s="23" t="n">
        <x:f>IF(COUNT(J87,K87)&lt;2,"",AVERAGE(J87,K87))</x:f>
        <x:v>-0.005063396051070711</x:v>
      </x:c>
      <x:c r="F87" s="23" t="n">
        <x:f>IF(E87="","",ABS(E87))</x:f>
        <x:v>0.005063396051070711</x:v>
      </x:c>
      <x:c r="G87" s="23" t="str">
        <x:f>IF(E87="","",IF(E87&gt;=0,"positive","negative"))</x:f>
        <x:v>negative</x:v>
      </x:c>
      <x:c r="H87" s="23" t="str">
        <x:f>IF(COUNTIFS('Raw IC'!$A$5:$A$546,$C87,'Raw IC'!$B$5:$B$546,1)=0,"",SUMIFS('Raw IC'!$C$5:$C$546,'Raw IC'!$A$5:$A$546,$C87,'Raw IC'!$B$5:$B$546,1))</x:f>
      </x:c>
      <x:c r="I87" s="23" t="str">
        <x:f>IF(COUNTIFS('Raw IC'!$A$5:$A$546,$C87,'Raw IC'!$B$5:$B$546,5)=0,"",SUMIFS('Raw IC'!$C$5:$C$546,'Raw IC'!$A$5:$A$546,$C87,'Raw IC'!$B$5:$B$546,5))</x:f>
      </x:c>
      <x:c r="J87" s="23" t="n">
        <x:f>IF(COUNTIFS('Raw IC'!$A$5:$A$546,$C87,'Raw IC'!$B$5:$B$546,10)=0,"",SUMIFS('Raw IC'!$C$5:$C$546,'Raw IC'!$A$5:$A$546,$C87,'Raw IC'!$B$5:$B$546,10))</x:f>
        <x:v>-0.004380920010943611</x:v>
      </x:c>
      <x:c r="K87" s="23" t="n">
        <x:f>IF(COUNTIFS('Raw IC'!$A$5:$A$546,$C87,'Raw IC'!$B$5:$B$546,20)=0,"",SUMIFS('Raw IC'!$C$5:$C$546,'Raw IC'!$A$5:$A$546,$C87,'Raw IC'!$B$5:$B$546,20))</x:f>
        <x:v>-0.0057458720911978105</x:v>
      </x:c>
      <x:c r="L87" s="23" t="n">
        <x:f>IF(COUNT(H87:K87)=0,"",AVERAGE(H87:K87))</x:f>
        <x:v>-0.005063396051070711</x:v>
      </x:c>
      <x:c r="M87" s="22" t="n">
        <x:f>COUNT(H87:K87)</x:f>
        <x:v>2</x:v>
      </x:c>
      <x:c r="N87" s="25" t="n">
        <x:v>46211.45605219907</x:v>
      </x:c>
      <x:c r="O87" s="24" t="n">
        <x:v>8902245</x:v>
      </x:c>
      <x:c r="P87" t="str">
        <x:v>legacy_common_sample_8902245</x:v>
      </x:c>
      <x:c r="Q87" t="str">
        <x:v>factor_report/gtja191_batch/gtja_146</x:v>
      </x:c>
    </x:row>
    <x:row r="88">
      <x:c r="A88" s="22" t="n">
        <x:f>IF($D88="ranked",1+COUNTIFS($D$5:$D$190,"ranked",$E$5:$E$190,"&gt;"&amp;$E88),"")</x:f>
        <x:v>84</x:v>
      </x:c>
      <x:c r="B88" s="22" t="n">
        <x:f>IF($D88="ranked",1+COUNTIFS($D$5:$D$190,"ranked",$F$5:$F$190,"&gt;"&amp;$F88),"")</x:f>
        <x:v>169</x:v>
      </x:c>
      <x:c r="C88" t="str">
        <x:v>gtja_124</x:v>
      </x:c>
      <x:c r="D88" t="str">
        <x:v>ranked</x:v>
      </x:c>
      <x:c r="E88" s="23" t="n">
        <x:f>IF(COUNT(J88,K88)&lt;2,"",AVERAGE(J88,K88))</x:f>
        <x:v>-0.007195006697484409</x:v>
      </x:c>
      <x:c r="F88" s="23" t="n">
        <x:f>IF(E88="","",ABS(E88))</x:f>
        <x:v>0.007195006697484409</x:v>
      </x:c>
      <x:c r="G88" s="23" t="str">
        <x:f>IF(E88="","",IF(E88&gt;=0,"positive","negative"))</x:f>
        <x:v>negative</x:v>
      </x:c>
      <x:c r="H88" s="23" t="str">
        <x:f>IF(COUNTIFS('Raw IC'!$A$5:$A$546,$C88,'Raw IC'!$B$5:$B$546,1)=0,"",SUMIFS('Raw IC'!$C$5:$C$546,'Raw IC'!$A$5:$A$546,$C88,'Raw IC'!$B$5:$B$546,1))</x:f>
      </x:c>
      <x:c r="I88" s="23" t="str">
        <x:f>IF(COUNTIFS('Raw IC'!$A$5:$A$546,$C88,'Raw IC'!$B$5:$B$546,5)=0,"",SUMIFS('Raw IC'!$C$5:$C$546,'Raw IC'!$A$5:$A$546,$C88,'Raw IC'!$B$5:$B$546,5))</x:f>
      </x:c>
      <x:c r="J88" s="23" t="n">
        <x:f>IF(COUNTIFS('Raw IC'!$A$5:$A$546,$C88,'Raw IC'!$B$5:$B$546,10)=0,"",SUMIFS('Raw IC'!$C$5:$C$546,'Raw IC'!$A$5:$A$546,$C88,'Raw IC'!$B$5:$B$546,10))</x:f>
        <x:v>-0.0069098824764696155</x:v>
      </x:c>
      <x:c r="K88" s="23" t="n">
        <x:f>IF(COUNTIFS('Raw IC'!$A$5:$A$546,$C88,'Raw IC'!$B$5:$B$546,20)=0,"",SUMIFS('Raw IC'!$C$5:$C$546,'Raw IC'!$A$5:$A$546,$C88,'Raw IC'!$B$5:$B$546,20))</x:f>
        <x:v>-0.0074801309184992035</x:v>
      </x:c>
      <x:c r="L88" s="23" t="n">
        <x:f>IF(COUNT(H88:K88)=0,"",AVERAGE(H88:K88))</x:f>
        <x:v>-0.007195006697484409</x:v>
      </x:c>
      <x:c r="M88" s="22" t="n">
        <x:f>COUNT(H88:K88)</x:f>
        <x:v>2</x:v>
      </x:c>
      <x:c r="N88" s="25" t="n">
        <x:v>46211.41230089121</x:v>
      </x:c>
      <x:c r="O88" s="24" t="n">
        <x:v>8902245</x:v>
      </x:c>
      <x:c r="P88" t="str">
        <x:v>legacy_common_sample_8902245</x:v>
      </x:c>
      <x:c r="Q88" t="str">
        <x:v>factor_report/gtja191_batch/gtja_124</x:v>
      </x:c>
    </x:row>
    <x:row r="89">
      <x:c r="A89" s="22" t="n">
        <x:f>IF($D89="ranked",1+COUNTIFS($D$5:$D$190,"ranked",$E$5:$E$190,"&gt;"&amp;$E89),"")</x:f>
        <x:v>85</x:v>
      </x:c>
      <x:c r="B89" s="22" t="n">
        <x:f>IF($D89="ranked",1+COUNTIFS($D$5:$D$190,"ranked",$F$5:$F$190,"&gt;"&amp;$F89),"")</x:f>
        <x:v>168</x:v>
      </x:c>
      <x:c r="C89" t="str">
        <x:v>gtja_076</x:v>
      </x:c>
      <x:c r="D89" t="str">
        <x:v>ranked</x:v>
      </x:c>
      <x:c r="E89" s="23" t="n">
        <x:f>IF(COUNT(J89,K89)&lt;2,"",AVERAGE(J89,K89))</x:f>
        <x:v>-0.007235223162144897</x:v>
      </x:c>
      <x:c r="F89" s="23" t="n">
        <x:f>IF(E89="","",ABS(E89))</x:f>
        <x:v>0.007235223162144897</x:v>
      </x:c>
      <x:c r="G89" s="23" t="str">
        <x:f>IF(E89="","",IF(E89&gt;=0,"positive","negative"))</x:f>
        <x:v>negative</x:v>
      </x:c>
      <x:c r="H89" s="23" t="str">
        <x:f>IF(COUNTIFS('Raw IC'!$A$5:$A$546,$C89,'Raw IC'!$B$5:$B$546,1)=0,"",SUMIFS('Raw IC'!$C$5:$C$546,'Raw IC'!$A$5:$A$546,$C89,'Raw IC'!$B$5:$B$546,1))</x:f>
      </x:c>
      <x:c r="I89" s="23" t="str">
        <x:f>IF(COUNTIFS('Raw IC'!$A$5:$A$546,$C89,'Raw IC'!$B$5:$B$546,5)=0,"",SUMIFS('Raw IC'!$C$5:$C$546,'Raw IC'!$A$5:$A$546,$C89,'Raw IC'!$B$5:$B$546,5))</x:f>
      </x:c>
      <x:c r="J89" s="23" t="n">
        <x:f>IF(COUNTIFS('Raw IC'!$A$5:$A$546,$C89,'Raw IC'!$B$5:$B$546,10)=0,"",SUMIFS('Raw IC'!$C$5:$C$546,'Raw IC'!$A$5:$A$546,$C89,'Raw IC'!$B$5:$B$546,10))</x:f>
        <x:v>-0.004315535410730925</x:v>
      </x:c>
      <x:c r="K89" s="23" t="n">
        <x:f>IF(COUNTIFS('Raw IC'!$A$5:$A$546,$C89,'Raw IC'!$B$5:$B$546,20)=0,"",SUMIFS('Raw IC'!$C$5:$C$546,'Raw IC'!$A$5:$A$546,$C89,'Raw IC'!$B$5:$B$546,20))</x:f>
        <x:v>-0.01015491091355887</x:v>
      </x:c>
      <x:c r="L89" s="23" t="n">
        <x:f>IF(COUNT(H89:K89)=0,"",AVERAGE(H89:K89))</x:f>
        <x:v>-0.007235223162144897</x:v>
      </x:c>
      <x:c r="M89" s="22" t="n">
        <x:f>COUNT(H89:K89)</x:f>
        <x:v>2</x:v>
      </x:c>
      <x:c r="N89" s="25" t="n">
        <x:v>46211.30655486111</x:v>
      </x:c>
      <x:c r="O89" s="24" t="n">
        <x:v>8902245</x:v>
      </x:c>
      <x:c r="P89" t="str">
        <x:v>legacy_common_sample_8902245</x:v>
      </x:c>
      <x:c r="Q89" t="str">
        <x:v>factor_report/gtja191_batch/gtja_076</x:v>
      </x:c>
    </x:row>
    <x:row r="90">
      <x:c r="A90" s="22" t="n">
        <x:f>IF($D90="ranked",1+COUNTIFS($D$5:$D$190,"ranked",$E$5:$E$190,"&gt;"&amp;$E90),"")</x:f>
        <x:v>86</x:v>
      </x:c>
      <x:c r="B90" s="22" t="n">
        <x:f>IF($D90="ranked",1+COUNTIFS($D$5:$D$190,"ranked",$F$5:$F$190,"&gt;"&amp;$F90),"")</x:f>
        <x:v>167</x:v>
      </x:c>
      <x:c r="C90" t="str">
        <x:v>gtja_091</x:v>
      </x:c>
      <x:c r="D90" t="str">
        <x:v>ranked</x:v>
      </x:c>
      <x:c r="E90" s="23" t="n">
        <x:f>IF(COUNT(J90,K90)&lt;2,"",AVERAGE(J90,K90))</x:f>
        <x:v>-0.007539692356901274</x:v>
      </x:c>
      <x:c r="F90" s="23" t="n">
        <x:f>IF(E90="","",ABS(E90))</x:f>
        <x:v>0.007539692356901274</x:v>
      </x:c>
      <x:c r="G90" s="23" t="str">
        <x:f>IF(E90="","",IF(E90&gt;=0,"positive","negative"))</x:f>
        <x:v>negative</x:v>
      </x:c>
      <x:c r="H90" s="23" t="str">
        <x:f>IF(COUNTIFS('Raw IC'!$A$5:$A$546,$C90,'Raw IC'!$B$5:$B$546,1)=0,"",SUMIFS('Raw IC'!$C$5:$C$546,'Raw IC'!$A$5:$A$546,$C90,'Raw IC'!$B$5:$B$546,1))</x:f>
      </x:c>
      <x:c r="I90" s="23" t="str">
        <x:f>IF(COUNTIFS('Raw IC'!$A$5:$A$546,$C90,'Raw IC'!$B$5:$B$546,5)=0,"",SUMIFS('Raw IC'!$C$5:$C$546,'Raw IC'!$A$5:$A$546,$C90,'Raw IC'!$B$5:$B$546,5))</x:f>
      </x:c>
      <x:c r="J90" s="23" t="n">
        <x:f>IF(COUNTIFS('Raw IC'!$A$5:$A$546,$C90,'Raw IC'!$B$5:$B$546,10)=0,"",SUMIFS('Raw IC'!$C$5:$C$546,'Raw IC'!$A$5:$A$546,$C90,'Raw IC'!$B$5:$B$546,10))</x:f>
        <x:v>-0.005977281466886537</x:v>
      </x:c>
      <x:c r="K90" s="23" t="n">
        <x:f>IF(COUNTIFS('Raw IC'!$A$5:$A$546,$C90,'Raw IC'!$B$5:$B$546,20)=0,"",SUMIFS('Raw IC'!$C$5:$C$546,'Raw IC'!$A$5:$A$546,$C90,'Raw IC'!$B$5:$B$546,20))</x:f>
        <x:v>-0.00910210324691601</x:v>
      </x:c>
      <x:c r="L90" s="23" t="n">
        <x:f>IF(COUNT(H90:K90)=0,"",AVERAGE(H90:K90))</x:f>
        <x:v>-0.007539692356901274</x:v>
      </x:c>
      <x:c r="M90" s="22" t="n">
        <x:f>COUNT(H90:K90)</x:f>
        <x:v>2</x:v>
      </x:c>
      <x:c r="N90" s="25" t="n">
        <x:v>46211.33546769676</x:v>
      </x:c>
      <x:c r="O90" s="24" t="n">
        <x:v>8902245</x:v>
      </x:c>
      <x:c r="P90" t="str">
        <x:v>legacy_common_sample_8902245</x:v>
      </x:c>
      <x:c r="Q90" t="str">
        <x:v>factor_report/gtja191_batch/gtja_091</x:v>
      </x:c>
    </x:row>
    <x:row r="91">
      <x:c r="A91" s="22" t="n">
        <x:f>IF($D91="ranked",1+COUNTIFS($D$5:$D$190,"ranked",$E$5:$E$190,"&gt;"&amp;$E91),"")</x:f>
        <x:v>87</x:v>
      </x:c>
      <x:c r="B91" s="22" t="n">
        <x:f>IF($D91="ranked",1+COUNTIFS($D$5:$D$190,"ranked",$F$5:$F$190,"&gt;"&amp;$F91),"")</x:f>
        <x:v>165</x:v>
      </x:c>
      <x:c r="C91" t="str">
        <x:v>gtja_162</x:v>
      </x:c>
      <x:c r="D91" t="str">
        <x:v>ranked</x:v>
      </x:c>
      <x:c r="E91" s="23" t="n">
        <x:f>IF(COUNT(J91,K91)&lt;2,"",AVERAGE(J91,K91))</x:f>
        <x:v>-0.008231335036319405</x:v>
      </x:c>
      <x:c r="F91" s="23" t="n">
        <x:f>IF(E91="","",ABS(E91))</x:f>
        <x:v>0.008231335036319405</x:v>
      </x:c>
      <x:c r="G91" s="23" t="str">
        <x:f>IF(E91="","",IF(E91&gt;=0,"positive","negative"))</x:f>
        <x:v>negative</x:v>
      </x:c>
      <x:c r="H91" s="23" t="str">
        <x:f>IF(COUNTIFS('Raw IC'!$A$5:$A$546,$C91,'Raw IC'!$B$5:$B$546,1)=0,"",SUMIFS('Raw IC'!$C$5:$C$546,'Raw IC'!$A$5:$A$546,$C91,'Raw IC'!$B$5:$B$546,1))</x:f>
      </x:c>
      <x:c r="I91" s="23" t="str">
        <x:f>IF(COUNTIFS('Raw IC'!$A$5:$A$546,$C91,'Raw IC'!$B$5:$B$546,5)=0,"",SUMIFS('Raw IC'!$C$5:$C$546,'Raw IC'!$A$5:$A$546,$C91,'Raw IC'!$B$5:$B$546,5))</x:f>
      </x:c>
      <x:c r="J91" s="23" t="n">
        <x:f>IF(COUNTIFS('Raw IC'!$A$5:$A$546,$C91,'Raw IC'!$B$5:$B$546,10)=0,"",SUMIFS('Raw IC'!$C$5:$C$546,'Raw IC'!$A$5:$A$546,$C91,'Raw IC'!$B$5:$B$546,10))</x:f>
        <x:v>-0.007836269014980184</x:v>
      </x:c>
      <x:c r="K91" s="23" t="n">
        <x:f>IF(COUNTIFS('Raw IC'!$A$5:$A$546,$C91,'Raw IC'!$B$5:$B$546,20)=0,"",SUMIFS('Raw IC'!$C$5:$C$546,'Raw IC'!$A$5:$A$546,$C91,'Raw IC'!$B$5:$B$546,20))</x:f>
        <x:v>-0.008626401057658625</x:v>
      </x:c>
      <x:c r="L91" s="23" t="n">
        <x:f>IF(COUNT(H91:K91)=0,"",AVERAGE(H91:K91))</x:f>
        <x:v>-0.008231335036319405</x:v>
      </x:c>
      <x:c r="M91" s="22" t="n">
        <x:f>COUNT(H91:K91)</x:f>
        <x:v>2</x:v>
      </x:c>
      <x:c r="N91" s="25" t="n">
        <x:v>46211.50984748843</x:v>
      </x:c>
      <x:c r="O91" s="24" t="n">
        <x:v>8902245</x:v>
      </x:c>
      <x:c r="P91" t="str">
        <x:v>legacy_common_sample_8902245</x:v>
      </x:c>
      <x:c r="Q91" t="str">
        <x:v>factor_report/gtja191_batch/gtja_162</x:v>
      </x:c>
    </x:row>
    <x:row r="92">
      <x:c r="A92" s="22" t="n">
        <x:f>IF($D92="ranked",1+COUNTIFS($D$5:$D$190,"ranked",$E$5:$E$190,"&gt;"&amp;$E92),"")</x:f>
        <x:v>88</x:v>
      </x:c>
      <x:c r="B92" s="22" t="n">
        <x:f>IF($D92="ranked",1+COUNTIFS($D$5:$D$190,"ranked",$F$5:$F$190,"&gt;"&amp;$F92),"")</x:f>
        <x:v>160</x:v>
      </x:c>
      <x:c r="C92" t="str">
        <x:v>gtja_191</x:v>
      </x:c>
      <x:c r="D92" t="str">
        <x:v>ranked</x:v>
      </x:c>
      <x:c r="E92" s="23" t="n">
        <x:f>IF(COUNT(J92,K92)&lt;2,"",AVERAGE(J92,K92))</x:f>
        <x:v>-0.009683516426888642</x:v>
      </x:c>
      <x:c r="F92" s="23" t="n">
        <x:f>IF(E92="","",ABS(E92))</x:f>
        <x:v>0.009683516426888642</x:v>
      </x:c>
      <x:c r="G92" s="23" t="str">
        <x:f>IF(E92="","",IF(E92&gt;=0,"positive","negative"))</x:f>
        <x:v>negative</x:v>
      </x:c>
      <x:c r="H92" s="23" t="str">
        <x:f>IF(COUNTIFS('Raw IC'!$A$5:$A$546,$C92,'Raw IC'!$B$5:$B$546,1)=0,"",SUMIFS('Raw IC'!$C$5:$C$546,'Raw IC'!$A$5:$A$546,$C92,'Raw IC'!$B$5:$B$546,1))</x:f>
      </x:c>
      <x:c r="I92" s="23" t="str">
        <x:f>IF(COUNTIFS('Raw IC'!$A$5:$A$546,$C92,'Raw IC'!$B$5:$B$546,5)=0,"",SUMIFS('Raw IC'!$C$5:$C$546,'Raw IC'!$A$5:$A$546,$C92,'Raw IC'!$B$5:$B$546,5))</x:f>
      </x:c>
      <x:c r="J92" s="23" t="n">
        <x:f>IF(COUNTIFS('Raw IC'!$A$5:$A$546,$C92,'Raw IC'!$B$5:$B$546,10)=0,"",SUMIFS('Raw IC'!$C$5:$C$546,'Raw IC'!$A$5:$A$546,$C92,'Raw IC'!$B$5:$B$546,10))</x:f>
        <x:v>-0.010643251959893268</x:v>
      </x:c>
      <x:c r="K92" s="23" t="n">
        <x:f>IF(COUNTIFS('Raw IC'!$A$5:$A$546,$C92,'Raw IC'!$B$5:$B$546,20)=0,"",SUMIFS('Raw IC'!$C$5:$C$546,'Raw IC'!$A$5:$A$546,$C92,'Raw IC'!$B$5:$B$546,20))</x:f>
        <x:v>-0.008723780893884016</x:v>
      </x:c>
      <x:c r="L92" s="23" t="n">
        <x:f>IF(COUNT(H92:K92)=0,"",AVERAGE(H92:K92))</x:f>
        <x:v>-0.009683516426888642</x:v>
      </x:c>
      <x:c r="M92" s="22" t="n">
        <x:f>COUNT(H92:K92)</x:f>
        <x:v>2</x:v>
      </x:c>
      <x:c r="N92" s="25" t="n">
        <x:v>46211.55645755787</x:v>
      </x:c>
      <x:c r="O92" s="24" t="n">
        <x:v>8902245</x:v>
      </x:c>
      <x:c r="P92" t="str">
        <x:v>legacy_common_sample_8902245</x:v>
      </x:c>
      <x:c r="Q92" t="str">
        <x:v>factor_report/gtja191_batch/gtja_191</x:v>
      </x:c>
    </x:row>
    <x:row r="93">
      <x:c r="A93" s="22" t="n">
        <x:f>IF($D93="ranked",1+COUNTIFS($D$5:$D$190,"ranked",$E$5:$E$190,"&gt;"&amp;$E93),"")</x:f>
        <x:v>89</x:v>
      </x:c>
      <x:c r="B93" s="22" t="n">
        <x:f>IF($D93="ranked",1+COUNTIFS($D$5:$D$190,"ranked",$F$5:$F$190,"&gt;"&amp;$F93),"")</x:f>
        <x:v>157</x:v>
      </x:c>
      <x:c r="C93" t="str">
        <x:v>gtja_178</x:v>
      </x:c>
      <x:c r="D93" t="str">
        <x:v>ranked</x:v>
      </x:c>
      <x:c r="E93" s="23" t="n">
        <x:f>IF(COUNT(J93,K93)&lt;2,"",AVERAGE(J93,K93))</x:f>
        <x:v>-0.01152262632764048</x:v>
      </x:c>
      <x:c r="F93" s="23" t="n">
        <x:f>IF(E93="","",ABS(E93))</x:f>
        <x:v>0.01152262632764048</x:v>
      </x:c>
      <x:c r="G93" s="23" t="str">
        <x:f>IF(E93="","",IF(E93&gt;=0,"positive","negative"))</x:f>
        <x:v>negative</x:v>
      </x:c>
      <x:c r="H93" s="23" t="str">
        <x:f>IF(COUNTIFS('Raw IC'!$A$5:$A$546,$C93,'Raw IC'!$B$5:$B$546,1)=0,"",SUMIFS('Raw IC'!$C$5:$C$546,'Raw IC'!$A$5:$A$546,$C93,'Raw IC'!$B$5:$B$546,1))</x:f>
      </x:c>
      <x:c r="I93" s="23" t="str">
        <x:f>IF(COUNTIFS('Raw IC'!$A$5:$A$546,$C93,'Raw IC'!$B$5:$B$546,5)=0,"",SUMIFS('Raw IC'!$C$5:$C$546,'Raw IC'!$A$5:$A$546,$C93,'Raw IC'!$B$5:$B$546,5))</x:f>
      </x:c>
      <x:c r="J93" s="23" t="n">
        <x:f>IF(COUNTIFS('Raw IC'!$A$5:$A$546,$C93,'Raw IC'!$B$5:$B$546,10)=0,"",SUMIFS('Raw IC'!$C$5:$C$546,'Raw IC'!$A$5:$A$546,$C93,'Raw IC'!$B$5:$B$546,10))</x:f>
        <x:v>-0.011486471822643162</x:v>
      </x:c>
      <x:c r="K93" s="23" t="n">
        <x:f>IF(COUNTIFS('Raw IC'!$A$5:$A$546,$C93,'Raw IC'!$B$5:$B$546,20)=0,"",SUMIFS('Raw IC'!$C$5:$C$546,'Raw IC'!$A$5:$A$546,$C93,'Raw IC'!$B$5:$B$546,20))</x:f>
        <x:v>-0.011558780832637798</x:v>
      </x:c>
      <x:c r="L93" s="23" t="n">
        <x:f>IF(COUNT(H93:K93)=0,"",AVERAGE(H93:K93))</x:f>
        <x:v>-0.01152262632764048</x:v>
      </x:c>
      <x:c r="M93" s="22" t="n">
        <x:f>COUNT(H93:K93)</x:f>
        <x:v>2</x:v>
      </x:c>
      <x:c r="N93" s="25" t="n">
        <x:v>46211.5335721875</x:v>
      </x:c>
      <x:c r="O93" s="24" t="n">
        <x:v>8902245</x:v>
      </x:c>
      <x:c r="P93" t="str">
        <x:v>legacy_common_sample_8902245</x:v>
      </x:c>
      <x:c r="Q93" t="str">
        <x:v>factor_report/gtja191_batch/gtja_178</x:v>
      </x:c>
    </x:row>
    <x:row r="94">
      <x:c r="A94" s="22" t="n">
        <x:f>IF($D94="ranked",1+COUNTIFS($D$5:$D$190,"ranked",$E$5:$E$190,"&gt;"&amp;$E94),"")</x:f>
        <x:v>90</x:v>
      </x:c>
      <x:c r="B94" s="22" t="n">
        <x:f>IF($D94="ranked",1+COUNTIFS($D$5:$D$190,"ranked",$F$5:$F$190,"&gt;"&amp;$F94),"")</x:f>
        <x:v>153</x:v>
      </x:c>
      <x:c r="C94" t="str">
        <x:v>gtja_011</x:v>
      </x:c>
      <x:c r="D94" t="str">
        <x:v>ranked</x:v>
      </x:c>
      <x:c r="E94" s="23" t="n">
        <x:f>IF(COUNT(J94,K94)&lt;2,"",AVERAGE(J94,K94))</x:f>
        <x:v>-0.013307212445535881</x:v>
      </x:c>
      <x:c r="F94" s="23" t="n">
        <x:f>IF(E94="","",ABS(E94))</x:f>
        <x:v>0.013307212445535881</x:v>
      </x:c>
      <x:c r="G94" s="23" t="str">
        <x:f>IF(E94="","",IF(E94&gt;=0,"positive","negative"))</x:f>
        <x:v>negative</x:v>
      </x:c>
      <x:c r="H94" s="23" t="str">
        <x:f>IF(COUNTIFS('Raw IC'!$A$5:$A$546,$C94,'Raw IC'!$B$5:$B$546,1)=0,"",SUMIFS('Raw IC'!$C$5:$C$546,'Raw IC'!$A$5:$A$546,$C94,'Raw IC'!$B$5:$B$546,1))</x:f>
      </x:c>
      <x:c r="I94" s="23" t="str">
        <x:f>IF(COUNTIFS('Raw IC'!$A$5:$A$546,$C94,'Raw IC'!$B$5:$B$546,5)=0,"",SUMIFS('Raw IC'!$C$5:$C$546,'Raw IC'!$A$5:$A$546,$C94,'Raw IC'!$B$5:$B$546,5))</x:f>
      </x:c>
      <x:c r="J94" s="23" t="n">
        <x:f>IF(COUNTIFS('Raw IC'!$A$5:$A$546,$C94,'Raw IC'!$B$5:$B$546,10)=0,"",SUMIFS('Raw IC'!$C$5:$C$546,'Raw IC'!$A$5:$A$546,$C94,'Raw IC'!$B$5:$B$546,10))</x:f>
        <x:v>-0.012854348658762733</x:v>
      </x:c>
      <x:c r="K94" s="23" t="n">
        <x:f>IF(COUNTIFS('Raw IC'!$A$5:$A$546,$C94,'Raw IC'!$B$5:$B$546,20)=0,"",SUMIFS('Raw IC'!$C$5:$C$546,'Raw IC'!$A$5:$A$546,$C94,'Raw IC'!$B$5:$B$546,20))</x:f>
        <x:v>-0.01376007623230903</x:v>
      </x:c>
      <x:c r="L94" s="23" t="n">
        <x:f>IF(COUNT(H94:K94)=0,"",AVERAGE(H94:K94))</x:f>
        <x:v>-0.013307212445535881</x:v>
      </x:c>
      <x:c r="M94" s="22" t="n">
        <x:f>COUNT(H94:K94)</x:f>
        <x:v>2</x:v>
      </x:c>
      <x:c r="N94" s="25" t="n">
        <x:v>46211.181871574074</x:v>
      </x:c>
      <x:c r="O94" s="24" t="n">
        <x:v>8902245</x:v>
      </x:c>
      <x:c r="P94" t="str">
        <x:v>legacy_common_sample_8902245</x:v>
      </x:c>
      <x:c r="Q94" t="str">
        <x:v>factor_report/gtja191_batch/gtja_011</x:v>
      </x:c>
    </x:row>
    <x:row r="95">
      <x:c r="A95" s="22" t="n">
        <x:f>IF($D95="ranked",1+COUNTIFS($D$5:$D$190,"ranked",$E$5:$E$190,"&gt;"&amp;$E95),"")</x:f>
        <x:v>91</x:v>
      </x:c>
      <x:c r="B95" s="22" t="n">
        <x:f>IF($D95="ranked",1+COUNTIFS($D$5:$D$190,"ranked",$F$5:$F$190,"&gt;"&amp;$F95),"")</x:f>
        <x:v>152</x:v>
      </x:c>
      <x:c r="C95" t="str">
        <x:v>gtja_188</x:v>
      </x:c>
      <x:c r="D95" t="str">
        <x:v>ranked</x:v>
      </x:c>
      <x:c r="E95" s="23" t="n">
        <x:f>IF(COUNT(J95,K95)&lt;2,"",AVERAGE(J95,K95))</x:f>
        <x:v>-0.013767722231562812</x:v>
      </x:c>
      <x:c r="F95" s="23" t="n">
        <x:f>IF(E95="","",ABS(E95))</x:f>
        <x:v>0.013767722231562812</x:v>
      </x:c>
      <x:c r="G95" s="23" t="str">
        <x:f>IF(E95="","",IF(E95&gt;=0,"positive","negative"))</x:f>
        <x:v>negative</x:v>
      </x:c>
      <x:c r="H95" s="23" t="str">
        <x:f>IF(COUNTIFS('Raw IC'!$A$5:$A$546,$C95,'Raw IC'!$B$5:$B$546,1)=0,"",SUMIFS('Raw IC'!$C$5:$C$546,'Raw IC'!$A$5:$A$546,$C95,'Raw IC'!$B$5:$B$546,1))</x:f>
      </x:c>
      <x:c r="I95" s="23" t="str">
        <x:f>IF(COUNTIFS('Raw IC'!$A$5:$A$546,$C95,'Raw IC'!$B$5:$B$546,5)=0,"",SUMIFS('Raw IC'!$C$5:$C$546,'Raw IC'!$A$5:$A$546,$C95,'Raw IC'!$B$5:$B$546,5))</x:f>
      </x:c>
      <x:c r="J95" s="23" t="n">
        <x:f>IF(COUNTIFS('Raw IC'!$A$5:$A$546,$C95,'Raw IC'!$B$5:$B$546,10)=0,"",SUMIFS('Raw IC'!$C$5:$C$546,'Raw IC'!$A$5:$A$546,$C95,'Raw IC'!$B$5:$B$546,10))</x:f>
        <x:v>-0.013187674989053533</x:v>
      </x:c>
      <x:c r="K95" s="23" t="n">
        <x:f>IF(COUNTIFS('Raw IC'!$A$5:$A$546,$C95,'Raw IC'!$B$5:$B$546,20)=0,"",SUMIFS('Raw IC'!$C$5:$C$546,'Raw IC'!$A$5:$A$546,$C95,'Raw IC'!$B$5:$B$546,20))</x:f>
        <x:v>-0.01434776947407209</x:v>
      </x:c>
      <x:c r="L95" s="23" t="n">
        <x:f>IF(COUNT(H95:K95)=0,"",AVERAGE(H95:K95))</x:f>
        <x:v>-0.013767722231562812</x:v>
      </x:c>
      <x:c r="M95" s="22" t="n">
        <x:f>COUNT(H95:K95)</x:f>
        <x:v>2</x:v>
      </x:c>
      <x:c r="N95" s="25" t="n">
        <x:v>46211.55150134259</x:v>
      </x:c>
      <x:c r="O95" s="24" t="n">
        <x:v>8902245</x:v>
      </x:c>
      <x:c r="P95" t="str">
        <x:v>legacy_common_sample_8902245</x:v>
      </x:c>
      <x:c r="Q95" t="str">
        <x:v>factor_report/gtja191_batch/gtja_188</x:v>
      </x:c>
    </x:row>
    <x:row r="96">
      <x:c r="A96" s="22" t="n">
        <x:f>IF($D96="ranked",1+COUNTIFS($D$5:$D$190,"ranked",$E$5:$E$190,"&gt;"&amp;$E96),"")</x:f>
        <x:v>92</x:v>
      </x:c>
      <x:c r="B96" s="22" t="n">
        <x:f>IF($D96="ranked",1+COUNTIFS($D$5:$D$190,"ranked",$F$5:$F$190,"&gt;"&amp;$F96),"")</x:f>
        <x:v>150</x:v>
      </x:c>
      <x:c r="C96" t="str">
        <x:v>gtja_022</x:v>
      </x:c>
      <x:c r="D96" t="str">
        <x:v>ranked</x:v>
      </x:c>
      <x:c r="E96" s="23" t="n">
        <x:f>IF(COUNT(J96,K96)&lt;2,"",AVERAGE(J96,K96))</x:f>
        <x:v>-0.0145805174184116</x:v>
      </x:c>
      <x:c r="F96" s="23" t="n">
        <x:f>IF(E96="","",ABS(E96))</x:f>
        <x:v>0.0145805174184116</x:v>
      </x:c>
      <x:c r="G96" s="23" t="str">
        <x:f>IF(E96="","",IF(E96&gt;=0,"positive","negative"))</x:f>
        <x:v>negative</x:v>
      </x:c>
      <x:c r="H96" s="23" t="str">
        <x:f>IF(COUNTIFS('Raw IC'!$A$5:$A$546,$C96,'Raw IC'!$B$5:$B$546,1)=0,"",SUMIFS('Raw IC'!$C$5:$C$546,'Raw IC'!$A$5:$A$546,$C96,'Raw IC'!$B$5:$B$546,1))</x:f>
      </x:c>
      <x:c r="I96" s="23" t="str">
        <x:f>IF(COUNTIFS('Raw IC'!$A$5:$A$546,$C96,'Raw IC'!$B$5:$B$546,5)=0,"",SUMIFS('Raw IC'!$C$5:$C$546,'Raw IC'!$A$5:$A$546,$C96,'Raw IC'!$B$5:$B$546,5))</x:f>
      </x:c>
      <x:c r="J96" s="23" t="n">
        <x:f>IF(COUNTIFS('Raw IC'!$A$5:$A$546,$C96,'Raw IC'!$B$5:$B$546,10)=0,"",SUMIFS('Raw IC'!$C$5:$C$546,'Raw IC'!$A$5:$A$546,$C96,'Raw IC'!$B$5:$B$546,10))</x:f>
        <x:v>-0.014695116374684365</x:v>
      </x:c>
      <x:c r="K96" s="23" t="n">
        <x:f>IF(COUNTIFS('Raw IC'!$A$5:$A$546,$C96,'Raw IC'!$B$5:$B$546,20)=0,"",SUMIFS('Raw IC'!$C$5:$C$546,'Raw IC'!$A$5:$A$546,$C96,'Raw IC'!$B$5:$B$546,20))</x:f>
        <x:v>-0.014465918462138835</x:v>
      </x:c>
      <x:c r="L96" s="23" t="n">
        <x:f>IF(COUNT(H96:K96)=0,"",AVERAGE(H96:K96))</x:f>
        <x:v>-0.0145805174184116</x:v>
      </x:c>
      <x:c r="M96" s="22" t="n">
        <x:f>COUNT(H96:K96)</x:f>
        <x:v>2</x:v>
      </x:c>
      <x:c r="N96" s="25" t="n">
        <x:v>46211.206014745374</x:v>
      </x:c>
      <x:c r="O96" s="24" t="n">
        <x:v>8902245</x:v>
      </x:c>
      <x:c r="P96" t="str">
        <x:v>legacy_common_sample_8902245</x:v>
      </x:c>
      <x:c r="Q96" t="str">
        <x:v>factor_report/gtja191_batch/gtja_022</x:v>
      </x:c>
    </x:row>
    <x:row r="97">
      <x:c r="A97" s="22" t="n">
        <x:f>IF($D97="ranked",1+COUNTIFS($D$5:$D$190,"ranked",$E$5:$E$190,"&gt;"&amp;$E97),"")</x:f>
        <x:v>93</x:v>
      </x:c>
      <x:c r="B97" s="22" t="n">
        <x:f>IF($D97="ranked",1+COUNTIFS($D$5:$D$190,"ranked",$F$5:$F$190,"&gt;"&amp;$F97),"")</x:f>
        <x:v>149</x:v>
      </x:c>
      <x:c r="C97" t="str">
        <x:v>gtja_131</x:v>
      </x:c>
      <x:c r="D97" t="str">
        <x:v>ranked</x:v>
      </x:c>
      <x:c r="E97" s="23" t="n">
        <x:f>IF(COUNT(J97,K97)&lt;2,"",AVERAGE(J97,K97))</x:f>
        <x:v>-0.0146737422072524</x:v>
      </x:c>
      <x:c r="F97" s="23" t="n">
        <x:f>IF(E97="","",ABS(E97))</x:f>
        <x:v>0.0146737422072524</x:v>
      </x:c>
      <x:c r="G97" s="23" t="str">
        <x:f>IF(E97="","",IF(E97&gt;=0,"positive","negative"))</x:f>
        <x:v>negative</x:v>
      </x:c>
      <x:c r="H97" s="23" t="str">
        <x:f>IF(COUNTIFS('Raw IC'!$A$5:$A$546,$C97,'Raw IC'!$B$5:$B$546,1)=0,"",SUMIFS('Raw IC'!$C$5:$C$546,'Raw IC'!$A$5:$A$546,$C97,'Raw IC'!$B$5:$B$546,1))</x:f>
      </x:c>
      <x:c r="I97" s="23" t="str">
        <x:f>IF(COUNTIFS('Raw IC'!$A$5:$A$546,$C97,'Raw IC'!$B$5:$B$546,5)=0,"",SUMIFS('Raw IC'!$C$5:$C$546,'Raw IC'!$A$5:$A$546,$C97,'Raw IC'!$B$5:$B$546,5))</x:f>
      </x:c>
      <x:c r="J97" s="23" t="n">
        <x:f>IF(COUNTIFS('Raw IC'!$A$5:$A$546,$C97,'Raw IC'!$B$5:$B$546,10)=0,"",SUMIFS('Raw IC'!$C$5:$C$546,'Raw IC'!$A$5:$A$546,$C97,'Raw IC'!$B$5:$B$546,10))</x:f>
        <x:v>-0.013333120838158815</x:v>
      </x:c>
      <x:c r="K97" s="23" t="n">
        <x:f>IF(COUNTIFS('Raw IC'!$A$5:$A$546,$C97,'Raw IC'!$B$5:$B$546,20)=0,"",SUMIFS('Raw IC'!$C$5:$C$546,'Raw IC'!$A$5:$A$546,$C97,'Raw IC'!$B$5:$B$546,20))</x:f>
        <x:v>-0.01601436357634598</x:v>
      </x:c>
      <x:c r="L97" s="23" t="n">
        <x:f>IF(COUNT(H97:K97)=0,"",AVERAGE(H97:K97))</x:f>
        <x:v>-0.0146737422072524</x:v>
      </x:c>
      <x:c r="M97" s="22" t="n">
        <x:f>COUNT(H97:K97)</x:f>
        <x:v>2</x:v>
      </x:c>
      <x:c r="N97" s="25" t="n">
        <x:v>46211.42457349537</x:v>
      </x:c>
      <x:c r="O97" s="24" t="n">
        <x:v>8902245</x:v>
      </x:c>
      <x:c r="P97" t="str">
        <x:v>legacy_common_sample_8902245</x:v>
      </x:c>
      <x:c r="Q97" t="str">
        <x:v>factor_report/gtja191_batch/gtja_131</x:v>
      </x:c>
    </x:row>
    <x:row r="98">
      <x:c r="A98" s="22" t="n">
        <x:f>IF($D98="ranked",1+COUNTIFS($D$5:$D$190,"ranked",$E$5:$E$190,"&gt;"&amp;$E98),"")</x:f>
        <x:v>94</x:v>
      </x:c>
      <x:c r="B98" s="22" t="n">
        <x:f>IF($D98="ranked",1+COUNTIFS($D$5:$D$190,"ranked",$F$5:$F$190,"&gt;"&amp;$F98),"")</x:f>
        <x:v>148</x:v>
      </x:c>
      <x:c r="C98" t="str">
        <x:v>gtja_028</x:v>
      </x:c>
      <x:c r="D98" t="str">
        <x:v>ranked</x:v>
      </x:c>
      <x:c r="E98" s="23" t="n">
        <x:f>IF(COUNT(J98,K98)&lt;2,"",AVERAGE(J98,K98))</x:f>
        <x:v>-0.01502653715157585</x:v>
      </x:c>
      <x:c r="F98" s="23" t="n">
        <x:f>IF(E98="","",ABS(E98))</x:f>
        <x:v>0.01502653715157585</x:v>
      </x:c>
      <x:c r="G98" s="23" t="str">
        <x:f>IF(E98="","",IF(E98&gt;=0,"positive","negative"))</x:f>
        <x:v>negative</x:v>
      </x:c>
      <x:c r="H98" s="23" t="str">
        <x:f>IF(COUNTIFS('Raw IC'!$A$5:$A$546,$C98,'Raw IC'!$B$5:$B$546,1)=0,"",SUMIFS('Raw IC'!$C$5:$C$546,'Raw IC'!$A$5:$A$546,$C98,'Raw IC'!$B$5:$B$546,1))</x:f>
      </x:c>
      <x:c r="I98" s="23" t="str">
        <x:f>IF(COUNTIFS('Raw IC'!$A$5:$A$546,$C98,'Raw IC'!$B$5:$B$546,5)=0,"",SUMIFS('Raw IC'!$C$5:$C$546,'Raw IC'!$A$5:$A$546,$C98,'Raw IC'!$B$5:$B$546,5))</x:f>
      </x:c>
      <x:c r="J98" s="23" t="n">
        <x:f>IF(COUNTIFS('Raw IC'!$A$5:$A$546,$C98,'Raw IC'!$B$5:$B$546,10)=0,"",SUMIFS('Raw IC'!$C$5:$C$546,'Raw IC'!$A$5:$A$546,$C98,'Raw IC'!$B$5:$B$546,10))</x:f>
        <x:v>-0.013591252705807414</x:v>
      </x:c>
      <x:c r="K98" s="23" t="n">
        <x:f>IF(COUNTIFS('Raw IC'!$A$5:$A$546,$C98,'Raw IC'!$B$5:$B$546,20)=0,"",SUMIFS('Raw IC'!$C$5:$C$546,'Raw IC'!$A$5:$A$546,$C98,'Raw IC'!$B$5:$B$546,20))</x:f>
        <x:v>-0.016461821597344287</x:v>
      </x:c>
      <x:c r="L98" s="23" t="n">
        <x:f>IF(COUNT(H98:K98)=0,"",AVERAGE(H98:K98))</x:f>
        <x:v>-0.01502653715157585</x:v>
      </x:c>
      <x:c r="M98" s="22" t="n">
        <x:f>COUNT(H98:K98)</x:f>
        <x:v>2</x:v>
      </x:c>
      <x:c r="N98" s="25" t="n">
        <x:v>46211.21958586806</x:v>
      </x:c>
      <x:c r="O98" s="24" t="n">
        <x:v>8902245</x:v>
      </x:c>
      <x:c r="P98" t="str">
        <x:v>legacy_common_sample_8902245</x:v>
      </x:c>
      <x:c r="Q98" t="str">
        <x:v>factor_report/gtja191_batch/gtja_028</x:v>
      </x:c>
    </x:row>
    <x:row r="99">
      <x:c r="A99" s="22" t="n">
        <x:f>IF($D99="ranked",1+COUNTIFS($D$5:$D$190,"ranked",$E$5:$E$190,"&gt;"&amp;$E99),"")</x:f>
        <x:v>95</x:v>
      </x:c>
      <x:c r="B99" s="22" t="n">
        <x:f>IF($D99="ranked",1+COUNTIFS($D$5:$D$190,"ranked",$F$5:$F$190,"&gt;"&amp;$F99),"")</x:f>
        <x:v>147</x:v>
      </x:c>
      <x:c r="C99" t="str">
        <x:v>gtja_155</x:v>
      </x:c>
      <x:c r="D99" t="str">
        <x:v>ranked</x:v>
      </x:c>
      <x:c r="E99" s="23" t="n">
        <x:f>IF(COUNT(J99,K99)&lt;2,"",AVERAGE(J99,K99))</x:f>
        <x:v>-0.015065001437341106</x:v>
      </x:c>
      <x:c r="F99" s="23" t="n">
        <x:f>IF(E99="","",ABS(E99))</x:f>
        <x:v>0.015065001437341106</x:v>
      </x:c>
      <x:c r="G99" s="23" t="str">
        <x:f>IF(E99="","",IF(E99&gt;=0,"positive","negative"))</x:f>
        <x:v>negative</x:v>
      </x:c>
      <x:c r="H99" s="23" t="str">
        <x:f>IF(COUNTIFS('Raw IC'!$A$5:$A$546,$C99,'Raw IC'!$B$5:$B$546,1)=0,"",SUMIFS('Raw IC'!$C$5:$C$546,'Raw IC'!$A$5:$A$546,$C99,'Raw IC'!$B$5:$B$546,1))</x:f>
      </x:c>
      <x:c r="I99" s="23" t="str">
        <x:f>IF(COUNTIFS('Raw IC'!$A$5:$A$546,$C99,'Raw IC'!$B$5:$B$546,5)=0,"",SUMIFS('Raw IC'!$C$5:$C$546,'Raw IC'!$A$5:$A$546,$C99,'Raw IC'!$B$5:$B$546,5))</x:f>
      </x:c>
      <x:c r="J99" s="23" t="n">
        <x:f>IF(COUNTIFS('Raw IC'!$A$5:$A$546,$C99,'Raw IC'!$B$5:$B$546,10)=0,"",SUMIFS('Raw IC'!$C$5:$C$546,'Raw IC'!$A$5:$A$546,$C99,'Raw IC'!$B$5:$B$546,10))</x:f>
        <x:v>-0.015673193144436708</x:v>
      </x:c>
      <x:c r="K99" s="23" t="n">
        <x:f>IF(COUNTIFS('Raw IC'!$A$5:$A$546,$C99,'Raw IC'!$B$5:$B$546,20)=0,"",SUMIFS('Raw IC'!$C$5:$C$546,'Raw IC'!$A$5:$A$546,$C99,'Raw IC'!$B$5:$B$546,20))</x:f>
        <x:v>-0.014456809730245502</x:v>
      </x:c>
      <x:c r="L99" s="23" t="n">
        <x:f>IF(COUNT(H99:K99)=0,"",AVERAGE(H99:K99))</x:f>
        <x:v>-0.015065001437341106</x:v>
      </x:c>
      <x:c r="M99" s="22" t="n">
        <x:f>COUNT(H99:K99)</x:f>
        <x:v>2</x:v>
      </x:c>
      <x:c r="N99" s="25" t="n">
        <x:v>46211.49922533565</x:v>
      </x:c>
      <x:c r="O99" s="24" t="n">
        <x:v>8902245</x:v>
      </x:c>
      <x:c r="P99" t="str">
        <x:v>legacy_common_sample_8902245</x:v>
      </x:c>
      <x:c r="Q99" t="str">
        <x:v>factor_report/gtja191_batch/gtja_155</x:v>
      </x:c>
    </x:row>
    <x:row r="100">
      <x:c r="A100" s="22" t="n">
        <x:f>IF($D100="ranked",1+COUNTIFS($D$5:$D$190,"ranked",$E$5:$E$190,"&gt;"&amp;$E100),"")</x:f>
        <x:v>96</x:v>
      </x:c>
      <x:c r="B100" s="22" t="n">
        <x:f>IF($D100="ranked",1+COUNTIFS($D$5:$D$190,"ranked",$F$5:$F$190,"&gt;"&amp;$F100),"")</x:f>
        <x:v>146</x:v>
      </x:c>
      <x:c r="C100" t="str">
        <x:v>gtja_044</x:v>
      </x:c>
      <x:c r="D100" t="str">
        <x:v>ranked</x:v>
      </x:c>
      <x:c r="E100" s="23" t="n">
        <x:f>IF(COUNT(J100,K100)&lt;2,"",AVERAGE(J100,K100))</x:f>
        <x:v>-0.015311131441825502</x:v>
      </x:c>
      <x:c r="F100" s="23" t="n">
        <x:f>IF(E100="","",ABS(E100))</x:f>
        <x:v>0.015311131441825502</x:v>
      </x:c>
      <x:c r="G100" s="23" t="str">
        <x:f>IF(E100="","",IF(E100&gt;=0,"positive","negative"))</x:f>
        <x:v>negative</x:v>
      </x:c>
      <x:c r="H100" s="23" t="str">
        <x:f>IF(COUNTIFS('Raw IC'!$A$5:$A$546,$C100,'Raw IC'!$B$5:$B$546,1)=0,"",SUMIFS('Raw IC'!$C$5:$C$546,'Raw IC'!$A$5:$A$546,$C100,'Raw IC'!$B$5:$B$546,1))</x:f>
      </x:c>
      <x:c r="I100" s="23" t="str">
        <x:f>IF(COUNTIFS('Raw IC'!$A$5:$A$546,$C100,'Raw IC'!$B$5:$B$546,5)=0,"",SUMIFS('Raw IC'!$C$5:$C$546,'Raw IC'!$A$5:$A$546,$C100,'Raw IC'!$B$5:$B$546,5))</x:f>
      </x:c>
      <x:c r="J100" s="23" t="n">
        <x:f>IF(COUNTIFS('Raw IC'!$A$5:$A$546,$C100,'Raw IC'!$B$5:$B$546,10)=0,"",SUMIFS('Raw IC'!$C$5:$C$546,'Raw IC'!$A$5:$A$546,$C100,'Raw IC'!$B$5:$B$546,10))</x:f>
        <x:v>-0.015621451984378426</x:v>
      </x:c>
      <x:c r="K100" s="23" t="n">
        <x:f>IF(COUNTIFS('Raw IC'!$A$5:$A$546,$C100,'Raw IC'!$B$5:$B$546,20)=0,"",SUMIFS('Raw IC'!$C$5:$C$546,'Raw IC'!$A$5:$A$546,$C100,'Raw IC'!$B$5:$B$546,20))</x:f>
        <x:v>-0.015000810899272576</x:v>
      </x:c>
      <x:c r="L100" s="23" t="n">
        <x:f>IF(COUNT(H100:K100)=0,"",AVERAGE(H100:K100))</x:f>
        <x:v>-0.015311131441825502</x:v>
      </x:c>
      <x:c r="M100" s="22" t="n">
        <x:f>COUNT(H100:K100)</x:f>
        <x:v>2</x:v>
      </x:c>
      <x:c r="N100" s="25" t="n">
        <x:v>46211.262911157406</x:v>
      </x:c>
      <x:c r="O100" s="24" t="n">
        <x:v>8902245</x:v>
      </x:c>
      <x:c r="P100" t="str">
        <x:v>legacy_common_sample_8902245</x:v>
      </x:c>
      <x:c r="Q100" t="str">
        <x:v>factor_report/gtja191_batch/gtja_044</x:v>
      </x:c>
    </x:row>
    <x:row r="101">
      <x:c r="A101" s="22" t="n">
        <x:f>IF($D101="ranked",1+COUNTIFS($D$5:$D$190,"ranked",$E$5:$E$190,"&gt;"&amp;$E101),"")</x:f>
        <x:v>97</x:v>
      </x:c>
      <x:c r="B101" s="22" t="n">
        <x:f>IF($D101="ranked",1+COUNTIFS($D$5:$D$190,"ranked",$F$5:$F$190,"&gt;"&amp;$F101),"")</x:f>
        <x:v>144</x:v>
      </x:c>
      <x:c r="C101" t="str">
        <x:v>gtja_127</x:v>
      </x:c>
      <x:c r="D101" t="str">
        <x:v>ranked</x:v>
      </x:c>
      <x:c r="E101" s="23" t="n">
        <x:f>IF(COUNT(J101,K101)&lt;2,"",AVERAGE(J101,K101))</x:f>
        <x:v>-0.01658044140986143</x:v>
      </x:c>
      <x:c r="F101" s="23" t="n">
        <x:f>IF(E101="","",ABS(E101))</x:f>
        <x:v>0.01658044140986143</x:v>
      </x:c>
      <x:c r="G101" s="23" t="str">
        <x:f>IF(E101="","",IF(E101&gt;=0,"positive","negative"))</x:f>
        <x:v>negative</x:v>
      </x:c>
      <x:c r="H101" s="23" t="str">
        <x:f>IF(COUNTIFS('Raw IC'!$A$5:$A$546,$C101,'Raw IC'!$B$5:$B$546,1)=0,"",SUMIFS('Raw IC'!$C$5:$C$546,'Raw IC'!$A$5:$A$546,$C101,'Raw IC'!$B$5:$B$546,1))</x:f>
      </x:c>
      <x:c r="I101" s="23" t="str">
        <x:f>IF(COUNTIFS('Raw IC'!$A$5:$A$546,$C101,'Raw IC'!$B$5:$B$546,5)=0,"",SUMIFS('Raw IC'!$C$5:$C$546,'Raw IC'!$A$5:$A$546,$C101,'Raw IC'!$B$5:$B$546,5))</x:f>
      </x:c>
      <x:c r="J101" s="23" t="n">
        <x:f>IF(COUNTIFS('Raw IC'!$A$5:$A$546,$C101,'Raw IC'!$B$5:$B$546,10)=0,"",SUMIFS('Raw IC'!$C$5:$C$546,'Raw IC'!$A$5:$A$546,$C101,'Raw IC'!$B$5:$B$546,10))</x:f>
        <x:v>-0.014248512771221106</x:v>
      </x:c>
      <x:c r="K101" s="23" t="n">
        <x:f>IF(COUNTIFS('Raw IC'!$A$5:$A$546,$C101,'Raw IC'!$B$5:$B$546,20)=0,"",SUMIFS('Raw IC'!$C$5:$C$546,'Raw IC'!$A$5:$A$546,$C101,'Raw IC'!$B$5:$B$546,20))</x:f>
        <x:v>-0.018912370048501756</x:v>
      </x:c>
      <x:c r="L101" s="23" t="n">
        <x:f>IF(COUNT(H101:K101)=0,"",AVERAGE(H101:K101))</x:f>
        <x:v>-0.01658044140986143</x:v>
      </x:c>
      <x:c r="M101" s="22" t="n">
        <x:f>COUNT(H101:K101)</x:f>
        <x:v>2</x:v>
      </x:c>
      <x:c r="N101" s="25" t="n">
        <x:v>46211.417619583335</x:v>
      </x:c>
      <x:c r="O101" s="24" t="n">
        <x:v>8902245</x:v>
      </x:c>
      <x:c r="P101" t="str">
        <x:v>legacy_common_sample_8902245</x:v>
      </x:c>
      <x:c r="Q101" t="str">
        <x:v>factor_report/gtja191_batch/gtja_127</x:v>
      </x:c>
    </x:row>
    <x:row r="102">
      <x:c r="A102" s="22" t="n">
        <x:f>IF($D102="ranked",1+COUNTIFS($D$5:$D$190,"ranked",$E$5:$E$190,"&gt;"&amp;$E102),"")</x:f>
        <x:v>98</x:v>
      </x:c>
      <x:c r="B102" s="22" t="n">
        <x:f>IF($D102="ranked",1+COUNTIFS($D$5:$D$190,"ranked",$F$5:$F$190,"&gt;"&amp;$F102),"")</x:f>
        <x:v>143</x:v>
      </x:c>
      <x:c r="C102" t="str">
        <x:v>gtja_045</x:v>
      </x:c>
      <x:c r="D102" t="str">
        <x:v>ranked</x:v>
      </x:c>
      <x:c r="E102" s="23" t="n">
        <x:f>IF(COUNT(J102,K102)&lt;2,"",AVERAGE(J102,K102))</x:f>
        <x:v>-0.016655135191029187</x:v>
      </x:c>
      <x:c r="F102" s="23" t="n">
        <x:f>IF(E102="","",ABS(E102))</x:f>
        <x:v>0.016655135191029187</x:v>
      </x:c>
      <x:c r="G102" s="23" t="str">
        <x:f>IF(E102="","",IF(E102&gt;=0,"positive","negative"))</x:f>
        <x:v>negative</x:v>
      </x:c>
      <x:c r="H102" s="23" t="str">
        <x:f>IF(COUNTIFS('Raw IC'!$A$5:$A$546,$C102,'Raw IC'!$B$5:$B$546,1)=0,"",SUMIFS('Raw IC'!$C$5:$C$546,'Raw IC'!$A$5:$A$546,$C102,'Raw IC'!$B$5:$B$546,1))</x:f>
      </x:c>
      <x:c r="I102" s="23" t="str">
        <x:f>IF(COUNTIFS('Raw IC'!$A$5:$A$546,$C102,'Raw IC'!$B$5:$B$546,5)=0,"",SUMIFS('Raw IC'!$C$5:$C$546,'Raw IC'!$A$5:$A$546,$C102,'Raw IC'!$B$5:$B$546,5))</x:f>
      </x:c>
      <x:c r="J102" s="23" t="n">
        <x:f>IF(COUNTIFS('Raw IC'!$A$5:$A$546,$C102,'Raw IC'!$B$5:$B$546,10)=0,"",SUMIFS('Raw IC'!$C$5:$C$546,'Raw IC'!$A$5:$A$546,$C102,'Raw IC'!$B$5:$B$546,10))</x:f>
        <x:v>-0.015929620972991176</x:v>
      </x:c>
      <x:c r="K102" s="23" t="n">
        <x:f>IF(COUNTIFS('Raw IC'!$A$5:$A$546,$C102,'Raw IC'!$B$5:$B$546,20)=0,"",SUMIFS('Raw IC'!$C$5:$C$546,'Raw IC'!$A$5:$A$546,$C102,'Raw IC'!$B$5:$B$546,20))</x:f>
        <x:v>-0.017380649409067202</x:v>
      </x:c>
      <x:c r="L102" s="23" t="n">
        <x:f>IF(COUNT(H102:K102)=0,"",AVERAGE(H102:K102))</x:f>
        <x:v>-0.016655135191029187</x:v>
      </x:c>
      <x:c r="M102" s="22" t="n">
        <x:f>COUNT(H102:K102)</x:f>
        <x:v>2</x:v>
      </x:c>
      <x:c r="N102" s="25" t="n">
        <x:v>46211.26636591435</x:v>
      </x:c>
      <x:c r="O102" s="24" t="n">
        <x:v>8902245</x:v>
      </x:c>
      <x:c r="P102" t="str">
        <x:v>legacy_common_sample_8902245</x:v>
      </x:c>
      <x:c r="Q102" t="str">
        <x:v>factor_report/gtja191_batch/gtja_045</x:v>
      </x:c>
    </x:row>
    <x:row r="103">
      <x:c r="A103" s="22" t="n">
        <x:f>IF($D103="ranked",1+COUNTIFS($D$5:$D$190,"ranked",$E$5:$E$190,"&gt;"&amp;$E103),"")</x:f>
        <x:v>99</x:v>
      </x:c>
      <x:c r="B103" s="22" t="n">
        <x:f>IF($D103="ranked",1+COUNTIFS($D$5:$D$190,"ranked",$F$5:$F$190,"&gt;"&amp;$F103),"")</x:f>
        <x:v>142</x:v>
      </x:c>
      <x:c r="C103" t="str">
        <x:v>gtja_080</x:v>
      </x:c>
      <x:c r="D103" t="str">
        <x:v>ranked</x:v>
      </x:c>
      <x:c r="E103" s="23" t="n">
        <x:f>IF(COUNT(J103,K103)&lt;2,"",AVERAGE(J103,K103))</x:f>
        <x:v>-0.01709578341635004</x:v>
      </x:c>
      <x:c r="F103" s="23" t="n">
        <x:f>IF(E103="","",ABS(E103))</x:f>
        <x:v>0.01709578341635004</x:v>
      </x:c>
      <x:c r="G103" s="23" t="str">
        <x:f>IF(E103="","",IF(E103&gt;=0,"positive","negative"))</x:f>
        <x:v>negative</x:v>
      </x:c>
      <x:c r="H103" s="23" t="str">
        <x:f>IF(COUNTIFS('Raw IC'!$A$5:$A$546,$C103,'Raw IC'!$B$5:$B$546,1)=0,"",SUMIFS('Raw IC'!$C$5:$C$546,'Raw IC'!$A$5:$A$546,$C103,'Raw IC'!$B$5:$B$546,1))</x:f>
      </x:c>
      <x:c r="I103" s="23" t="str">
        <x:f>IF(COUNTIFS('Raw IC'!$A$5:$A$546,$C103,'Raw IC'!$B$5:$B$546,5)=0,"",SUMIFS('Raw IC'!$C$5:$C$546,'Raw IC'!$A$5:$A$546,$C103,'Raw IC'!$B$5:$B$546,5))</x:f>
      </x:c>
      <x:c r="J103" s="23" t="n">
        <x:f>IF(COUNTIFS('Raw IC'!$A$5:$A$546,$C103,'Raw IC'!$B$5:$B$546,10)=0,"",SUMIFS('Raw IC'!$C$5:$C$546,'Raw IC'!$A$5:$A$546,$C103,'Raw IC'!$B$5:$B$546,10))</x:f>
        <x:v>-0.01708948207940634</x:v>
      </x:c>
      <x:c r="K103" s="23" t="n">
        <x:f>IF(COUNTIFS('Raw IC'!$A$5:$A$546,$C103,'Raw IC'!$B$5:$B$546,20)=0,"",SUMIFS('Raw IC'!$C$5:$C$546,'Raw IC'!$A$5:$A$546,$C103,'Raw IC'!$B$5:$B$546,20))</x:f>
        <x:v>-0.01710208475329374</x:v>
      </x:c>
      <x:c r="L103" s="23" t="n">
        <x:f>IF(COUNT(H103:K103)=0,"",AVERAGE(H103:K103))</x:f>
        <x:v>-0.01709578341635004</x:v>
      </x:c>
      <x:c r="M103" s="22" t="n">
        <x:f>COUNT(H103:K103)</x:f>
        <x:v>2</x:v>
      </x:c>
      <x:c r="N103" s="25" t="n">
        <x:v>46211.31192994213</x:v>
      </x:c>
      <x:c r="O103" s="24" t="n">
        <x:v>8902245</x:v>
      </x:c>
      <x:c r="P103" t="str">
        <x:v>legacy_common_sample_8902245</x:v>
      </x:c>
      <x:c r="Q103" t="str">
        <x:v>factor_report/gtja191_batch/gtja_080</x:v>
      </x:c>
    </x:row>
    <x:row r="104">
      <x:c r="A104" s="22" t="n">
        <x:f>IF($D104="ranked",1+COUNTIFS($D$5:$D$190,"ranked",$E$5:$E$190,"&gt;"&amp;$E104),"")</x:f>
        <x:v>100</x:v>
      </x:c>
      <x:c r="B104" s="22" t="n">
        <x:f>IF($D104="ranked",1+COUNTIFS($D$5:$D$190,"ranked",$F$5:$F$190,"&gt;"&amp;$F104),"")</x:f>
        <x:v>137</x:v>
      </x:c>
      <x:c r="C104" t="str">
        <x:v>gtja_102</x:v>
      </x:c>
      <x:c r="D104" t="str">
        <x:v>ranked</x:v>
      </x:c>
      <x:c r="E104" s="23" t="n">
        <x:f>IF(COUNT(J104,K104)&lt;2,"",AVERAGE(J104,K104))</x:f>
        <x:v>-0.02044757913472355</x:v>
      </x:c>
      <x:c r="F104" s="23" t="n">
        <x:f>IF(E104="","",ABS(E104))</x:f>
        <x:v>0.02044757913472355</x:v>
      </x:c>
      <x:c r="G104" s="23" t="str">
        <x:f>IF(E104="","",IF(E104&gt;=0,"positive","negative"))</x:f>
        <x:v>negative</x:v>
      </x:c>
      <x:c r="H104" s="23" t="n">
        <x:f>IF(COUNTIFS('Raw IC'!$A$5:$A$546,$C104,'Raw IC'!$B$5:$B$546,1)=0,"",SUMIFS('Raw IC'!$C$5:$C$546,'Raw IC'!$A$5:$A$546,$C104,'Raw IC'!$B$5:$B$546,1))</x:f>
        <x:v>-0.026220389903831815</x:v>
      </x:c>
      <x:c r="I104" s="23" t="n">
        <x:f>IF(COUNTIFS('Raw IC'!$A$5:$A$546,$C104,'Raw IC'!$B$5:$B$546,5)=0,"",SUMIFS('Raw IC'!$C$5:$C$546,'Raw IC'!$A$5:$A$546,$C104,'Raw IC'!$B$5:$B$546,5))</x:f>
        <x:v>-0.02261074637807211</x:v>
      </x:c>
      <x:c r="J104" s="23" t="n">
        <x:f>IF(COUNTIFS('Raw IC'!$A$5:$A$546,$C104,'Raw IC'!$B$5:$B$546,10)=0,"",SUMIFS('Raw IC'!$C$5:$C$546,'Raw IC'!$A$5:$A$546,$C104,'Raw IC'!$B$5:$B$546,10))</x:f>
        <x:v>-0.020352867178194785</x:v>
      </x:c>
      <x:c r="K104" s="23" t="n">
        <x:f>IF(COUNTIFS('Raw IC'!$A$5:$A$546,$C104,'Raw IC'!$B$5:$B$546,20)=0,"",SUMIFS('Raw IC'!$C$5:$C$546,'Raw IC'!$A$5:$A$546,$C104,'Raw IC'!$B$5:$B$546,20))</x:f>
        <x:v>-0.020542291091252312</x:v>
      </x:c>
      <x:c r="L104" s="23" t="n">
        <x:f>IF(COUNT(H104:K104)=0,"",AVERAGE(H104:K104))</x:f>
        <x:v>-0.022431573637837758</x:v>
      </x:c>
      <x:c r="M104" s="22" t="n">
        <x:f>COUNT(H104:K104)</x:f>
        <x:v>4</x:v>
      </x:c>
      <x:c r="N104" s="25" t="n">
        <x:v>46210.58357934028</x:v>
      </x:c>
      <x:c r="O104" s="24" t="n">
        <x:v>8902245</x:v>
      </x:c>
      <x:c r="P104" t="str">
        <x:v>legacy_common_sample_8902245</x:v>
      </x:c>
      <x:c r="Q104" t="str">
        <x:v>factor_report/gtja191_batch/gtja_102</x:v>
      </x:c>
    </x:row>
    <x:row r="105">
      <x:c r="A105" s="22" t="n">
        <x:f>IF($D105="ranked",1+COUNTIFS($D$5:$D$190,"ranked",$E$5:$E$190,"&gt;"&amp;$E105),"")</x:f>
        <x:v>101</x:v>
      </x:c>
      <x:c r="B105" s="22" t="n">
        <x:f>IF($D105="ranked",1+COUNTIFS($D$5:$D$190,"ranked",$F$5:$F$190,"&gt;"&amp;$F105),"")</x:f>
        <x:v>136</x:v>
      </x:c>
      <x:c r="C105" t="str">
        <x:v>gtja_057</x:v>
      </x:c>
      <x:c r="D105" t="str">
        <x:v>ranked</x:v>
      </x:c>
      <x:c r="E105" s="23" t="n">
        <x:f>IF(COUNT(J105,K105)&lt;2,"",AVERAGE(J105,K105))</x:f>
        <x:v>-0.020812975491229617</x:v>
      </x:c>
      <x:c r="F105" s="23" t="n">
        <x:f>IF(E105="","",ABS(E105))</x:f>
        <x:v>0.020812975491229617</x:v>
      </x:c>
      <x:c r="G105" s="23" t="str">
        <x:f>IF(E105="","",IF(E105&gt;=0,"positive","negative"))</x:f>
        <x:v>negative</x:v>
      </x:c>
      <x:c r="H105" s="23" t="str">
        <x:f>IF(COUNTIFS('Raw IC'!$A$5:$A$546,$C105,'Raw IC'!$B$5:$B$546,1)=0,"",SUMIFS('Raw IC'!$C$5:$C$546,'Raw IC'!$A$5:$A$546,$C105,'Raw IC'!$B$5:$B$546,1))</x:f>
      </x:c>
      <x:c r="I105" s="23" t="str">
        <x:f>IF(COUNTIFS('Raw IC'!$A$5:$A$546,$C105,'Raw IC'!$B$5:$B$546,5)=0,"",SUMIFS('Raw IC'!$C$5:$C$546,'Raw IC'!$A$5:$A$546,$C105,'Raw IC'!$B$5:$B$546,5))</x:f>
      </x:c>
      <x:c r="J105" s="23" t="n">
        <x:f>IF(COUNTIFS('Raw IC'!$A$5:$A$546,$C105,'Raw IC'!$B$5:$B$546,10)=0,"",SUMIFS('Raw IC'!$C$5:$C$546,'Raw IC'!$A$5:$A$546,$C105,'Raw IC'!$B$5:$B$546,10))</x:f>
        <x:v>-0.018479898515854735</x:v>
      </x:c>
      <x:c r="K105" s="23" t="n">
        <x:f>IF(COUNTIFS('Raw IC'!$A$5:$A$546,$C105,'Raw IC'!$B$5:$B$546,20)=0,"",SUMIFS('Raw IC'!$C$5:$C$546,'Raw IC'!$A$5:$A$546,$C105,'Raw IC'!$B$5:$B$546,20))</x:f>
        <x:v>-0.023146052466604495</x:v>
      </x:c>
      <x:c r="L105" s="23" t="n">
        <x:f>IF(COUNT(H105:K105)=0,"",AVERAGE(H105:K105))</x:f>
        <x:v>-0.020812975491229617</x:v>
      </x:c>
      <x:c r="M105" s="22" t="n">
        <x:f>COUNT(H105:K105)</x:f>
        <x:v>2</x:v>
      </x:c>
      <x:c r="N105" s="25" t="n">
        <x:v>46211.28466986111</x:v>
      </x:c>
      <x:c r="O105" s="24" t="n">
        <x:v>8902245</x:v>
      </x:c>
      <x:c r="P105" t="str">
        <x:v>legacy_common_sample_8902245</x:v>
      </x:c>
      <x:c r="Q105" t="str">
        <x:v>factor_report/gtja191_batch/gtja_057</x:v>
      </x:c>
    </x:row>
    <x:row r="106">
      <x:c r="A106" s="22" t="n">
        <x:f>IF($D106="ranked",1+COUNTIFS($D$5:$D$190,"ranked",$E$5:$E$190,"&gt;"&amp;$E106),"")</x:f>
        <x:v>102</x:v>
      </x:c>
      <x:c r="B106" s="22" t="n">
        <x:f>IF($D106="ranked",1+COUNTIFS($D$5:$D$190,"ranked",$F$5:$F$190,"&gt;"&amp;$F106),"")</x:f>
        <x:v>135</x:v>
      </x:c>
      <x:c r="C106" t="str">
        <x:v>gtja_096</x:v>
      </x:c>
      <x:c r="D106" t="str">
        <x:v>ranked</x:v>
      </x:c>
      <x:c r="E106" s="23" t="n">
        <x:f>IF(COUNT(J106,K106)&lt;2,"",AVERAGE(J106,K106))</x:f>
        <x:v>-0.02200268234437336</x:v>
      </x:c>
      <x:c r="F106" s="23" t="n">
        <x:f>IF(E106="","",ABS(E106))</x:f>
        <x:v>0.02200268234437336</x:v>
      </x:c>
      <x:c r="G106" s="23" t="str">
        <x:f>IF(E106="","",IF(E106&gt;=0,"positive","negative"))</x:f>
        <x:v>negative</x:v>
      </x:c>
      <x:c r="H106" s="23" t="str">
        <x:f>IF(COUNTIFS('Raw IC'!$A$5:$A$546,$C106,'Raw IC'!$B$5:$B$546,1)=0,"",SUMIFS('Raw IC'!$C$5:$C$546,'Raw IC'!$A$5:$A$546,$C106,'Raw IC'!$B$5:$B$546,1))</x:f>
      </x:c>
      <x:c r="I106" s="23" t="str">
        <x:f>IF(COUNTIFS('Raw IC'!$A$5:$A$546,$C106,'Raw IC'!$B$5:$B$546,5)=0,"",SUMIFS('Raw IC'!$C$5:$C$546,'Raw IC'!$A$5:$A$546,$C106,'Raw IC'!$B$5:$B$546,5))</x:f>
      </x:c>
      <x:c r="J106" s="23" t="n">
        <x:f>IF(COUNTIFS('Raw IC'!$A$5:$A$546,$C106,'Raw IC'!$B$5:$B$546,10)=0,"",SUMIFS('Raw IC'!$C$5:$C$546,'Raw IC'!$A$5:$A$546,$C106,'Raw IC'!$B$5:$B$546,10))</x:f>
        <x:v>-0.019271218597420786</x:v>
      </x:c>
      <x:c r="K106" s="23" t="n">
        <x:f>IF(COUNTIFS('Raw IC'!$A$5:$A$546,$C106,'Raw IC'!$B$5:$B$546,20)=0,"",SUMIFS('Raw IC'!$C$5:$C$546,'Raw IC'!$A$5:$A$546,$C106,'Raw IC'!$B$5:$B$546,20))</x:f>
        <x:v>-0.024734146091325928</x:v>
      </x:c>
      <x:c r="L106" s="23" t="n">
        <x:f>IF(COUNT(H106:K106)=0,"",AVERAGE(H106:K106))</x:f>
        <x:v>-0.02200268234437336</x:v>
      </x:c>
      <x:c r="M106" s="22" t="n">
        <x:f>COUNT(H106:K106)</x:f>
        <x:v>2</x:v>
      </x:c>
      <x:c r="N106" s="25" t="n">
        <x:v>46211.3433033912</x:v>
      </x:c>
      <x:c r="O106" s="24" t="n">
        <x:v>8902245</x:v>
      </x:c>
      <x:c r="P106" t="str">
        <x:v>legacy_common_sample_8902245</x:v>
      </x:c>
      <x:c r="Q106" t="str">
        <x:v>factor_report/gtja191_batch/gtja_096</x:v>
      </x:c>
    </x:row>
    <x:row r="107">
      <x:c r="A107" s="22" t="n">
        <x:f>IF($D107="ranked",1+COUNTIFS($D$5:$D$190,"ranked",$E$5:$E$190,"&gt;"&amp;$E107),"")</x:f>
        <x:v>103</x:v>
      </x:c>
      <x:c r="B107" s="22" t="n">
        <x:f>IF($D107="ranked",1+COUNTIFS($D$5:$D$190,"ranked",$F$5:$F$190,"&gt;"&amp;$F107),"")</x:f>
        <x:v>126</x:v>
      </x:c>
      <x:c r="C107" t="str">
        <x:v>gtja_060</x:v>
      </x:c>
      <x:c r="D107" t="str">
        <x:v>ranked</x:v>
      </x:c>
      <x:c r="E107" s="23" t="n">
        <x:f>IF(COUNT(J107,K107)&lt;2,"",AVERAGE(J107,K107))</x:f>
        <x:v>-0.023798483693760433</x:v>
      </x:c>
      <x:c r="F107" s="23" t="n">
        <x:f>IF(E107="","",ABS(E107))</x:f>
        <x:v>0.023798483693760433</x:v>
      </x:c>
      <x:c r="G107" s="23" t="str">
        <x:f>IF(E107="","",IF(E107&gt;=0,"positive","negative"))</x:f>
        <x:v>negative</x:v>
      </x:c>
      <x:c r="H107" s="23" t="n">
        <x:f>IF(COUNTIFS('Raw IC'!$A$5:$A$546,$C107,'Raw IC'!$B$5:$B$546,1)=0,"",SUMIFS('Raw IC'!$C$5:$C$546,'Raw IC'!$A$5:$A$546,$C107,'Raw IC'!$B$5:$B$546,1))</x:f>
        <x:v>-0.011815777105240049</x:v>
      </x:c>
      <x:c r="I107" s="23" t="n">
        <x:f>IF(COUNTIFS('Raw IC'!$A$5:$A$546,$C107,'Raw IC'!$B$5:$B$546,5)=0,"",SUMIFS('Raw IC'!$C$5:$C$546,'Raw IC'!$A$5:$A$546,$C107,'Raw IC'!$B$5:$B$546,5))</x:f>
        <x:v>-0.015488033351198223</x:v>
      </x:c>
      <x:c r="J107" s="23" t="n">
        <x:f>IF(COUNTIFS('Raw IC'!$A$5:$A$546,$C107,'Raw IC'!$B$5:$B$546,10)=0,"",SUMIFS('Raw IC'!$C$5:$C$546,'Raw IC'!$A$5:$A$546,$C107,'Raw IC'!$B$5:$B$546,10))</x:f>
        <x:v>-0.02001290122792241</x:v>
      </x:c>
      <x:c r="K107" s="23" t="n">
        <x:f>IF(COUNTIFS('Raw IC'!$A$5:$A$546,$C107,'Raw IC'!$B$5:$B$546,20)=0,"",SUMIFS('Raw IC'!$C$5:$C$546,'Raw IC'!$A$5:$A$546,$C107,'Raw IC'!$B$5:$B$546,20))</x:f>
        <x:v>-0.027584066159598453</x:v>
      </x:c>
      <x:c r="L107" s="23" t="n">
        <x:f>IF(COUNT(H107:K107)=0,"",AVERAGE(H107:K107))</x:f>
        <x:v>-0.018725194460989785</x:v>
      </x:c>
      <x:c r="M107" s="22" t="n">
        <x:f>COUNT(H107:K107)</x:f>
        <x:v>4</x:v>
      </x:c>
      <x:c r="N107" s="25" t="n">
        <x:v>46210.37184259259</x:v>
      </x:c>
      <x:c r="O107" s="24" t="n">
        <x:v>8902245</x:v>
      </x:c>
      <x:c r="P107" t="str">
        <x:v>legacy_common_sample_8902245</x:v>
      </x:c>
      <x:c r="Q107" t="str">
        <x:v>factor_report/gtja191_batch/gtja_060</x:v>
      </x:c>
    </x:row>
    <x:row r="108">
      <x:c r="A108" s="22" t="n">
        <x:f>IF($D108="ranked",1+COUNTIFS($D$5:$D$190,"ranked",$E$5:$E$190,"&gt;"&amp;$E108),"")</x:f>
        <x:v>104</x:v>
      </x:c>
      <x:c r="B108" s="22" t="n">
        <x:f>IF($D108="ranked",1+COUNTIFS($D$5:$D$190,"ranked",$F$5:$F$190,"&gt;"&amp;$F108),"")</x:f>
        <x:v>124</x:v>
      </x:c>
      <x:c r="C108" t="str">
        <x:v>gtja_107</x:v>
      </x:c>
      <x:c r="D108" t="str">
        <x:v>ranked</x:v>
      </x:c>
      <x:c r="E108" s="23" t="n">
        <x:f>IF(COUNT(J108,K108)&lt;2,"",AVERAGE(J108,K108))</x:f>
        <x:v>-0.023988498393768015</x:v>
      </x:c>
      <x:c r="F108" s="23" t="n">
        <x:f>IF(E108="","",ABS(E108))</x:f>
        <x:v>0.023988498393768015</x:v>
      </x:c>
      <x:c r="G108" s="23" t="str">
        <x:f>IF(E108="","",IF(E108&gt;=0,"positive","negative"))</x:f>
        <x:v>negative</x:v>
      </x:c>
      <x:c r="H108" s="23" t="n">
        <x:f>IF(COUNTIFS('Raw IC'!$A$5:$A$546,$C108,'Raw IC'!$B$5:$B$546,1)=0,"",SUMIFS('Raw IC'!$C$5:$C$546,'Raw IC'!$A$5:$A$546,$C108,'Raw IC'!$B$5:$B$546,1))</x:f>
        <x:v>-0.009023508854960031</x:v>
      </x:c>
      <x:c r="I108" s="23" t="n">
        <x:f>IF(COUNTIFS('Raw IC'!$A$5:$A$546,$C108,'Raw IC'!$B$5:$B$546,5)=0,"",SUMIFS('Raw IC'!$C$5:$C$546,'Raw IC'!$A$5:$A$546,$C108,'Raw IC'!$B$5:$B$546,5))</x:f>
        <x:v>-0.017552950821608838</x:v>
      </x:c>
      <x:c r="J108" s="23" t="n">
        <x:f>IF(COUNTIFS('Raw IC'!$A$5:$A$546,$C108,'Raw IC'!$B$5:$B$546,10)=0,"",SUMIFS('Raw IC'!$C$5:$C$546,'Raw IC'!$A$5:$A$546,$C108,'Raw IC'!$B$5:$B$546,10))</x:f>
        <x:v>-0.022211442200144024</x:v>
      </x:c>
      <x:c r="K108" s="23" t="n">
        <x:f>IF(COUNTIFS('Raw IC'!$A$5:$A$546,$C108,'Raw IC'!$B$5:$B$546,20)=0,"",SUMIFS('Raw IC'!$C$5:$C$546,'Raw IC'!$A$5:$A$546,$C108,'Raw IC'!$B$5:$B$546,20))</x:f>
        <x:v>-0.025765554587392003</x:v>
      </x:c>
      <x:c r="L108" s="23" t="n">
        <x:f>IF(COUNT(H108:K108)=0,"",AVERAGE(H108:K108))</x:f>
        <x:v>-0.018638364116026224</x:v>
      </x:c>
      <x:c r="M108" s="22" t="n">
        <x:f>COUNT(H108:K108)</x:f>
        <x:v>4</x:v>
      </x:c>
      <x:c r="N108" s="25" t="n">
        <x:v>46210.60368208333</x:v>
      </x:c>
      <x:c r="O108" s="24" t="n">
        <x:v>8902245</x:v>
      </x:c>
      <x:c r="P108" t="str">
        <x:v>legacy_common_sample_8902245</x:v>
      </x:c>
      <x:c r="Q108" t="str">
        <x:v>factor_report/gtja191_batch/gtja_107</x:v>
      </x:c>
    </x:row>
    <x:row r="109">
      <x:c r="A109" s="22" t="n">
        <x:f>IF($D109="ranked",1+COUNTIFS($D$5:$D$190,"ranked",$E$5:$E$190,"&gt;"&amp;$E109),"")</x:f>
        <x:v>105</x:v>
      </x:c>
      <x:c r="B109" s="22" t="n">
        <x:f>IF($D109="ranked",1+COUNTIFS($D$5:$D$190,"ranked",$F$5:$F$190,"&gt;"&amp;$F109),"")</x:f>
        <x:v>123</x:v>
      </x:c>
      <x:c r="C109" t="str">
        <x:v>gtja_137</x:v>
      </x:c>
      <x:c r="D109" t="str">
        <x:v>ranked</x:v>
      </x:c>
      <x:c r="E109" s="23" t="n">
        <x:f>IF(COUNT(J109,K109)&lt;2,"",AVERAGE(J109,K109))</x:f>
        <x:v>-0.02414679057810157</x:v>
      </x:c>
      <x:c r="F109" s="23" t="n">
        <x:f>IF(E109="","",ABS(E109))</x:f>
        <x:v>0.02414679057810157</x:v>
      </x:c>
      <x:c r="G109" s="23" t="str">
        <x:f>IF(E109="","",IF(E109&gt;=0,"positive","negative"))</x:f>
        <x:v>negative</x:v>
      </x:c>
      <x:c r="H109" s="23" t="n">
        <x:f>IF(COUNTIFS('Raw IC'!$A$5:$A$546,$C109,'Raw IC'!$B$5:$B$546,1)=0,"",SUMIFS('Raw IC'!$C$5:$C$546,'Raw IC'!$A$5:$A$546,$C109,'Raw IC'!$B$5:$B$546,1))</x:f>
        <x:v>-0.023086031715358998</x:v>
      </x:c>
      <x:c r="I109" s="23" t="n">
        <x:f>IF(COUNTIFS('Raw IC'!$A$5:$A$546,$C109,'Raw IC'!$B$5:$B$546,5)=0,"",SUMIFS('Raw IC'!$C$5:$C$546,'Raw IC'!$A$5:$A$546,$C109,'Raw IC'!$B$5:$B$546,5))</x:f>
        <x:v>-0.024155270959396073</x:v>
      </x:c>
      <x:c r="J109" s="23" t="n">
        <x:f>IF(COUNTIFS('Raw IC'!$A$5:$A$546,$C109,'Raw IC'!$B$5:$B$546,10)=0,"",SUMIFS('Raw IC'!$C$5:$C$546,'Raw IC'!$A$5:$A$546,$C109,'Raw IC'!$B$5:$B$546,10))</x:f>
        <x:v>-0.0224102167539663</x:v>
      </x:c>
      <x:c r="K109" s="23" t="n">
        <x:f>IF(COUNTIFS('Raw IC'!$A$5:$A$546,$C109,'Raw IC'!$B$5:$B$546,20)=0,"",SUMIFS('Raw IC'!$C$5:$C$546,'Raw IC'!$A$5:$A$546,$C109,'Raw IC'!$B$5:$B$546,20))</x:f>
        <x:v>-0.025883364402236844</x:v>
      </x:c>
      <x:c r="L109" s="23" t="n">
        <x:f>IF(COUNT(H109:K109)=0,"",AVERAGE(H109:K109))</x:f>
        <x:v>-0.023883720957739555</x:v>
      </x:c>
      <x:c r="M109" s="22" t="n">
        <x:f>COUNT(H109:K109)</x:f>
        <x:v>4</x:v>
      </x:c>
      <x:c r="N109" s="25" t="n">
        <x:v>46210.75457434028</x:v>
      </x:c>
      <x:c r="O109" s="24" t="n">
        <x:v>8902245</x:v>
      </x:c>
      <x:c r="P109" t="str">
        <x:v>legacy_common_sample_8902245</x:v>
      </x:c>
      <x:c r="Q109" t="str">
        <x:v>factor_report/gtja191_batch/gtja_137</x:v>
      </x:c>
    </x:row>
    <x:row r="110">
      <x:c r="A110" s="22" t="n">
        <x:f>IF($D110="ranked",1+COUNTIFS($D$5:$D$190,"ranked",$E$5:$E$190,"&gt;"&amp;$E110),"")</x:f>
        <x:v>106</x:v>
      </x:c>
      <x:c r="B110" s="22" t="n">
        <x:f>IF($D110="ranked",1+COUNTIFS($D$5:$D$190,"ranked",$F$5:$F$190,"&gt;"&amp;$F110),"")</x:f>
        <x:v>122</x:v>
      </x:c>
      <x:c r="C110" t="str">
        <x:v>gtja_143</x:v>
      </x:c>
      <x:c r="D110" t="str">
        <x:v>ranked</x:v>
      </x:c>
      <x:c r="E110" s="23" t="n">
        <x:f>IF(COUNT(J110,K110)&lt;2,"",AVERAGE(J110,K110))</x:f>
        <x:v>-0.024198679752819224</x:v>
      </x:c>
      <x:c r="F110" s="23" t="n">
        <x:f>IF(E110="","",ABS(E110))</x:f>
        <x:v>0.024198679752819224</x:v>
      </x:c>
      <x:c r="G110" s="23" t="str">
        <x:f>IF(E110="","",IF(E110&gt;=0,"positive","negative"))</x:f>
        <x:v>negative</x:v>
      </x:c>
      <x:c r="H110" s="23" t="n">
        <x:f>IF(COUNTIFS('Raw IC'!$A$5:$A$546,$C110,'Raw IC'!$B$5:$B$546,1)=0,"",SUMIFS('Raw IC'!$C$5:$C$546,'Raw IC'!$A$5:$A$546,$C110,'Raw IC'!$B$5:$B$546,1))</x:f>
        <x:v>-0.012789547134223096</x:v>
      </x:c>
      <x:c r="I110" s="23" t="n">
        <x:f>IF(COUNTIFS('Raw IC'!$A$5:$A$546,$C110,'Raw IC'!$B$5:$B$546,5)=0,"",SUMIFS('Raw IC'!$C$5:$C$546,'Raw IC'!$A$5:$A$546,$C110,'Raw IC'!$B$5:$B$546,5))</x:f>
        <x:v>-0.018380086872813808</x:v>
      </x:c>
      <x:c r="J110" s="23" t="n">
        <x:f>IF(COUNTIFS('Raw IC'!$A$5:$A$546,$C110,'Raw IC'!$B$5:$B$546,10)=0,"",SUMIFS('Raw IC'!$C$5:$C$546,'Raw IC'!$A$5:$A$546,$C110,'Raw IC'!$B$5:$B$546,10))</x:f>
        <x:v>-0.021687967404591352</x:v>
      </x:c>
      <x:c r="K110" s="23" t="n">
        <x:f>IF(COUNTIFS('Raw IC'!$A$5:$A$546,$C110,'Raw IC'!$B$5:$B$546,20)=0,"",SUMIFS('Raw IC'!$C$5:$C$546,'Raw IC'!$A$5:$A$546,$C110,'Raw IC'!$B$5:$B$546,20))</x:f>
        <x:v>-0.026709392101047096</x:v>
      </x:c>
      <x:c r="L110" s="23" t="n">
        <x:f>IF(COUNT(H110:K110)=0,"",AVERAGE(H110:K110))</x:f>
        <x:v>-0.019891748378168837</x:v>
      </x:c>
      <x:c r="M110" s="22" t="n">
        <x:f>COUNT(H110:K110)</x:f>
        <x:v>4</x:v>
      </x:c>
      <x:c r="N110" s="25" t="n">
        <x:v>46210.787863425925</x:v>
      </x:c>
      <x:c r="O110" s="24" t="n">
        <x:v>8902245</x:v>
      </x:c>
      <x:c r="P110" t="str">
        <x:v>legacy_common_sample_8902245</x:v>
      </x:c>
      <x:c r="Q110" t="str">
        <x:v>factor_report/gtja191_batch/gtja_143</x:v>
      </x:c>
    </x:row>
    <x:row r="111">
      <x:c r="A111" s="22" t="n">
        <x:f>IF($D111="ranked",1+COUNTIFS($D$5:$D$190,"ranked",$E$5:$E$190,"&gt;"&amp;$E111),"")</x:f>
        <x:v>107</x:v>
      </x:c>
      <x:c r="B111" s="22" t="n">
        <x:f>IF($D111="ranked",1+COUNTIFS($D$5:$D$190,"ranked",$F$5:$F$190,"&gt;"&amp;$F111),"")</x:f>
        <x:v>120</x:v>
      </x:c>
      <x:c r="C111" t="str">
        <x:v>gtja_053</x:v>
      </x:c>
      <x:c r="D111" t="str">
        <x:v>ranked</x:v>
      </x:c>
      <x:c r="E111" s="23" t="n">
        <x:f>IF(COUNT(J111,K111)&lt;2,"",AVERAGE(J111,K111))</x:f>
        <x:v>-0.025445758359793548</x:v>
      </x:c>
      <x:c r="F111" s="23" t="n">
        <x:f>IF(E111="","",ABS(E111))</x:f>
        <x:v>0.025445758359793548</x:v>
      </x:c>
      <x:c r="G111" s="23" t="str">
        <x:f>IF(E111="","",IF(E111&gt;=0,"positive","negative"))</x:f>
        <x:v>negative</x:v>
      </x:c>
      <x:c r="H111" s="23" t="n">
        <x:f>IF(COUNTIFS('Raw IC'!$A$5:$A$546,$C111,'Raw IC'!$B$5:$B$546,1)=0,"",SUMIFS('Raw IC'!$C$5:$C$546,'Raw IC'!$A$5:$A$546,$C111,'Raw IC'!$B$5:$B$546,1))</x:f>
        <x:v>-0.016102839965405964</x:v>
      </x:c>
      <x:c r="I111" s="23" t="n">
        <x:f>IF(COUNTIFS('Raw IC'!$A$5:$A$546,$C111,'Raw IC'!$B$5:$B$546,5)=0,"",SUMIFS('Raw IC'!$C$5:$C$546,'Raw IC'!$A$5:$A$546,$C111,'Raw IC'!$B$5:$B$546,5))</x:f>
        <x:v>-0.019807683124837255</x:v>
      </x:c>
      <x:c r="J111" s="23" t="n">
        <x:f>IF(COUNTIFS('Raw IC'!$A$5:$A$546,$C111,'Raw IC'!$B$5:$B$546,10)=0,"",SUMIFS('Raw IC'!$C$5:$C$546,'Raw IC'!$A$5:$A$546,$C111,'Raw IC'!$B$5:$B$546,10))</x:f>
        <x:v>-0.021981401750478545</x:v>
      </x:c>
      <x:c r="K111" s="23" t="n">
        <x:f>IF(COUNTIFS('Raw IC'!$A$5:$A$546,$C111,'Raw IC'!$B$5:$B$546,20)=0,"",SUMIFS('Raw IC'!$C$5:$C$546,'Raw IC'!$A$5:$A$546,$C111,'Raw IC'!$B$5:$B$546,20))</x:f>
        <x:v>-0.028910114969108554</x:v>
      </x:c>
      <x:c r="L111" s="23" t="n">
        <x:f>IF(COUNT(H111:K111)=0,"",AVERAGE(H111:K111))</x:f>
        <x:v>-0.021700509952457578</x:v>
      </x:c>
      <x:c r="M111" s="22" t="n">
        <x:f>COUNT(H111:K111)</x:f>
        <x:v>4</x:v>
      </x:c>
      <x:c r="N111" s="25" t="n">
        <x:v>46210.33939799768</x:v>
      </x:c>
      <x:c r="O111" s="24" t="n">
        <x:v>8902245</x:v>
      </x:c>
      <x:c r="P111" t="str">
        <x:v>legacy_common_sample_8902245</x:v>
      </x:c>
      <x:c r="Q111" t="str">
        <x:v>factor_report/gtja191_batch/gtja_053</x:v>
      </x:c>
    </x:row>
    <x:row r="112">
      <x:c r="A112" s="22" t="n">
        <x:f>IF($D112="ranked",1+COUNTIFS($D$5:$D$190,"ranked",$E$5:$E$190,"&gt;"&amp;$E112),"")</x:f>
        <x:v>108</x:v>
      </x:c>
      <x:c r="B112" s="22" t="n">
        <x:f>IF($D112="ranked",1+COUNTIFS($D$5:$D$190,"ranked",$F$5:$F$190,"&gt;"&amp;$F112),"")</x:f>
        <x:v>117</x:v>
      </x:c>
      <x:c r="C112" t="str">
        <x:v>gtja_066</x:v>
      </x:c>
      <x:c r="D112" t="str">
        <x:v>ranked</x:v>
      </x:c>
      <x:c r="E112" s="23" t="n">
        <x:f>IF(COUNT(J112,K112)&lt;2,"",AVERAGE(J112,K112))</x:f>
        <x:v>-0.02713470211392814</x:v>
      </x:c>
      <x:c r="F112" s="23" t="n">
        <x:f>IF(E112="","",ABS(E112))</x:f>
        <x:v>0.02713470211392814</x:v>
      </x:c>
      <x:c r="G112" s="23" t="str">
        <x:f>IF(E112="","",IF(E112&gt;=0,"positive","negative"))</x:f>
        <x:v>negative</x:v>
      </x:c>
      <x:c r="H112" s="23" t="n">
        <x:f>IF(COUNTIFS('Raw IC'!$A$5:$A$546,$C112,'Raw IC'!$B$5:$B$546,1)=0,"",SUMIFS('Raw IC'!$C$5:$C$546,'Raw IC'!$A$5:$A$546,$C112,'Raw IC'!$B$5:$B$546,1))</x:f>
        <x:v>-0.026107823787031158</x:v>
      </x:c>
      <x:c r="I112" s="23" t="n">
        <x:f>IF(COUNTIFS('Raw IC'!$A$5:$A$546,$C112,'Raw IC'!$B$5:$B$546,5)=0,"",SUMIFS('Raw IC'!$C$5:$C$546,'Raw IC'!$A$5:$A$546,$C112,'Raw IC'!$B$5:$B$546,5))</x:f>
        <x:v>-0.02789052771250005</x:v>
      </x:c>
      <x:c r="J112" s="23" t="n">
        <x:f>IF(COUNTIFS('Raw IC'!$A$5:$A$546,$C112,'Raw IC'!$B$5:$B$546,10)=0,"",SUMIFS('Raw IC'!$C$5:$C$546,'Raw IC'!$A$5:$A$546,$C112,'Raw IC'!$B$5:$B$546,10))</x:f>
        <x:v>-0.025976368214410687</x:v>
      </x:c>
      <x:c r="K112" s="23" t="n">
        <x:f>IF(COUNTIFS('Raw IC'!$A$5:$A$546,$C112,'Raw IC'!$B$5:$B$546,20)=0,"",SUMIFS('Raw IC'!$C$5:$C$546,'Raw IC'!$A$5:$A$546,$C112,'Raw IC'!$B$5:$B$546,20))</x:f>
        <x:v>-0.028293036013445596</x:v>
      </x:c>
      <x:c r="L112" s="23" t="n">
        <x:f>IF(COUNT(H112:K112)=0,"",AVERAGE(H112:K112))</x:f>
        <x:v>-0.027066938931846873</x:v>
      </x:c>
      <x:c r="M112" s="22" t="n">
        <x:f>COUNT(H112:K112)</x:f>
        <x:v>4</x:v>
      </x:c>
      <x:c r="N112" s="25" t="n">
        <x:v>46210.39822400463</x:v>
      </x:c>
      <x:c r="O112" s="24" t="n">
        <x:v>8902245</x:v>
      </x:c>
      <x:c r="P112" t="str">
        <x:v>legacy_common_sample_8902245</x:v>
      </x:c>
      <x:c r="Q112" t="str">
        <x:v>factor_report/gtja191_batch/gtja_066</x:v>
      </x:c>
    </x:row>
    <x:row r="113">
      <x:c r="A113" s="22" t="n">
        <x:f>IF($D113="ranked",1+COUNTIFS($D$5:$D$190,"ranked",$E$5:$E$190,"&gt;"&amp;$E113),"")</x:f>
        <x:v>109</x:v>
      </x:c>
      <x:c r="B113" s="22" t="n">
        <x:f>IF($D113="ranked",1+COUNTIFS($D$5:$D$190,"ranked",$F$5:$F$190,"&gt;"&amp;$F113),"")</x:f>
        <x:v>115</x:v>
      </x:c>
      <x:c r="C113" t="str">
        <x:v>gtja_009</x:v>
      </x:c>
      <x:c r="D113" t="str">
        <x:v>ranked</x:v>
      </x:c>
      <x:c r="E113" s="23" t="n">
        <x:f>IF(COUNT(J113,K113)&lt;2,"",AVERAGE(J113,K113))</x:f>
        <x:v>-0.0273663991153026</x:v>
      </x:c>
      <x:c r="F113" s="23" t="n">
        <x:f>IF(E113="","",ABS(E113))</x:f>
        <x:v>0.0273663991153026</x:v>
      </x:c>
      <x:c r="G113" s="23" t="str">
        <x:f>IF(E113="","",IF(E113&gt;=0,"positive","negative"))</x:f>
        <x:v>negative</x:v>
      </x:c>
      <x:c r="H113" s="23" t="n">
        <x:f>IF(COUNTIFS('Raw IC'!$A$5:$A$546,$C113,'Raw IC'!$B$5:$B$546,1)=0,"",SUMIFS('Raw IC'!$C$5:$C$546,'Raw IC'!$A$5:$A$546,$C113,'Raw IC'!$B$5:$B$546,1))</x:f>
        <x:v>-0.02543813541677694</x:v>
      </x:c>
      <x:c r="I113" s="23" t="n">
        <x:f>IF(COUNTIFS('Raw IC'!$A$5:$A$546,$C113,'Raw IC'!$B$5:$B$546,5)=0,"",SUMIFS('Raw IC'!$C$5:$C$546,'Raw IC'!$A$5:$A$546,$C113,'Raw IC'!$B$5:$B$546,5))</x:f>
        <x:v>-0.025800912829572056</x:v>
      </x:c>
      <x:c r="J113" s="23" t="n">
        <x:f>IF(COUNTIFS('Raw IC'!$A$5:$A$546,$C113,'Raw IC'!$B$5:$B$546,10)=0,"",SUMIFS('Raw IC'!$C$5:$C$546,'Raw IC'!$A$5:$A$546,$C113,'Raw IC'!$B$5:$B$546,10))</x:f>
        <x:v>-0.02588146976534059</x:v>
      </x:c>
      <x:c r="K113" s="23" t="n">
        <x:f>IF(COUNTIFS('Raw IC'!$A$5:$A$546,$C113,'Raw IC'!$B$5:$B$546,20)=0,"",SUMIFS('Raw IC'!$C$5:$C$546,'Raw IC'!$A$5:$A$546,$C113,'Raw IC'!$B$5:$B$546,20))</x:f>
        <x:v>-0.028851328465264607</x:v>
      </x:c>
      <x:c r="L113" s="23" t="n">
        <x:f>IF(COUNT(H113:K113)=0,"",AVERAGE(H113:K113))</x:f>
        <x:v>-0.026492961619238545</x:v>
      </x:c>
      <x:c r="M113" s="22" t="n">
        <x:f>COUNT(H113:K113)</x:f>
        <x:v>4</x:v>
      </x:c>
      <x:c r="N113" s="25" t="n">
        <x:v>46210.14960534722</x:v>
      </x:c>
      <x:c r="O113" s="24" t="n">
        <x:v>8902245</x:v>
      </x:c>
      <x:c r="P113" t="str">
        <x:v>legacy_common_sample_8902245</x:v>
      </x:c>
      <x:c r="Q113" t="str">
        <x:v>factor_report/gtja191_batch/gtja_009</x:v>
      </x:c>
    </x:row>
    <x:row r="114">
      <x:c r="A114" s="22" t="n">
        <x:f>IF($D114="ranked",1+COUNTIFS($D$5:$D$190,"ranked",$E$5:$E$190,"&gt;"&amp;$E114),"")</x:f>
        <x:v>110</x:v>
      </x:c>
      <x:c r="B114" s="22" t="n">
        <x:f>IF($D114="ranked",1+COUNTIFS($D$5:$D$190,"ranked",$F$5:$F$190,"&gt;"&amp;$F114),"")</x:f>
        <x:v>114</x:v>
      </x:c>
      <x:c r="C114" t="str">
        <x:v>gtja_023</x:v>
      </x:c>
      <x:c r="D114" t="str">
        <x:v>ranked</x:v>
      </x:c>
      <x:c r="E114" s="23" t="n">
        <x:f>IF(COUNT(J114,K114)&lt;2,"",AVERAGE(J114,K114))</x:f>
        <x:v>-0.02747799784892052</x:v>
      </x:c>
      <x:c r="F114" s="23" t="n">
        <x:f>IF(E114="","",ABS(E114))</x:f>
        <x:v>0.02747799784892052</x:v>
      </x:c>
      <x:c r="G114" s="23" t="str">
        <x:f>IF(E114="","",IF(E114&gt;=0,"positive","negative"))</x:f>
        <x:v>negative</x:v>
      </x:c>
      <x:c r="H114" s="23" t="n">
        <x:f>IF(COUNTIFS('Raw IC'!$A$5:$A$546,$C114,'Raw IC'!$B$5:$B$546,1)=0,"",SUMIFS('Raw IC'!$C$5:$C$546,'Raw IC'!$A$5:$A$546,$C114,'Raw IC'!$B$5:$B$546,1))</x:f>
        <x:v>-0.014368128371761667</x:v>
      </x:c>
      <x:c r="I114" s="23" t="n">
        <x:f>IF(COUNTIFS('Raw IC'!$A$5:$A$546,$C114,'Raw IC'!$B$5:$B$546,5)=0,"",SUMIFS('Raw IC'!$C$5:$C$546,'Raw IC'!$A$5:$A$546,$C114,'Raw IC'!$B$5:$B$546,5))</x:f>
        <x:v>-0.02044460346308605</x:v>
      </x:c>
      <x:c r="J114" s="23" t="n">
        <x:f>IF(COUNTIFS('Raw IC'!$A$5:$A$546,$C114,'Raw IC'!$B$5:$B$546,10)=0,"",SUMIFS('Raw IC'!$C$5:$C$546,'Raw IC'!$A$5:$A$546,$C114,'Raw IC'!$B$5:$B$546,10))</x:f>
        <x:v>-0.02421312567684757</x:v>
      </x:c>
      <x:c r="K114" s="23" t="n">
        <x:f>IF(COUNTIFS('Raw IC'!$A$5:$A$546,$C114,'Raw IC'!$B$5:$B$546,20)=0,"",SUMIFS('Raw IC'!$C$5:$C$546,'Raw IC'!$A$5:$A$546,$C114,'Raw IC'!$B$5:$B$546,20))</x:f>
        <x:v>-0.030742870020993476</x:v>
      </x:c>
      <x:c r="L114" s="23" t="n">
        <x:f>IF(COUNT(H114:K114)=0,"",AVERAGE(H114:K114))</x:f>
        <x:v>-0.02244218188317219</x:v>
      </x:c>
      <x:c r="M114" s="22" t="n">
        <x:f>COUNT(H114:K114)</x:f>
        <x:v>4</x:v>
      </x:c>
      <x:c r="N114" s="25" t="n">
        <x:v>46210.20966594907</x:v>
      </x:c>
      <x:c r="O114" s="24" t="n">
        <x:v>8902245</x:v>
      </x:c>
      <x:c r="P114" t="str">
        <x:v>legacy_common_sample_8902245</x:v>
      </x:c>
      <x:c r="Q114" t="str">
        <x:v>factor_report/gtja191_batch/gtja_023</x:v>
      </x:c>
    </x:row>
    <x:row r="115">
      <x:c r="A115" s="22" t="n">
        <x:f>IF($D115="ranked",1+COUNTIFS($D$5:$D$190,"ranked",$E$5:$E$190,"&gt;"&amp;$E115),"")</x:f>
        <x:v>111</x:v>
      </x:c>
      <x:c r="B115" s="22" t="n">
        <x:f>IF($D115="ranked",1+COUNTIFS($D$5:$D$190,"ranked",$F$5:$F$190,"&gt;"&amp;$F115),"")</x:f>
        <x:v>110</x:v>
      </x:c>
      <x:c r="C115" t="str">
        <x:v>gtja_043</x:v>
      </x:c>
      <x:c r="D115" t="str">
        <x:v>ranked</x:v>
      </x:c>
      <x:c r="E115" s="23" t="n">
        <x:f>IF(COUNT(J115,K115)&lt;2,"",AVERAGE(J115,K115))</x:f>
        <x:v>-0.028359385625148812</x:v>
      </x:c>
      <x:c r="F115" s="23" t="n">
        <x:f>IF(E115="","",ABS(E115))</x:f>
        <x:v>0.028359385625148812</x:v>
      </x:c>
      <x:c r="G115" s="23" t="str">
        <x:f>IF(E115="","",IF(E115&gt;=0,"positive","negative"))</x:f>
        <x:v>negative</x:v>
      </x:c>
      <x:c r="H115" s="23" t="n">
        <x:f>IF(COUNTIFS('Raw IC'!$A$5:$A$546,$C115,'Raw IC'!$B$5:$B$546,1)=0,"",SUMIFS('Raw IC'!$C$5:$C$546,'Raw IC'!$A$5:$A$546,$C115,'Raw IC'!$B$5:$B$546,1))</x:f>
        <x:v>-0.02166618342519954</x:v>
      </x:c>
      <x:c r="I115" s="23" t="n">
        <x:f>IF(COUNTIFS('Raw IC'!$A$5:$A$546,$C115,'Raw IC'!$B$5:$B$546,5)=0,"",SUMIFS('Raw IC'!$C$5:$C$546,'Raw IC'!$A$5:$A$546,$C115,'Raw IC'!$B$5:$B$546,5))</x:f>
        <x:v>-0.024491701496502382</x:v>
      </x:c>
      <x:c r="J115" s="23" t="n">
        <x:f>IF(COUNTIFS('Raw IC'!$A$5:$A$546,$C115,'Raw IC'!$B$5:$B$546,10)=0,"",SUMIFS('Raw IC'!$C$5:$C$546,'Raw IC'!$A$5:$A$546,$C115,'Raw IC'!$B$5:$B$546,10))</x:f>
        <x:v>-0.02657135519980472</x:v>
      </x:c>
      <x:c r="K115" s="23" t="n">
        <x:f>IF(COUNTIFS('Raw IC'!$A$5:$A$546,$C115,'Raw IC'!$B$5:$B$546,20)=0,"",SUMIFS('Raw IC'!$C$5:$C$546,'Raw IC'!$A$5:$A$546,$C115,'Raw IC'!$B$5:$B$546,20))</x:f>
        <x:v>-0.030147416050492905</x:v>
      </x:c>
      <x:c r="L115" s="23" t="n">
        <x:f>IF(COUNT(H115:K115)=0,"",AVERAGE(H115:K115))</x:f>
        <x:v>-0.025719164042999884</x:v>
      </x:c>
      <x:c r="M115" s="22" t="n">
        <x:f>COUNT(H115:K115)</x:f>
        <x:v>4</x:v>
      </x:c>
      <x:c r="N115" s="25" t="n">
        <x:v>46210.29250166666</x:v>
      </x:c>
      <x:c r="O115" s="24" t="n">
        <x:v>8902245</x:v>
      </x:c>
      <x:c r="P115" t="str">
        <x:v>legacy_common_sample_8902245</x:v>
      </x:c>
      <x:c r="Q115" t="str">
        <x:v>factor_report/gtja191_batch/gtja_043</x:v>
      </x:c>
    </x:row>
    <x:row r="116">
      <x:c r="A116" s="22" t="n">
        <x:f>IF($D116="ranked",1+COUNTIFS($D$5:$D$190,"ranked",$E$5:$E$190,"&gt;"&amp;$E116),"")</x:f>
        <x:v>112</x:v>
      </x:c>
      <x:c r="B116" s="22" t="n">
        <x:f>IF($D116="ranked",1+COUNTIFS($D$5:$D$190,"ranked",$F$5:$F$190,"&gt;"&amp;$F116),"")</x:f>
        <x:v>107</x:v>
      </x:c>
      <x:c r="C116" t="str">
        <x:v>gtja_152</x:v>
      </x:c>
      <x:c r="D116" t="str">
        <x:v>ranked</x:v>
      </x:c>
      <x:c r="E116" s="23" t="n">
        <x:f>IF(COUNT(J116,K116)&lt;2,"",AVERAGE(J116,K116))</x:f>
        <x:v>-0.02872500582414811</x:v>
      </x:c>
      <x:c r="F116" s="23" t="n">
        <x:f>IF(E116="","",ABS(E116))</x:f>
        <x:v>0.02872500582414811</x:v>
      </x:c>
      <x:c r="G116" s="23" t="str">
        <x:f>IF(E116="","",IF(E116&gt;=0,"positive","negative"))</x:f>
        <x:v>negative</x:v>
      </x:c>
      <x:c r="H116" s="23" t="n">
        <x:f>IF(COUNTIFS('Raw IC'!$A$5:$A$546,$C116,'Raw IC'!$B$5:$B$546,1)=0,"",SUMIFS('Raw IC'!$C$5:$C$546,'Raw IC'!$A$5:$A$546,$C116,'Raw IC'!$B$5:$B$546,1))</x:f>
        <x:v>-0.01459540524139156</x:v>
      </x:c>
      <x:c r="I116" s="23" t="n">
        <x:f>IF(COUNTIFS('Raw IC'!$A$5:$A$546,$C116,'Raw IC'!$B$5:$B$546,5)=0,"",SUMIFS('Raw IC'!$C$5:$C$546,'Raw IC'!$A$5:$A$546,$C116,'Raw IC'!$B$5:$B$546,5))</x:f>
        <x:v>-0.023532595295527762</x:v>
      </x:c>
      <x:c r="J116" s="23" t="n">
        <x:f>IF(COUNTIFS('Raw IC'!$A$5:$A$546,$C116,'Raw IC'!$B$5:$B$546,10)=0,"",SUMIFS('Raw IC'!$C$5:$C$546,'Raw IC'!$A$5:$A$546,$C116,'Raw IC'!$B$5:$B$546,10))</x:f>
        <x:v>-0.027070408073359118</x:v>
      </x:c>
      <x:c r="K116" s="23" t="n">
        <x:f>IF(COUNTIFS('Raw IC'!$A$5:$A$546,$C116,'Raw IC'!$B$5:$B$546,20)=0,"",SUMIFS('Raw IC'!$C$5:$C$546,'Raw IC'!$A$5:$A$546,$C116,'Raw IC'!$B$5:$B$546,20))</x:f>
        <x:v>-0.0303796035749371</x:v>
      </x:c>
      <x:c r="L116" s="23" t="n">
        <x:f>IF(COUNT(H116:K116)=0,"",AVERAGE(H116:K116))</x:f>
        <x:v>-0.023894503046303885</x:v>
      </x:c>
      <x:c r="M116" s="22" t="n">
        <x:f>COUNT(H116:K116)</x:f>
        <x:v>4</x:v>
      </x:c>
      <x:c r="N116" s="25" t="n">
        <x:v>46210.823093680556</x:v>
      </x:c>
      <x:c r="O116" s="24" t="n">
        <x:v>8902245</x:v>
      </x:c>
      <x:c r="P116" t="str">
        <x:v>legacy_common_sample_8902245</x:v>
      </x:c>
      <x:c r="Q116" t="str">
        <x:v>factor_report/gtja191_batch/gtja_152</x:v>
      </x:c>
    </x:row>
    <x:row r="117">
      <x:c r="A117" s="22" t="n">
        <x:f>IF($D117="ranked",1+COUNTIFS($D$5:$D$190,"ranked",$E$5:$E$190,"&gt;"&amp;$E117),"")</x:f>
        <x:v>113</x:v>
      </x:c>
      <x:c r="B117" s="22" t="n">
        <x:f>IF($D117="ranked",1+COUNTIFS($D$5:$D$190,"ranked",$F$5:$F$190,"&gt;"&amp;$F117),"")</x:f>
        <x:v>101</x:v>
      </x:c>
      <x:c r="C117" t="str">
        <x:v>gtja_058</x:v>
      </x:c>
      <x:c r="D117" t="str">
        <x:v>ranked</x:v>
      </x:c>
      <x:c r="E117" s="23" t="n">
        <x:f>IF(COUNT(J117,K117)&lt;2,"",AVERAGE(J117,K117))</x:f>
        <x:v>-0.031286909304354994</x:v>
      </x:c>
      <x:c r="F117" s="23" t="n">
        <x:f>IF(E117="","",ABS(E117))</x:f>
        <x:v>0.031286909304354994</x:v>
      </x:c>
      <x:c r="G117" s="23" t="str">
        <x:f>IF(E117="","",IF(E117&gt;=0,"positive","negative"))</x:f>
        <x:v>negative</x:v>
      </x:c>
      <x:c r="H117" s="23" t="n">
        <x:f>IF(COUNTIFS('Raw IC'!$A$5:$A$546,$C117,'Raw IC'!$B$5:$B$546,1)=0,"",SUMIFS('Raw IC'!$C$5:$C$546,'Raw IC'!$A$5:$A$546,$C117,'Raw IC'!$B$5:$B$546,1))</x:f>
        <x:v>-0.016845757410535775</x:v>
      </x:c>
      <x:c r="I117" s="23" t="n">
        <x:f>IF(COUNTIFS('Raw IC'!$A$5:$A$546,$C117,'Raw IC'!$B$5:$B$546,5)=0,"",SUMIFS('Raw IC'!$C$5:$C$546,'Raw IC'!$A$5:$A$546,$C117,'Raw IC'!$B$5:$B$546,5))</x:f>
        <x:v>-0.022578085737218086</x:v>
      </x:c>
      <x:c r="J117" s="23" t="n">
        <x:f>IF(COUNTIFS('Raw IC'!$A$5:$A$546,$C117,'Raw IC'!$B$5:$B$546,10)=0,"",SUMIFS('Raw IC'!$C$5:$C$546,'Raw IC'!$A$5:$A$546,$C117,'Raw IC'!$B$5:$B$546,10))</x:f>
        <x:v>-0.027364265891806076</x:v>
      </x:c>
      <x:c r="K117" s="23" t="n">
        <x:f>IF(COUNTIFS('Raw IC'!$A$5:$A$546,$C117,'Raw IC'!$B$5:$B$546,20)=0,"",SUMIFS('Raw IC'!$C$5:$C$546,'Raw IC'!$A$5:$A$546,$C117,'Raw IC'!$B$5:$B$546,20))</x:f>
        <x:v>-0.035209552716903916</x:v>
      </x:c>
      <x:c r="L117" s="23" t="n">
        <x:f>IF(COUNT(H117:K117)=0,"",AVERAGE(H117:K117))</x:f>
        <x:v>-0.025499415439115963</x:v>
      </x:c>
      <x:c r="M117" s="22" t="n">
        <x:f>COUNT(H117:K117)</x:f>
        <x:v>4</x:v>
      </x:c>
      <x:c r="N117" s="25" t="n">
        <x:v>46210.36385592593</x:v>
      </x:c>
      <x:c r="O117" s="24" t="n">
        <x:v>8902245</x:v>
      </x:c>
      <x:c r="P117" t="str">
        <x:v>legacy_common_sample_8902245</x:v>
      </x:c>
      <x:c r="Q117" t="str">
        <x:v>factor_report/gtja191_batch/gtja_058</x:v>
      </x:c>
    </x:row>
    <x:row r="118">
      <x:c r="A118" s="22" t="n">
        <x:f>IF($D118="ranked",1+COUNTIFS($D$5:$D$190,"ranked",$E$5:$E$190,"&gt;"&amp;$E118),"")</x:f>
        <x:v>114</x:v>
      </x:c>
      <x:c r="B118" s="22" t="n">
        <x:f>IF($D118="ranked",1+COUNTIFS($D$5:$D$190,"ranked",$F$5:$F$190,"&gt;"&amp;$F118),"")</x:f>
        <x:v>98</x:v>
      </x:c>
      <x:c r="C118" t="str">
        <x:v>gtja_029</x:v>
      </x:c>
      <x:c r="D118" t="str">
        <x:v>ranked</x:v>
      </x:c>
      <x:c r="E118" s="23" t="n">
        <x:f>IF(COUNT(J118,K118)&lt;2,"",AVERAGE(J118,K118))</x:f>
        <x:v>-0.03254143636070095</x:v>
      </x:c>
      <x:c r="F118" s="23" t="n">
        <x:f>IF(E118="","",ABS(E118))</x:f>
        <x:v>0.03254143636070095</x:v>
      </x:c>
      <x:c r="G118" s="23" t="str">
        <x:f>IF(E118="","",IF(E118&gt;=0,"positive","negative"))</x:f>
        <x:v>negative</x:v>
      </x:c>
      <x:c r="H118" s="23" t="n">
        <x:f>IF(COUNTIFS('Raw IC'!$A$5:$A$546,$C118,'Raw IC'!$B$5:$B$546,1)=0,"",SUMIFS('Raw IC'!$C$5:$C$546,'Raw IC'!$A$5:$A$546,$C118,'Raw IC'!$B$5:$B$546,1))</x:f>
        <x:v>-0.027130118862266767</x:v>
      </x:c>
      <x:c r="I118" s="23" t="n">
        <x:f>IF(COUNTIFS('Raw IC'!$A$5:$A$546,$C118,'Raw IC'!$B$5:$B$546,5)=0,"",SUMIFS('Raw IC'!$C$5:$C$546,'Raw IC'!$A$5:$A$546,$C118,'Raw IC'!$B$5:$B$546,5))</x:f>
        <x:v>-0.030787904669802236</x:v>
      </x:c>
      <x:c r="J118" s="23" t="n">
        <x:f>IF(COUNTIFS('Raw IC'!$A$5:$A$546,$C118,'Raw IC'!$B$5:$B$546,10)=0,"",SUMIFS('Raw IC'!$C$5:$C$546,'Raw IC'!$A$5:$A$546,$C118,'Raw IC'!$B$5:$B$546,10))</x:f>
        <x:v>-0.03161670993285054</x:v>
      </x:c>
      <x:c r="K118" s="23" t="n">
        <x:f>IF(COUNTIFS('Raw IC'!$A$5:$A$546,$C118,'Raw IC'!$B$5:$B$546,20)=0,"",SUMIFS('Raw IC'!$C$5:$C$546,'Raw IC'!$A$5:$A$546,$C118,'Raw IC'!$B$5:$B$546,20))</x:f>
        <x:v>-0.03346616278855135</x:v>
      </x:c>
      <x:c r="L118" s="23" t="n">
        <x:f>IF(COUNT(H118:K118)=0,"",AVERAGE(H118:K118))</x:f>
        <x:v>-0.03075022406336772</x:v>
      </x:c>
      <x:c r="M118" s="22" t="n">
        <x:f>COUNT(H118:K118)</x:f>
        <x:v>4</x:v>
      </x:c>
      <x:c r="N118" s="25" t="n">
        <x:v>46210.234402939815</x:v>
      </x:c>
      <x:c r="O118" s="24" t="n">
        <x:v>8902245</x:v>
      </x:c>
      <x:c r="P118" t="str">
        <x:v>legacy_common_sample_8902245</x:v>
      </x:c>
      <x:c r="Q118" t="str">
        <x:v>factor_report/gtja191_batch/gtja_029</x:v>
      </x:c>
    </x:row>
    <x:row r="119">
      <x:c r="A119" s="22" t="n">
        <x:f>IF($D119="ranked",1+COUNTIFS($D$5:$D$190,"ranked",$E$5:$E$190,"&gt;"&amp;$E119),"")</x:f>
        <x:v>115</x:v>
      </x:c>
      <x:c r="B119" s="22" t="n">
        <x:f>IF($D119="ranked",1+COUNTIFS($D$5:$D$190,"ranked",$F$5:$F$190,"&gt;"&amp;$F119),"")</x:f>
        <x:v>97</x:v>
      </x:c>
      <x:c r="C119" t="str">
        <x:v>gtja_019</x:v>
      </x:c>
      <x:c r="D119" t="str">
        <x:v>ranked</x:v>
      </x:c>
      <x:c r="E119" s="23" t="n">
        <x:f>IF(COUNT(J119,K119)&lt;2,"",AVERAGE(J119,K119))</x:f>
        <x:v>-0.032835973851367176</x:v>
      </x:c>
      <x:c r="F119" s="23" t="n">
        <x:f>IF(E119="","",ABS(E119))</x:f>
        <x:v>0.032835973851367176</x:v>
      </x:c>
      <x:c r="G119" s="23" t="str">
        <x:f>IF(E119="","",IF(E119&gt;=0,"positive","negative"))</x:f>
        <x:v>negative</x:v>
      </x:c>
      <x:c r="H119" s="23" t="n">
        <x:f>IF(COUNTIFS('Raw IC'!$A$5:$A$546,$C119,'Raw IC'!$B$5:$B$546,1)=0,"",SUMIFS('Raw IC'!$C$5:$C$546,'Raw IC'!$A$5:$A$546,$C119,'Raw IC'!$B$5:$B$546,1))</x:f>
        <x:v>-0.029194853697055677</x:v>
      </x:c>
      <x:c r="I119" s="23" t="n">
        <x:f>IF(COUNTIFS('Raw IC'!$A$5:$A$546,$C119,'Raw IC'!$B$5:$B$546,5)=0,"",SUMIFS('Raw IC'!$C$5:$C$546,'Raw IC'!$A$5:$A$546,$C119,'Raw IC'!$B$5:$B$546,5))</x:f>
        <x:v>-0.03139965821397489</x:v>
      </x:c>
      <x:c r="J119" s="23" t="n">
        <x:f>IF(COUNTIFS('Raw IC'!$A$5:$A$546,$C119,'Raw IC'!$B$5:$B$546,10)=0,"",SUMIFS('Raw IC'!$C$5:$C$546,'Raw IC'!$A$5:$A$546,$C119,'Raw IC'!$B$5:$B$546,10))</x:f>
        <x:v>-0.03136635532491433</x:v>
      </x:c>
      <x:c r="K119" s="23" t="n">
        <x:f>IF(COUNTIFS('Raw IC'!$A$5:$A$546,$C119,'Raw IC'!$B$5:$B$546,20)=0,"",SUMIFS('Raw IC'!$C$5:$C$546,'Raw IC'!$A$5:$A$546,$C119,'Raw IC'!$B$5:$B$546,20))</x:f>
        <x:v>-0.03430559237782003</x:v>
      </x:c>
      <x:c r="L119" s="23" t="n">
        <x:f>IF(COUNT(H119:K119)=0,"",AVERAGE(H119:K119))</x:f>
        <x:v>-0.03156661490344123</x:v>
      </x:c>
      <x:c r="M119" s="22" t="n">
        <x:f>COUNT(H119:K119)</x:f>
        <x:v>4</x:v>
      </x:c>
      <x:c r="N119" s="25" t="n">
        <x:v>46210.190837372684</x:v>
      </x:c>
      <x:c r="O119" s="24" t="n">
        <x:v>8902245</x:v>
      </x:c>
      <x:c r="P119" t="str">
        <x:v>legacy_common_sample_8902245</x:v>
      </x:c>
      <x:c r="Q119" t="str">
        <x:v>factor_report/gtja191_batch/gtja_019</x:v>
      </x:c>
    </x:row>
    <x:row r="120">
      <x:c r="A120" s="22" t="n">
        <x:f>IF($D120="ranked",1+COUNTIFS($D$5:$D$190,"ranked",$E$5:$E$190,"&gt;"&amp;$E120),"")</x:f>
        <x:v>116</x:v>
      </x:c>
      <x:c r="B120" s="22" t="n">
        <x:f>IF($D120="ranked",1+COUNTIFS($D$5:$D$190,"ranked",$F$5:$F$190,"&gt;"&amp;$F120),"")</x:f>
        <x:v>96</x:v>
      </x:c>
      <x:c r="C120" t="str">
        <x:v>gtja_018</x:v>
      </x:c>
      <x:c r="D120" t="str">
        <x:v>ranked</x:v>
      </x:c>
      <x:c r="E120" s="23" t="n">
        <x:f>IF(COUNT(J120,K120)&lt;2,"",AVERAGE(J120,K120))</x:f>
        <x:v>-0.032835981459413716</x:v>
      </x:c>
      <x:c r="F120" s="23" t="n">
        <x:f>IF(E120="","",ABS(E120))</x:f>
        <x:v>0.032835981459413716</x:v>
      </x:c>
      <x:c r="G120" s="23" t="str">
        <x:f>IF(E120="","",IF(E120&gt;=0,"positive","negative"))</x:f>
        <x:v>negative</x:v>
      </x:c>
      <x:c r="H120" s="23" t="n">
        <x:f>IF(COUNTIFS('Raw IC'!$A$5:$A$546,$C120,'Raw IC'!$B$5:$B$546,1)=0,"",SUMIFS('Raw IC'!$C$5:$C$546,'Raw IC'!$A$5:$A$546,$C120,'Raw IC'!$B$5:$B$546,1))</x:f>
        <x:v>-0.029194867148294158</x:v>
      </x:c>
      <x:c r="I120" s="23" t="n">
        <x:f>IF(COUNTIFS('Raw IC'!$A$5:$A$546,$C120,'Raw IC'!$B$5:$B$546,5)=0,"",SUMIFS('Raw IC'!$C$5:$C$546,'Raw IC'!$A$5:$A$546,$C120,'Raw IC'!$B$5:$B$546,5))</x:f>
        <x:v>-0.031399670594069756</x:v>
      </x:c>
      <x:c r="J120" s="23" t="n">
        <x:f>IF(COUNTIFS('Raw IC'!$A$5:$A$546,$C120,'Raw IC'!$B$5:$B$546,10)=0,"",SUMIFS('Raw IC'!$C$5:$C$546,'Raw IC'!$A$5:$A$546,$C120,'Raw IC'!$B$5:$B$546,10))</x:f>
        <x:v>-0.03136636231735738</x:v>
      </x:c>
      <x:c r="K120" s="23" t="n">
        <x:f>IF(COUNTIFS('Raw IC'!$A$5:$A$546,$C120,'Raw IC'!$B$5:$B$546,20)=0,"",SUMIFS('Raw IC'!$C$5:$C$546,'Raw IC'!$A$5:$A$546,$C120,'Raw IC'!$B$5:$B$546,20))</x:f>
        <x:v>-0.03430560060147005</x:v>
      </x:c>
      <x:c r="L120" s="23" t="n">
        <x:f>IF(COUNT(H120:K120)=0,"",AVERAGE(H120:K120))</x:f>
        <x:v>-0.03156662516529784</x:v>
      </x:c>
      <x:c r="M120" s="22" t="n">
        <x:f>COUNT(H120:K120)</x:f>
        <x:v>4</x:v>
      </x:c>
      <x:c r="N120" s="25" t="n">
        <x:v>46210.18674793981</x:v>
      </x:c>
      <x:c r="O120" s="24" t="n">
        <x:v>8902245</x:v>
      </x:c>
      <x:c r="P120" t="str">
        <x:v>legacy_common_sample_8902245</x:v>
      </x:c>
      <x:c r="Q120" t="str">
        <x:v>factor_report/gtja191_batch/gtja_018</x:v>
      </x:c>
    </x:row>
    <x:row r="121">
      <x:c r="A121" s="22" t="n">
        <x:f>IF($D121="ranked",1+COUNTIFS($D$5:$D$190,"ranked",$E$5:$E$190,"&gt;"&amp;$E121),"")</x:f>
        <x:v>117</x:v>
      </x:c>
      <x:c r="B121" s="22" t="n">
        <x:f>IF($D121="ranked",1+COUNTIFS($D$5:$D$190,"ranked",$F$5:$F$190,"&gt;"&amp;$F121),"")</x:f>
        <x:v>95</x:v>
      </x:c>
      <x:c r="C121" t="str">
        <x:v>gtja_014</x:v>
      </x:c>
      <x:c r="D121" t="str">
        <x:v>ranked</x:v>
      </x:c>
      <x:c r="E121" s="23" t="n">
        <x:f>IF(COUNT(J121,K121)&lt;2,"",AVERAGE(J121,K121))</x:f>
        <x:v>-0.03323925557575093</x:v>
      </x:c>
      <x:c r="F121" s="23" t="n">
        <x:f>IF(E121="","",ABS(E121))</x:f>
        <x:v>0.03323925557575093</x:v>
      </x:c>
      <x:c r="G121" s="23" t="str">
        <x:f>IF(E121="","",IF(E121&gt;=0,"positive","negative"))</x:f>
        <x:v>negative</x:v>
      </x:c>
      <x:c r="H121" s="23" t="n">
        <x:f>IF(COUNTIFS('Raw IC'!$A$5:$A$546,$C121,'Raw IC'!$B$5:$B$546,1)=0,"",SUMIFS('Raw IC'!$C$5:$C$546,'Raw IC'!$A$5:$A$546,$C121,'Raw IC'!$B$5:$B$546,1))</x:f>
        <x:v>-0.02842733048255993</x:v>
      </x:c>
      <x:c r="I121" s="23" t="n">
        <x:f>IF(COUNTIFS('Raw IC'!$A$5:$A$546,$C121,'Raw IC'!$B$5:$B$546,5)=0,"",SUMIFS('Raw IC'!$C$5:$C$546,'Raw IC'!$A$5:$A$546,$C121,'Raw IC'!$B$5:$B$546,5))</x:f>
        <x:v>-0.03020372752716671</x:v>
      </x:c>
      <x:c r="J121" s="23" t="n">
        <x:f>IF(COUNTIFS('Raw IC'!$A$5:$A$546,$C121,'Raw IC'!$B$5:$B$546,10)=0,"",SUMIFS('Raw IC'!$C$5:$C$546,'Raw IC'!$A$5:$A$546,$C121,'Raw IC'!$B$5:$B$546,10))</x:f>
        <x:v>-0.03142291890680758</x:v>
      </x:c>
      <x:c r="K121" s="23" t="n">
        <x:f>IF(COUNTIFS('Raw IC'!$A$5:$A$546,$C121,'Raw IC'!$B$5:$B$546,20)=0,"",SUMIFS('Raw IC'!$C$5:$C$546,'Raw IC'!$A$5:$A$546,$C121,'Raw IC'!$B$5:$B$546,20))</x:f>
        <x:v>-0.03505559224469427</x:v>
      </x:c>
      <x:c r="L121" s="23" t="n">
        <x:f>IF(COUNT(H121:K121)=0,"",AVERAGE(H121:K121))</x:f>
        <x:v>-0.03127739229030712</x:v>
      </x:c>
      <x:c r="M121" s="22" t="n">
        <x:f>COUNT(H121:K121)</x:f>
        <x:v>4</x:v>
      </x:c>
      <x:c r="N121" s="25" t="n">
        <x:v>46210.170149652775</x:v>
      </x:c>
      <x:c r="O121" s="24" t="n">
        <x:v>8902245</x:v>
      </x:c>
      <x:c r="P121" t="str">
        <x:v>legacy_common_sample_8902245</x:v>
      </x:c>
      <x:c r="Q121" t="str">
        <x:v>factor_report/gtja191_batch/gtja_014</x:v>
      </x:c>
    </x:row>
    <x:row r="122">
      <x:c r="A122" s="22" t="n">
        <x:f>IF($D122="ranked",1+COUNTIFS($D$5:$D$190,"ranked",$E$5:$E$190,"&gt;"&amp;$E122),"")</x:f>
        <x:v>118</x:v>
      </x:c>
      <x:c r="B122" s="22" t="n">
        <x:f>IF($D122="ranked",1+COUNTIFS($D$5:$D$190,"ranked",$F$5:$F$190,"&gt;"&amp;$F122),"")</x:f>
        <x:v>93</x:v>
      </x:c>
      <x:c r="C122" t="str">
        <x:v>gtja_109</x:v>
      </x:c>
      <x:c r="D122" t="str">
        <x:v>ranked</x:v>
      </x:c>
      <x:c r="E122" s="23" t="n">
        <x:f>IF(COUNT(J122,K122)&lt;2,"",AVERAGE(J122,K122))</x:f>
        <x:v>-0.03363408937341958</x:v>
      </x:c>
      <x:c r="F122" s="23" t="n">
        <x:f>IF(E122="","",ABS(E122))</x:f>
        <x:v>0.03363408937341958</x:v>
      </x:c>
      <x:c r="G122" s="23" t="str">
        <x:f>IF(E122="","",IF(E122&gt;=0,"positive","negative"))</x:f>
        <x:v>negative</x:v>
      </x:c>
      <x:c r="H122" s="23" t="n">
        <x:f>IF(COUNTIFS('Raw IC'!$A$5:$A$546,$C122,'Raw IC'!$B$5:$B$546,1)=0,"",SUMIFS('Raw IC'!$C$5:$C$546,'Raw IC'!$A$5:$A$546,$C122,'Raw IC'!$B$5:$B$546,1))</x:f>
        <x:v>-0.0301935078494394</x:v>
      </x:c>
      <x:c r="I122" s="23" t="n">
        <x:f>IF(COUNTIFS('Raw IC'!$A$5:$A$546,$C122,'Raw IC'!$B$5:$B$546,5)=0,"",SUMIFS('Raw IC'!$C$5:$C$546,'Raw IC'!$A$5:$A$546,$C122,'Raw IC'!$B$5:$B$546,5))</x:f>
        <x:v>-0.031379071152616365</x:v>
      </x:c>
      <x:c r="J122" s="23" t="n">
        <x:f>IF(COUNTIFS('Raw IC'!$A$5:$A$546,$C122,'Raw IC'!$B$5:$B$546,10)=0,"",SUMIFS('Raw IC'!$C$5:$C$546,'Raw IC'!$A$5:$A$546,$C122,'Raw IC'!$B$5:$B$546,10))</x:f>
        <x:v>-0.03266799806433209</x:v>
      </x:c>
      <x:c r="K122" s="23" t="n">
        <x:f>IF(COUNTIFS('Raw IC'!$A$5:$A$546,$C122,'Raw IC'!$B$5:$B$546,20)=0,"",SUMIFS('Raw IC'!$C$5:$C$546,'Raw IC'!$A$5:$A$546,$C122,'Raw IC'!$B$5:$B$546,20))</x:f>
        <x:v>-0.03460018068250707</x:v>
      </x:c>
      <x:c r="L122" s="23" t="n">
        <x:f>IF(COUNT(H122:K122)=0,"",AVERAGE(H122:K122))</x:f>
        <x:v>-0.03221018943722373</x:v>
      </x:c>
      <x:c r="M122" s="22" t="n">
        <x:f>COUNT(H122:K122)</x:f>
        <x:v>4</x:v>
      </x:c>
      <x:c r="N122" s="25" t="n">
        <x:v>46210.612487280094</x:v>
      </x:c>
      <x:c r="O122" s="24" t="n">
        <x:v>8902245</x:v>
      </x:c>
      <x:c r="P122" t="str">
        <x:v>legacy_common_sample_8902245</x:v>
      </x:c>
      <x:c r="Q122" t="str">
        <x:v>factor_report/gtja191_batch/gtja_109</x:v>
      </x:c>
    </x:row>
    <x:row r="123">
      <x:c r="A123" s="22" t="n">
        <x:f>IF($D123="ranked",1+COUNTIFS($D$5:$D$190,"ranked",$E$5:$E$190,"&gt;"&amp;$E123),"")</x:f>
        <x:v>119</x:v>
      </x:c>
      <x:c r="B123" s="22" t="n">
        <x:f>IF($D123="ranked",1+COUNTIFS($D$5:$D$190,"ranked",$F$5:$F$190,"&gt;"&amp;$F123),"")</x:f>
        <x:v>91</x:v>
      </x:c>
      <x:c r="C123" t="str">
        <x:v>gtja_063</x:v>
      </x:c>
      <x:c r="D123" t="str">
        <x:v>ranked</x:v>
      </x:c>
      <x:c r="E123" s="23" t="n">
        <x:f>IF(COUNT(J123,K123)&lt;2,"",AVERAGE(J123,K123))</x:f>
        <x:v>-0.03426270700782119</x:v>
      </x:c>
      <x:c r="F123" s="23" t="n">
        <x:f>IF(E123="","",ABS(E123))</x:f>
        <x:v>0.03426270700782119</x:v>
      </x:c>
      <x:c r="G123" s="23" t="str">
        <x:f>IF(E123="","",IF(E123&gt;=0,"positive","negative"))</x:f>
        <x:v>negative</x:v>
      </x:c>
      <x:c r="H123" s="23" t="n">
        <x:f>IF(COUNTIFS('Raw IC'!$A$5:$A$546,$C123,'Raw IC'!$B$5:$B$546,1)=0,"",SUMIFS('Raw IC'!$C$5:$C$546,'Raw IC'!$A$5:$A$546,$C123,'Raw IC'!$B$5:$B$546,1))</x:f>
        <x:v>-0.029626434173609568</x:v>
      </x:c>
      <x:c r="I123" s="23" t="n">
        <x:f>IF(COUNTIFS('Raw IC'!$A$5:$A$546,$C123,'Raw IC'!$B$5:$B$546,5)=0,"",SUMIFS('Raw IC'!$C$5:$C$546,'Raw IC'!$A$5:$A$546,$C123,'Raw IC'!$B$5:$B$546,5))</x:f>
        <x:v>-0.03165498417135638</x:v>
      </x:c>
      <x:c r="J123" s="23" t="n">
        <x:f>IF(COUNTIFS('Raw IC'!$A$5:$A$546,$C123,'Raw IC'!$B$5:$B$546,10)=0,"",SUMIFS('Raw IC'!$C$5:$C$546,'Raw IC'!$A$5:$A$546,$C123,'Raw IC'!$B$5:$B$546,10))</x:f>
        <x:v>-0.03214577550026036</x:v>
      </x:c>
      <x:c r="K123" s="23" t="n">
        <x:f>IF(COUNTIFS('Raw IC'!$A$5:$A$546,$C123,'Raw IC'!$B$5:$B$546,20)=0,"",SUMIFS('Raw IC'!$C$5:$C$546,'Raw IC'!$A$5:$A$546,$C123,'Raw IC'!$B$5:$B$546,20))</x:f>
        <x:v>-0.03637963851538203</x:v>
      </x:c>
      <x:c r="L123" s="23" t="n">
        <x:f>IF(COUNT(H123:K123)=0,"",AVERAGE(H123:K123))</x:f>
        <x:v>-0.03245170809015208</x:v>
      </x:c>
      <x:c r="M123" s="22" t="n">
        <x:f>COUNT(H123:K123)</x:f>
        <x:v>4</x:v>
      </x:c>
      <x:c r="N123" s="25" t="n">
        <x:v>46210.385858483794</x:v>
      </x:c>
      <x:c r="O123" s="24" t="n">
        <x:v>8902245</x:v>
      </x:c>
      <x:c r="P123" t="str">
        <x:v>legacy_common_sample_8902245</x:v>
      </x:c>
      <x:c r="Q123" t="str">
        <x:v>factor_report/gtja191_batch/gtja_063</x:v>
      </x:c>
    </x:row>
    <x:row r="124">
      <x:c r="A124" s="22" t="n">
        <x:f>IF($D124="ranked",1+COUNTIFS($D$5:$D$190,"ranked",$E$5:$E$190,"&gt;"&amp;$E124),"")</x:f>
        <x:v>120</x:v>
      </x:c>
      <x:c r="B124" s="22" t="n">
        <x:f>IF($D124="ranked",1+COUNTIFS($D$5:$D$190,"ranked",$F$5:$F$190,"&gt;"&amp;$F124),"")</x:f>
        <x:v>89</x:v>
      </x:c>
      <x:c r="C124" t="str">
        <x:v>gtja_089</x:v>
      </x:c>
      <x:c r="D124" t="str">
        <x:v>ranked</x:v>
      </x:c>
      <x:c r="E124" s="23" t="n">
        <x:f>IF(COUNT(J124,K124)&lt;2,"",AVERAGE(J124,K124))</x:f>
        <x:v>-0.03555516136614474</x:v>
      </x:c>
      <x:c r="F124" s="23" t="n">
        <x:f>IF(E124="","",ABS(E124))</x:f>
        <x:v>0.03555516136614474</x:v>
      </x:c>
      <x:c r="G124" s="23" t="str">
        <x:f>IF(E124="","",IF(E124&gt;=0,"positive","negative"))</x:f>
        <x:v>negative</x:v>
      </x:c>
      <x:c r="H124" s="23" t="n">
        <x:f>IF(COUNTIFS('Raw IC'!$A$5:$A$546,$C124,'Raw IC'!$B$5:$B$546,1)=0,"",SUMIFS('Raw IC'!$C$5:$C$546,'Raw IC'!$A$5:$A$546,$C124,'Raw IC'!$B$5:$B$546,1))</x:f>
        <x:v>-0.023661438522447634</x:v>
      </x:c>
      <x:c r="I124" s="23" t="n">
        <x:f>IF(COUNTIFS('Raw IC'!$A$5:$A$546,$C124,'Raw IC'!$B$5:$B$546,5)=0,"",SUMIFS('Raw IC'!$C$5:$C$546,'Raw IC'!$A$5:$A$546,$C124,'Raw IC'!$B$5:$B$546,5))</x:f>
        <x:v>-0.028234129735906065</x:v>
      </x:c>
      <x:c r="J124" s="23" t="n">
        <x:f>IF(COUNTIFS('Raw IC'!$A$5:$A$546,$C124,'Raw IC'!$B$5:$B$546,10)=0,"",SUMIFS('Raw IC'!$C$5:$C$546,'Raw IC'!$A$5:$A$546,$C124,'Raw IC'!$B$5:$B$546,10))</x:f>
        <x:v>-0.03330943745475121</x:v>
      </x:c>
      <x:c r="K124" s="23" t="n">
        <x:f>IF(COUNTIFS('Raw IC'!$A$5:$A$546,$C124,'Raw IC'!$B$5:$B$546,20)=0,"",SUMIFS('Raw IC'!$C$5:$C$546,'Raw IC'!$A$5:$A$546,$C124,'Raw IC'!$B$5:$B$546,20))</x:f>
        <x:v>-0.03780088527753827</x:v>
      </x:c>
      <x:c r="L124" s="23" t="n">
        <x:f>IF(COUNT(H124:K124)=0,"",AVERAGE(H124:K124))</x:f>
        <x:v>-0.030751472747660796</x:v>
      </x:c>
      <x:c r="M124" s="22" t="n">
        <x:f>COUNT(H124:K124)</x:f>
        <x:v>4</x:v>
      </x:c>
      <x:c r="N124" s="25" t="n">
        <x:v>46210.52408989584</x:v>
      </x:c>
      <x:c r="O124" s="24" t="n">
        <x:v>8902245</x:v>
      </x:c>
      <x:c r="P124" t="str">
        <x:v>legacy_common_sample_8902245</x:v>
      </x:c>
      <x:c r="Q124" t="str">
        <x:v>factor_report/gtja191_batch/gtja_089</x:v>
      </x:c>
    </x:row>
    <x:row r="125">
      <x:c r="A125" s="22" t="n">
        <x:f>IF($D125="ranked",1+COUNTIFS($D$5:$D$190,"ranked",$E$5:$E$190,"&gt;"&amp;$E125),"")</x:f>
        <x:v>121</x:v>
      </x:c>
      <x:c r="B125" s="22" t="n">
        <x:f>IF($D125="ranked",1+COUNTIFS($D$5:$D$190,"ranked",$F$5:$F$190,"&gt;"&amp;$F125),"")</x:f>
        <x:v>87</x:v>
      </x:c>
      <x:c r="C125" t="str">
        <x:v>gtja_145</x:v>
      </x:c>
      <x:c r="D125" t="str">
        <x:v>ranked</x:v>
      </x:c>
      <x:c r="E125" s="23" t="n">
        <x:f>IF(COUNT(J125,K125)&lt;2,"",AVERAGE(J125,K125))</x:f>
        <x:v>-0.03609343472819594</x:v>
      </x:c>
      <x:c r="F125" s="23" t="n">
        <x:f>IF(E125="","",ABS(E125))</x:f>
        <x:v>0.03609343472819594</x:v>
      </x:c>
      <x:c r="G125" s="23" t="str">
        <x:f>IF(E125="","",IF(E125&gt;=0,"positive","negative"))</x:f>
        <x:v>negative</x:v>
      </x:c>
      <x:c r="H125" s="23" t="n">
        <x:f>IF(COUNTIFS('Raw IC'!$A$5:$A$546,$C125,'Raw IC'!$B$5:$B$546,1)=0,"",SUMIFS('Raw IC'!$C$5:$C$546,'Raw IC'!$A$5:$A$546,$C125,'Raw IC'!$B$5:$B$546,1))</x:f>
        <x:v>-0.026752473392600208</x:v>
      </x:c>
      <x:c r="I125" s="23" t="n">
        <x:f>IF(COUNTIFS('Raw IC'!$A$5:$A$546,$C125,'Raw IC'!$B$5:$B$546,5)=0,"",SUMIFS('Raw IC'!$C$5:$C$546,'Raw IC'!$A$5:$A$546,$C125,'Raw IC'!$B$5:$B$546,5))</x:f>
        <x:v>-0.03327745526293577</x:v>
      </x:c>
      <x:c r="J125" s="23" t="n">
        <x:f>IF(COUNTIFS('Raw IC'!$A$5:$A$546,$C125,'Raw IC'!$B$5:$B$546,10)=0,"",SUMIFS('Raw IC'!$C$5:$C$546,'Raw IC'!$A$5:$A$546,$C125,'Raw IC'!$B$5:$B$546,10))</x:f>
        <x:v>-0.036305859771645285</x:v>
      </x:c>
      <x:c r="K125" s="23" t="n">
        <x:f>IF(COUNTIFS('Raw IC'!$A$5:$A$546,$C125,'Raw IC'!$B$5:$B$546,20)=0,"",SUMIFS('Raw IC'!$C$5:$C$546,'Raw IC'!$A$5:$A$546,$C125,'Raw IC'!$B$5:$B$546,20))</x:f>
        <x:v>-0.035881009684746605</x:v>
      </x:c>
      <x:c r="L125" s="23" t="n">
        <x:f>IF(COUNT(H125:K125)=0,"",AVERAGE(H125:K125))</x:f>
        <x:v>-0.03305419952798197</x:v>
      </x:c>
      <x:c r="M125" s="22" t="n">
        <x:f>COUNT(H125:K125)</x:f>
        <x:v>4</x:v>
      </x:c>
      <x:c r="N125" s="25" t="n">
        <x:v>46210.79587657408</x:v>
      </x:c>
      <x:c r="O125" s="24" t="n">
        <x:v>8902245</x:v>
      </x:c>
      <x:c r="P125" t="str">
        <x:v>legacy_common_sample_8902245</x:v>
      </x:c>
      <x:c r="Q125" t="str">
        <x:v>factor_report/gtja191_batch/gtja_145</x:v>
      </x:c>
    </x:row>
    <x:row r="126">
      <x:c r="A126" s="22" t="n">
        <x:f>IF($D126="ranked",1+COUNTIFS($D$5:$D$190,"ranked",$E$5:$E$190,"&gt;"&amp;$E126),"")</x:f>
        <x:v>122</x:v>
      </x:c>
      <x:c r="B126" s="22" t="n">
        <x:f>IF($D126="ranked",1+COUNTIFS($D$5:$D$190,"ranked",$F$5:$F$190,"&gt;"&amp;$F126),"")</x:f>
        <x:v>86</x:v>
      </x:c>
      <x:c r="C126" t="str">
        <x:v>gtja_020</x:v>
      </x:c>
      <x:c r="D126" t="str">
        <x:v>ranked</x:v>
      </x:c>
      <x:c r="E126" s="23" t="n">
        <x:f>IF(COUNT(J126,K126)&lt;2,"",AVERAGE(J126,K126))</x:f>
        <x:v>-0.03612862881476895</x:v>
      </x:c>
      <x:c r="F126" s="23" t="n">
        <x:f>IF(E126="","",ABS(E126))</x:f>
        <x:v>0.03612862881476895</x:v>
      </x:c>
      <x:c r="G126" s="23" t="str">
        <x:f>IF(E126="","",IF(E126&gt;=0,"positive","negative"))</x:f>
        <x:v>negative</x:v>
      </x:c>
      <x:c r="H126" s="23" t="n">
        <x:f>IF(COUNTIFS('Raw IC'!$A$5:$A$546,$C126,'Raw IC'!$B$5:$B$546,1)=0,"",SUMIFS('Raw IC'!$C$5:$C$546,'Raw IC'!$A$5:$A$546,$C126,'Raw IC'!$B$5:$B$546,1))</x:f>
        <x:v>-0.029126869122610234</x:v>
      </x:c>
      <x:c r="I126" s="23" t="n">
        <x:f>IF(COUNTIFS('Raw IC'!$A$5:$A$546,$C126,'Raw IC'!$B$5:$B$546,5)=0,"",SUMIFS('Raw IC'!$C$5:$C$546,'Raw IC'!$A$5:$A$546,$C126,'Raw IC'!$B$5:$B$546,5))</x:f>
        <x:v>-0.03330528187721423</x:v>
      </x:c>
      <x:c r="J126" s="23" t="n">
        <x:f>IF(COUNTIFS('Raw IC'!$A$5:$A$546,$C126,'Raw IC'!$B$5:$B$546,10)=0,"",SUMIFS('Raw IC'!$C$5:$C$546,'Raw IC'!$A$5:$A$546,$C126,'Raw IC'!$B$5:$B$546,10))</x:f>
        <x:v>-0.0343093540926392</x:v>
      </x:c>
      <x:c r="K126" s="23" t="n">
        <x:f>IF(COUNTIFS('Raw IC'!$A$5:$A$546,$C126,'Raw IC'!$B$5:$B$546,20)=0,"",SUMIFS('Raw IC'!$C$5:$C$546,'Raw IC'!$A$5:$A$546,$C126,'Raw IC'!$B$5:$B$546,20))</x:f>
        <x:v>-0.0379479035368987</x:v>
      </x:c>
      <x:c r="L126" s="23" t="n">
        <x:f>IF(COUNT(H126:K126)=0,"",AVERAGE(H126:K126))</x:f>
        <x:v>-0.03367235215734059</x:v>
      </x:c>
      <x:c r="M126" s="22" t="n">
        <x:f>COUNT(H126:K126)</x:f>
        <x:v>4</x:v>
      </x:c>
      <x:c r="N126" s="25" t="n">
        <x:v>46210.19493413194</x:v>
      </x:c>
      <x:c r="O126" s="24" t="n">
        <x:v>8902245</x:v>
      </x:c>
      <x:c r="P126" t="str">
        <x:v>legacy_common_sample_8902245</x:v>
      </x:c>
      <x:c r="Q126" t="str">
        <x:v>factor_report/gtja191_batch/gtja_020</x:v>
      </x:c>
    </x:row>
    <x:row r="127">
      <x:c r="A127" s="22" t="n">
        <x:f>IF($D127="ranked",1+COUNTIFS($D$5:$D$190,"ranked",$E$5:$E$190,"&gt;"&amp;$E127),"")</x:f>
        <x:v>123</x:v>
      </x:c>
      <x:c r="B127" s="22" t="n">
        <x:f>IF($D127="ranked",1+COUNTIFS($D$5:$D$190,"ranked",$F$5:$F$190,"&gt;"&amp;$F127),"")</x:f>
        <x:v>84</x:v>
      </x:c>
      <x:c r="C127" t="str">
        <x:v>gtja_068</x:v>
      </x:c>
      <x:c r="D127" t="str">
        <x:v>ranked</x:v>
      </x:c>
      <x:c r="E127" s="23" t="n">
        <x:f>IF(COUNT(J127,K127)&lt;2,"",AVERAGE(J127,K127))</x:f>
        <x:v>-0.03620760688602109</x:v>
      </x:c>
      <x:c r="F127" s="23" t="n">
        <x:f>IF(E127="","",ABS(E127))</x:f>
        <x:v>0.03620760688602109</x:v>
      </x:c>
      <x:c r="G127" s="23" t="str">
        <x:f>IF(E127="","",IF(E127&gt;=0,"positive","negative"))</x:f>
        <x:v>negative</x:v>
      </x:c>
      <x:c r="H127" s="23" t="n">
        <x:f>IF(COUNTIFS('Raw IC'!$A$5:$A$546,$C127,'Raw IC'!$B$5:$B$546,1)=0,"",SUMIFS('Raw IC'!$C$5:$C$546,'Raw IC'!$A$5:$A$546,$C127,'Raw IC'!$B$5:$B$546,1))</x:f>
        <x:v>-0.027386691033633535</x:v>
      </x:c>
      <x:c r="I127" s="23" t="n">
        <x:f>IF(COUNTIFS('Raw IC'!$A$5:$A$546,$C127,'Raw IC'!$B$5:$B$546,5)=0,"",SUMIFS('Raw IC'!$C$5:$C$546,'Raw IC'!$A$5:$A$546,$C127,'Raw IC'!$B$5:$B$546,5))</x:f>
        <x:v>-0.03204459119223425</x:v>
      </x:c>
      <x:c r="J127" s="23" t="n">
        <x:f>IF(COUNTIFS('Raw IC'!$A$5:$A$546,$C127,'Raw IC'!$B$5:$B$546,10)=0,"",SUMIFS('Raw IC'!$C$5:$C$546,'Raw IC'!$A$5:$A$546,$C127,'Raw IC'!$B$5:$B$546,10))</x:f>
        <x:v>-0.034587875926085955</x:v>
      </x:c>
      <x:c r="K127" s="23" t="n">
        <x:f>IF(COUNTIFS('Raw IC'!$A$5:$A$546,$C127,'Raw IC'!$B$5:$B$546,20)=0,"",SUMIFS('Raw IC'!$C$5:$C$546,'Raw IC'!$A$5:$A$546,$C127,'Raw IC'!$B$5:$B$546,20))</x:f>
        <x:v>-0.03782733784595623</x:v>
      </x:c>
      <x:c r="L127" s="23" t="n">
        <x:f>IF(COUNT(H127:K127)=0,"",AVERAGE(H127:K127))</x:f>
        <x:v>-0.032961623999477496</x:v>
      </x:c>
      <x:c r="M127" s="22" t="n">
        <x:f>COUNT(H127:K127)</x:f>
        <x:v>4</x:v>
      </x:c>
      <x:c r="N127" s="25" t="n">
        <x:v>46210.407986018516</x:v>
      </x:c>
      <x:c r="O127" s="24" t="n">
        <x:v>8902245</x:v>
      </x:c>
      <x:c r="P127" t="str">
        <x:v>legacy_common_sample_8902245</x:v>
      </x:c>
      <x:c r="Q127" t="str">
        <x:v>factor_report/gtja191_batch/gtja_068</x:v>
      </x:c>
    </x:row>
    <x:row r="128">
      <x:c r="A128" s="22" t="n">
        <x:f>IF($D128="ranked",1+COUNTIFS($D$5:$D$190,"ranked",$E$5:$E$190,"&gt;"&amp;$E128),"")</x:f>
        <x:v>124</x:v>
      </x:c>
      <x:c r="B128" s="22" t="n">
        <x:f>IF($D128="ranked",1+COUNTIFS($D$5:$D$190,"ranked",$F$5:$F$190,"&gt;"&amp;$F128),"")</x:f>
        <x:v>83</x:v>
      </x:c>
      <x:c r="C128" t="str">
        <x:v>gtja_128</x:v>
      </x:c>
      <x:c r="D128" t="str">
        <x:v>ranked</x:v>
      </x:c>
      <x:c r="E128" s="23" t="n">
        <x:f>IF(COUNT(J128,K128)&lt;2,"",AVERAGE(J128,K128))</x:f>
        <x:v>-0.03622511172405994</x:v>
      </x:c>
      <x:c r="F128" s="23" t="n">
        <x:f>IF(E128="","",ABS(E128))</x:f>
        <x:v>0.03622511172405994</x:v>
      </x:c>
      <x:c r="G128" s="23" t="str">
        <x:f>IF(E128="","",IF(E128&gt;=0,"positive","negative"))</x:f>
        <x:v>negative</x:v>
      </x:c>
      <x:c r="H128" s="23" t="n">
        <x:f>IF(COUNTIFS('Raw IC'!$A$5:$A$546,$C128,'Raw IC'!$B$5:$B$546,1)=0,"",SUMIFS('Raw IC'!$C$5:$C$546,'Raw IC'!$A$5:$A$546,$C128,'Raw IC'!$B$5:$B$546,1))</x:f>
        <x:v>-0.02612050290307155</x:v>
      </x:c>
      <x:c r="I128" s="23" t="n">
        <x:f>IF(COUNTIFS('Raw IC'!$A$5:$A$546,$C128,'Raw IC'!$B$5:$B$546,5)=0,"",SUMIFS('Raw IC'!$C$5:$C$546,'Raw IC'!$A$5:$A$546,$C128,'Raw IC'!$B$5:$B$546,5))</x:f>
        <x:v>-0.029563258856496376</x:v>
      </x:c>
      <x:c r="J128" s="23" t="n">
        <x:f>IF(COUNTIFS('Raw IC'!$A$5:$A$546,$C128,'Raw IC'!$B$5:$B$546,10)=0,"",SUMIFS('Raw IC'!$C$5:$C$546,'Raw IC'!$A$5:$A$546,$C128,'Raw IC'!$B$5:$B$546,10))</x:f>
        <x:v>-0.032949282801604314</x:v>
      </x:c>
      <x:c r="K128" s="23" t="n">
        <x:f>IF(COUNTIFS('Raw IC'!$A$5:$A$546,$C128,'Raw IC'!$B$5:$B$546,20)=0,"",SUMIFS('Raw IC'!$C$5:$C$546,'Raw IC'!$A$5:$A$546,$C128,'Raw IC'!$B$5:$B$546,20))</x:f>
        <x:v>-0.03950094064651557</x:v>
      </x:c>
      <x:c r="L128" s="23" t="n">
        <x:f>IF(COUNT(H128:K128)=0,"",AVERAGE(H128:K128))</x:f>
        <x:v>-0.032033496301921954</x:v>
      </x:c>
      <x:c r="M128" s="22" t="n">
        <x:f>COUNT(H128:K128)</x:f>
        <x:v>4</x:v>
      </x:c>
      <x:c r="N128" s="25" t="n">
        <x:v>46210.71593150463</x:v>
      </x:c>
      <x:c r="O128" s="24" t="n">
        <x:v>8902245</x:v>
      </x:c>
      <x:c r="P128" t="str">
        <x:v>legacy_common_sample_8902245</x:v>
      </x:c>
      <x:c r="Q128" t="str">
        <x:v>factor_report/gtja191_batch/gtja_128</x:v>
      </x:c>
    </x:row>
    <x:row r="129">
      <x:c r="A129" s="22" t="n">
        <x:f>IF($D129="ranked",1+COUNTIFS($D$5:$D$190,"ranked",$E$5:$E$190,"&gt;"&amp;$E129),"")</x:f>
        <x:v>125</x:v>
      </x:c>
      <x:c r="B129" s="22" t="n">
        <x:f>IF($D129="ranked",1+COUNTIFS($D$5:$D$190,"ranked",$F$5:$F$190,"&gt;"&amp;$F129),"")</x:f>
        <x:v>82</x:v>
      </x:c>
      <x:c r="C129" t="str">
        <x:v>gtja_078</x:v>
      </x:c>
      <x:c r="D129" t="str">
        <x:v>ranked</x:v>
      </x:c>
      <x:c r="E129" s="23" t="n">
        <x:f>IF(COUNT(J129,K129)&lt;2,"",AVERAGE(J129,K129))</x:f>
        <x:v>-0.03624020779877599</x:v>
      </x:c>
      <x:c r="F129" s="23" t="n">
        <x:f>IF(E129="","",ABS(E129))</x:f>
        <x:v>0.03624020779877599</x:v>
      </x:c>
      <x:c r="G129" s="23" t="str">
        <x:f>IF(E129="","",IF(E129&gt;=0,"positive","negative"))</x:f>
        <x:v>negative</x:v>
      </x:c>
      <x:c r="H129" s="23" t="n">
        <x:f>IF(COUNTIFS('Raw IC'!$A$5:$A$546,$C129,'Raw IC'!$B$5:$B$546,1)=0,"",SUMIFS('Raw IC'!$C$5:$C$546,'Raw IC'!$A$5:$A$546,$C129,'Raw IC'!$B$5:$B$546,1))</x:f>
        <x:v>-0.028550669992315335</x:v>
      </x:c>
      <x:c r="I129" s="23" t="n">
        <x:f>IF(COUNTIFS('Raw IC'!$A$5:$A$546,$C129,'Raw IC'!$B$5:$B$546,5)=0,"",SUMIFS('Raw IC'!$C$5:$C$546,'Raw IC'!$A$5:$A$546,$C129,'Raw IC'!$B$5:$B$546,5))</x:f>
        <x:v>-0.03206752056763256</x:v>
      </x:c>
      <x:c r="J129" s="23" t="n">
        <x:f>IF(COUNTIFS('Raw IC'!$A$5:$A$546,$C129,'Raw IC'!$B$5:$B$546,10)=0,"",SUMIFS('Raw IC'!$C$5:$C$546,'Raw IC'!$A$5:$A$546,$C129,'Raw IC'!$B$5:$B$546,10))</x:f>
        <x:v>-0.033764471884845174</x:v>
      </x:c>
      <x:c r="K129" s="23" t="n">
        <x:f>IF(COUNTIFS('Raw IC'!$A$5:$A$546,$C129,'Raw IC'!$B$5:$B$546,20)=0,"",SUMIFS('Raw IC'!$C$5:$C$546,'Raw IC'!$A$5:$A$546,$C129,'Raw IC'!$B$5:$B$546,20))</x:f>
        <x:v>-0.03871594371270681</x:v>
      </x:c>
      <x:c r="L129" s="23" t="n">
        <x:f>IF(COUNT(H129:K129)=0,"",AVERAGE(H129:K129))</x:f>
        <x:v>-0.03327465153937497</x:v>
      </x:c>
      <x:c r="M129" s="22" t="n">
        <x:f>COUNT(H129:K129)</x:f>
        <x:v>4</x:v>
      </x:c>
      <x:c r="N129" s="25" t="n">
        <x:v>46210.46714320602</x:v>
      </x:c>
      <x:c r="O129" s="24" t="n">
        <x:v>8902245</x:v>
      </x:c>
      <x:c r="P129" t="str">
        <x:v>legacy_common_sample_8902245</x:v>
      </x:c>
      <x:c r="Q129" t="str">
        <x:v>factor_report/gtja191_batch/gtja_078</x:v>
      </x:c>
    </x:row>
    <x:row r="130">
      <x:c r="A130" s="22" t="n">
        <x:f>IF($D130="ranked",1+COUNTIFS($D$5:$D$190,"ranked",$E$5:$E$190,"&gt;"&amp;$E130),"")</x:f>
        <x:v>126</x:v>
      </x:c>
      <x:c r="B130" s="22" t="n">
        <x:f>IF($D130="ranked",1+COUNTIFS($D$5:$D$190,"ranked",$F$5:$F$190,"&gt;"&amp;$F130),"")</x:f>
        <x:v>81</x:v>
      </x:c>
      <x:c r="C130" t="str">
        <x:v>gtja_112</x:v>
      </x:c>
      <x:c r="D130" t="str">
        <x:v>ranked</x:v>
      </x:c>
      <x:c r="E130" s="23" t="n">
        <x:f>IF(COUNT(J130,K130)&lt;2,"",AVERAGE(J130,K130))</x:f>
        <x:v>-0.036301809447503455</x:v>
      </x:c>
      <x:c r="F130" s="23" t="n">
        <x:f>IF(E130="","",ABS(E130))</x:f>
        <x:v>0.036301809447503455</x:v>
      </x:c>
      <x:c r="G130" s="23" t="str">
        <x:f>IF(E130="","",IF(E130&gt;=0,"positive","negative"))</x:f>
        <x:v>negative</x:v>
      </x:c>
      <x:c r="H130" s="23" t="n">
        <x:f>IF(COUNTIFS('Raw IC'!$A$5:$A$546,$C130,'Raw IC'!$B$5:$B$546,1)=0,"",SUMIFS('Raw IC'!$C$5:$C$546,'Raw IC'!$A$5:$A$546,$C130,'Raw IC'!$B$5:$B$546,1))</x:f>
        <x:v>-0.027561529749791445</x:v>
      </x:c>
      <x:c r="I130" s="23" t="n">
        <x:f>IF(COUNTIFS('Raw IC'!$A$5:$A$546,$C130,'Raw IC'!$B$5:$B$546,5)=0,"",SUMIFS('Raw IC'!$C$5:$C$546,'Raw IC'!$A$5:$A$546,$C130,'Raw IC'!$B$5:$B$546,5))</x:f>
        <x:v>-0.032204877514276226</x:v>
      </x:c>
      <x:c r="J130" s="23" t="n">
        <x:f>IF(COUNTIFS('Raw IC'!$A$5:$A$546,$C130,'Raw IC'!$B$5:$B$546,10)=0,"",SUMIFS('Raw IC'!$C$5:$C$546,'Raw IC'!$A$5:$A$546,$C130,'Raw IC'!$B$5:$B$546,10))</x:f>
        <x:v>-0.03326163017810002</x:v>
      </x:c>
      <x:c r="K130" s="23" t="n">
        <x:f>IF(COUNTIFS('Raw IC'!$A$5:$A$546,$C130,'Raw IC'!$B$5:$B$546,20)=0,"",SUMIFS('Raw IC'!$C$5:$C$546,'Raw IC'!$A$5:$A$546,$C130,'Raw IC'!$B$5:$B$546,20))</x:f>
        <x:v>-0.03934198871690689</x:v>
      </x:c>
      <x:c r="L130" s="23" t="n">
        <x:f>IF(COUNT(H130:K130)=0,"",AVERAGE(H130:K130))</x:f>
        <x:v>-0.03309250653976865</x:v>
      </x:c>
      <x:c r="M130" s="22" t="n">
        <x:f>COUNT(H130:K130)</x:f>
        <x:v>4</x:v>
      </x:c>
      <x:c r="N130" s="25" t="n">
        <x:v>46210.62560251157</x:v>
      </x:c>
      <x:c r="O130" s="24" t="n">
        <x:v>8902245</x:v>
      </x:c>
      <x:c r="P130" t="str">
        <x:v>legacy_common_sample_8902245</x:v>
      </x:c>
      <x:c r="Q130" t="str">
        <x:v>factor_report/gtja191_batch/gtja_112</x:v>
      </x:c>
    </x:row>
    <x:row r="131">
      <x:c r="A131" s="22" t="n">
        <x:f>IF($D131="ranked",1+COUNTIFS($D$5:$D$190,"ranked",$E$5:$E$190,"&gt;"&amp;$E131),"")</x:f>
        <x:v>127</x:v>
      </x:c>
      <x:c r="B131" s="22" t="n">
        <x:f>IF($D131="ranked",1+COUNTIFS($D$5:$D$190,"ranked",$F$5:$F$190,"&gt;"&amp;$F131),"")</x:f>
        <x:v>77</x:v>
      </x:c>
      <x:c r="C131" t="str">
        <x:v>gtja_169</x:v>
      </x:c>
      <x:c r="D131" t="str">
        <x:v>ranked</x:v>
      </x:c>
      <x:c r="E131" s="23" t="n">
        <x:f>IF(COUNT(J131,K131)&lt;2,"",AVERAGE(J131,K131))</x:f>
        <x:v>-0.036930277109562516</x:v>
      </x:c>
      <x:c r="F131" s="23" t="n">
        <x:f>IF(E131="","",ABS(E131))</x:f>
        <x:v>0.036930277109562516</x:v>
      </x:c>
      <x:c r="G131" s="23" t="str">
        <x:f>IF(E131="","",IF(E131&gt;=0,"positive","negative"))</x:f>
        <x:v>negative</x:v>
      </x:c>
      <x:c r="H131" s="23" t="n">
        <x:f>IF(COUNTIFS('Raw IC'!$A$5:$A$546,$C131,'Raw IC'!$B$5:$B$546,1)=0,"",SUMIFS('Raw IC'!$C$5:$C$546,'Raw IC'!$A$5:$A$546,$C131,'Raw IC'!$B$5:$B$546,1))</x:f>
        <x:v>-0.019095546005785394</x:v>
      </x:c>
      <x:c r="I131" s="23" t="n">
        <x:f>IF(COUNTIFS('Raw IC'!$A$5:$A$546,$C131,'Raw IC'!$B$5:$B$546,5)=0,"",SUMIFS('Raw IC'!$C$5:$C$546,'Raw IC'!$A$5:$A$546,$C131,'Raw IC'!$B$5:$B$546,5))</x:f>
        <x:v>-0.029981264926010935</x:v>
      </x:c>
      <x:c r="J131" s="23" t="n">
        <x:f>IF(COUNTIFS('Raw IC'!$A$5:$A$546,$C131,'Raw IC'!$B$5:$B$546,10)=0,"",SUMIFS('Raw IC'!$C$5:$C$546,'Raw IC'!$A$5:$A$546,$C131,'Raw IC'!$B$5:$B$546,10))</x:f>
        <x:v>-0.03531465236762509</x:v>
      </x:c>
      <x:c r="K131" s="23" t="n">
        <x:f>IF(COUNTIFS('Raw IC'!$A$5:$A$546,$C131,'Raw IC'!$B$5:$B$546,20)=0,"",SUMIFS('Raw IC'!$C$5:$C$546,'Raw IC'!$A$5:$A$546,$C131,'Raw IC'!$B$5:$B$546,20))</x:f>
        <x:v>-0.03854590185149994</x:v>
      </x:c>
      <x:c r="L131" s="23" t="n">
        <x:f>IF(COUNT(H131:K131)=0,"",AVERAGE(H131:K131))</x:f>
        <x:v>-0.030734341287730345</x:v>
      </x:c>
      <x:c r="M131" s="22" t="n">
        <x:f>COUNT(H131:K131)</x:f>
        <x:v>4</x:v>
      </x:c>
      <x:c r="N131" s="25" t="n">
        <x:v>46210.89785068287</x:v>
      </x:c>
      <x:c r="O131" s="24" t="n">
        <x:v>8902245</x:v>
      </x:c>
      <x:c r="P131" t="str">
        <x:v>legacy_common_sample_8902245</x:v>
      </x:c>
      <x:c r="Q131" t="str">
        <x:v>factor_report/gtja191_batch/gtja_169</x:v>
      </x:c>
    </x:row>
    <x:row r="132">
      <x:c r="A132" s="22" t="n">
        <x:f>IF($D132="ranked",1+COUNTIFS($D$5:$D$190,"ranked",$E$5:$E$190,"&gt;"&amp;$E132),"")</x:f>
        <x:v>128</x:v>
      </x:c>
      <x:c r="B132" s="22" t="n">
        <x:f>IF($D132="ranked",1+COUNTIFS($D$5:$D$190,"ranked",$F$5:$F$190,"&gt;"&amp;$F132),"")</x:f>
        <x:v>76</x:v>
      </x:c>
      <x:c r="C132" t="str">
        <x:v>gtja_176</x:v>
      </x:c>
      <x:c r="D132" t="str">
        <x:v>ranked</x:v>
      </x:c>
      <x:c r="E132" s="23" t="n">
        <x:f>IF(COUNT(J132,K132)&lt;2,"",AVERAGE(J132,K132))</x:f>
        <x:v>-0.0373278244368003</x:v>
      </x:c>
      <x:c r="F132" s="23" t="n">
        <x:f>IF(E132="","",ABS(E132))</x:f>
        <x:v>0.0373278244368003</x:v>
      </x:c>
      <x:c r="G132" s="23" t="str">
        <x:f>IF(E132="","",IF(E132&gt;=0,"positive","negative"))</x:f>
        <x:v>negative</x:v>
      </x:c>
      <x:c r="H132" s="23" t="n">
        <x:f>IF(COUNTIFS('Raw IC'!$A$5:$A$546,$C132,'Raw IC'!$B$5:$B$546,1)=0,"",SUMIFS('Raw IC'!$C$5:$C$546,'Raw IC'!$A$5:$A$546,$C132,'Raw IC'!$B$5:$B$546,1))</x:f>
        <x:v>-0.024133419582179818</x:v>
      </x:c>
      <x:c r="I132" s="23" t="n">
        <x:f>IF(COUNTIFS('Raw IC'!$A$5:$A$546,$C132,'Raw IC'!$B$5:$B$546,5)=0,"",SUMIFS('Raw IC'!$C$5:$C$546,'Raw IC'!$A$5:$A$546,$C132,'Raw IC'!$B$5:$B$546,5))</x:f>
        <x:v>-0.030987803007717876</x:v>
      </x:c>
      <x:c r="J132" s="23" t="n">
        <x:f>IF(COUNTIFS('Raw IC'!$A$5:$A$546,$C132,'Raw IC'!$B$5:$B$546,10)=0,"",SUMIFS('Raw IC'!$C$5:$C$546,'Raw IC'!$A$5:$A$546,$C132,'Raw IC'!$B$5:$B$546,10))</x:f>
        <x:v>-0.035213922106757604</x:v>
      </x:c>
      <x:c r="K132" s="23" t="n">
        <x:f>IF(COUNTIFS('Raw IC'!$A$5:$A$546,$C132,'Raw IC'!$B$5:$B$546,20)=0,"",SUMIFS('Raw IC'!$C$5:$C$546,'Raw IC'!$A$5:$A$546,$C132,'Raw IC'!$B$5:$B$546,20))</x:f>
        <x:v>-0.039441726766842995</x:v>
      </x:c>
      <x:c r="L132" s="23" t="n">
        <x:f>IF(COUNT(H132:K132)=0,"",AVERAGE(H132:K132))</x:f>
        <x:v>-0.03244421786587457</x:v>
      </x:c>
      <x:c r="M132" s="22" t="n">
        <x:f>COUNT(H132:K132)</x:f>
        <x:v>4</x:v>
      </x:c>
      <x:c r="N132" s="25" t="n">
        <x:v>46210.92925570602</x:v>
      </x:c>
      <x:c r="O132" s="24" t="n">
        <x:v>8902245</x:v>
      </x:c>
      <x:c r="P132" t="str">
        <x:v>legacy_common_sample_8902245</x:v>
      </x:c>
      <x:c r="Q132" t="str">
        <x:v>factor_report/gtja191_batch/gtja_176</x:v>
      </x:c>
    </x:row>
    <x:row r="133">
      <x:c r="A133" s="22" t="n">
        <x:f>IF($D133="ranked",1+COUNTIFS($D$5:$D$190,"ranked",$E$5:$E$190,"&gt;"&amp;$E133),"")</x:f>
        <x:v>129</x:v>
      </x:c>
      <x:c r="B133" s="22" t="n">
        <x:f>IF($D133="ranked",1+COUNTIFS($D$5:$D$190,"ranked",$F$5:$F$190,"&gt;"&amp;$F133),"")</x:f>
        <x:v>75</x:v>
      </x:c>
      <x:c r="C133" t="str">
        <x:v>gtja_050</x:v>
      </x:c>
      <x:c r="D133" t="str">
        <x:v>ranked</x:v>
      </x:c>
      <x:c r="E133" s="23" t="n">
        <x:f>IF(COUNT(J133,K133)&lt;2,"",AVERAGE(J133,K133))</x:f>
        <x:v>-0.037629127455615155</x:v>
      </x:c>
      <x:c r="F133" s="23" t="n">
        <x:f>IF(E133="","",ABS(E133))</x:f>
        <x:v>0.037629127455615155</x:v>
      </x:c>
      <x:c r="G133" s="23" t="str">
        <x:f>IF(E133="","",IF(E133&gt;=0,"positive","negative"))</x:f>
        <x:v>negative</x:v>
      </x:c>
      <x:c r="H133" s="23" t="n">
        <x:f>IF(COUNTIFS('Raw IC'!$A$5:$A$546,$C133,'Raw IC'!$B$5:$B$546,1)=0,"",SUMIFS('Raw IC'!$C$5:$C$546,'Raw IC'!$A$5:$A$546,$C133,'Raw IC'!$B$5:$B$546,1))</x:f>
        <x:v>-0.02803707925402884</x:v>
      </x:c>
      <x:c r="I133" s="23" t="n">
        <x:f>IF(COUNTIFS('Raw IC'!$A$5:$A$546,$C133,'Raw IC'!$B$5:$B$546,5)=0,"",SUMIFS('Raw IC'!$C$5:$C$546,'Raw IC'!$A$5:$A$546,$C133,'Raw IC'!$B$5:$B$546,5))</x:f>
        <x:v>-0.0330490573207341</x:v>
      </x:c>
      <x:c r="J133" s="23" t="n">
        <x:f>IF(COUNTIFS('Raw IC'!$A$5:$A$546,$C133,'Raw IC'!$B$5:$B$546,10)=0,"",SUMIFS('Raw IC'!$C$5:$C$546,'Raw IC'!$A$5:$A$546,$C133,'Raw IC'!$B$5:$B$546,10))</x:f>
        <x:v>-0.03477122181071436</x:v>
      </x:c>
      <x:c r="K133" s="23" t="n">
        <x:f>IF(COUNTIFS('Raw IC'!$A$5:$A$546,$C133,'Raw IC'!$B$5:$B$546,20)=0,"",SUMIFS('Raw IC'!$C$5:$C$546,'Raw IC'!$A$5:$A$546,$C133,'Raw IC'!$B$5:$B$546,20))</x:f>
        <x:v>-0.04048703310051595</x:v>
      </x:c>
      <x:c r="L133" s="23" t="n">
        <x:f>IF(COUNT(H133:K133)=0,"",AVERAGE(H133:K133))</x:f>
        <x:v>-0.034086097871498314</x:v>
      </x:c>
      <x:c r="M133" s="22" t="n">
        <x:f>COUNT(H133:K133)</x:f>
        <x:v>4</x:v>
      </x:c>
      <x:c r="N133" s="25" t="n">
        <x:v>46210.32673208333</x:v>
      </x:c>
      <x:c r="O133" s="24" t="n">
        <x:v>8902245</x:v>
      </x:c>
      <x:c r="P133" t="str">
        <x:v>legacy_common_sample_8902245</x:v>
      </x:c>
      <x:c r="Q133" t="str">
        <x:v>factor_report/gtja191_batch/gtja_050</x:v>
      </x:c>
    </x:row>
    <x:row r="134">
      <x:c r="A134" s="22" t="n">
        <x:f>IF($D134="ranked",1+COUNTIFS($D$5:$D$190,"ranked",$E$5:$E$190,"&gt;"&amp;$E134),"")</x:f>
        <x:v>130</x:v>
      </x:c>
      <x:c r="B134" s="22" t="n">
        <x:f>IF($D134="ranked",1+COUNTIFS($D$5:$D$190,"ranked",$F$5:$F$190,"&gt;"&amp;$F134),"")</x:f>
        <x:v>73</x:v>
      </x:c>
      <x:c r="C134" t="str">
        <x:v>gtja_051</x:v>
      </x:c>
      <x:c r="D134" t="str">
        <x:v>ranked</x:v>
      </x:c>
      <x:c r="E134" s="23" t="n">
        <x:f>IF(COUNT(J134,K134)&lt;2,"",AVERAGE(J134,K134))</x:f>
        <x:v>-0.03762914992558487</x:v>
      </x:c>
      <x:c r="F134" s="23" t="n">
        <x:f>IF(E134="","",ABS(E134))</x:f>
        <x:v>0.03762914992558487</x:v>
      </x:c>
      <x:c r="G134" s="23" t="str">
        <x:f>IF(E134="","",IF(E134&gt;=0,"positive","negative"))</x:f>
        <x:v>negative</x:v>
      </x:c>
      <x:c r="H134" s="23" t="n">
        <x:f>IF(COUNTIFS('Raw IC'!$A$5:$A$546,$C134,'Raw IC'!$B$5:$B$546,1)=0,"",SUMIFS('Raw IC'!$C$5:$C$546,'Raw IC'!$A$5:$A$546,$C134,'Raw IC'!$B$5:$B$546,1))</x:f>
        <x:v>-0.028037087515120757</x:v>
      </x:c>
      <x:c r="I134" s="23" t="n">
        <x:f>IF(COUNTIFS('Raw IC'!$A$5:$A$546,$C134,'Raw IC'!$B$5:$B$546,5)=0,"",SUMIFS('Raw IC'!$C$5:$C$546,'Raw IC'!$A$5:$A$546,$C134,'Raw IC'!$B$5:$B$546,5))</x:f>
        <x:v>-0.03304907547879243</x:v>
      </x:c>
      <x:c r="J134" s="23" t="n">
        <x:f>IF(COUNTIFS('Raw IC'!$A$5:$A$546,$C134,'Raw IC'!$B$5:$B$546,10)=0,"",SUMIFS('Raw IC'!$C$5:$C$546,'Raw IC'!$A$5:$A$546,$C134,'Raw IC'!$B$5:$B$546,10))</x:f>
        <x:v>-0.03477125480346933</x:v>
      </x:c>
      <x:c r="K134" s="23" t="n">
        <x:f>IF(COUNTIFS('Raw IC'!$A$5:$A$546,$C134,'Raw IC'!$B$5:$B$546,20)=0,"",SUMIFS('Raw IC'!$C$5:$C$546,'Raw IC'!$A$5:$A$546,$C134,'Raw IC'!$B$5:$B$546,20))</x:f>
        <x:v>-0.040487045047700426</x:v>
      </x:c>
      <x:c r="L134" s="23" t="n">
        <x:f>IF(COUNT(H134:K134)=0,"",AVERAGE(H134:K134))</x:f>
        <x:v>-0.03408611571127074</x:v>
      </x:c>
      <x:c r="M134" s="22" t="n">
        <x:f>COUNT(H134:K134)</x:f>
        <x:v>4</x:v>
      </x:c>
      <x:c r="N134" s="25" t="n">
        <x:v>46210.33137918982</x:v>
      </x:c>
      <x:c r="O134" s="24" t="n">
        <x:v>8902245</x:v>
      </x:c>
      <x:c r="P134" t="str">
        <x:v>legacy_common_sample_8902245</x:v>
      </x:c>
      <x:c r="Q134" t="str">
        <x:v>factor_report/gtja191_batch/gtja_051</x:v>
      </x:c>
    </x:row>
    <x:row r="135">
      <x:c r="A135" s="22" t="n">
        <x:f>IF($D135="ranked",1+COUNTIFS($D$5:$D$190,"ranked",$E$5:$E$190,"&gt;"&amp;$E135),"")</x:f>
        <x:v>131</x:v>
      </x:c>
      <x:c r="B135" s="22" t="n">
        <x:f>IF($D135="ranked",1+COUNTIFS($D$5:$D$190,"ranked",$F$5:$F$190,"&gt;"&amp;$F135),"")</x:f>
        <x:v>72</x:v>
      </x:c>
      <x:c r="C135" t="str">
        <x:v>gtja_003</x:v>
      </x:c>
      <x:c r="D135" t="str">
        <x:v>ranked</x:v>
      </x:c>
      <x:c r="E135" s="23" t="n">
        <x:f>IF(COUNT(J135,K135)&lt;2,"",AVERAGE(J135,K135))</x:f>
        <x:v>-0.03777122472853496</x:v>
      </x:c>
      <x:c r="F135" s="23" t="n">
        <x:f>IF(E135="","",ABS(E135))</x:f>
        <x:v>0.03777122472853496</x:v>
      </x:c>
      <x:c r="G135" s="23" t="str">
        <x:f>IF(E135="","",IF(E135&gt;=0,"positive","negative"))</x:f>
        <x:v>negative</x:v>
      </x:c>
      <x:c r="H135" s="23" t="n">
        <x:f>IF(COUNTIFS('Raw IC'!$A$5:$A$546,$C135,'Raw IC'!$B$5:$B$546,1)=0,"",SUMIFS('Raw IC'!$C$5:$C$546,'Raw IC'!$A$5:$A$546,$C135,'Raw IC'!$B$5:$B$546,1))</x:f>
        <x:v>-0.02780988007414572</x:v>
      </x:c>
      <x:c r="I135" s="23" t="n">
        <x:f>IF(COUNTIFS('Raw IC'!$A$5:$A$546,$C135,'Raw IC'!$B$5:$B$546,5)=0,"",SUMIFS('Raw IC'!$C$5:$C$546,'Raw IC'!$A$5:$A$546,$C135,'Raw IC'!$B$5:$B$546,5))</x:f>
        <x:v>-0.03133043162517747</x:v>
      </x:c>
      <x:c r="J135" s="23" t="n">
        <x:f>IF(COUNTIFS('Raw IC'!$A$5:$A$546,$C135,'Raw IC'!$B$5:$B$546,10)=0,"",SUMIFS('Raw IC'!$C$5:$C$546,'Raw IC'!$A$5:$A$546,$C135,'Raw IC'!$B$5:$B$546,10))</x:f>
        <x:v>-0.03472088085404721</x:v>
      </x:c>
      <x:c r="K135" s="23" t="n">
        <x:f>IF(COUNTIFS('Raw IC'!$A$5:$A$546,$C135,'Raw IC'!$B$5:$B$546,20)=0,"",SUMIFS('Raw IC'!$C$5:$C$546,'Raw IC'!$A$5:$A$546,$C135,'Raw IC'!$B$5:$B$546,20))</x:f>
        <x:v>-0.040821568603022704</x:v>
      </x:c>
      <x:c r="L135" s="23" t="n">
        <x:f>IF(COUNT(H135:K135)=0,"",AVERAGE(H135:K135))</x:f>
        <x:v>-0.033670690289098276</x:v>
      </x:c>
      <x:c r="M135" s="22" t="n">
        <x:f>COUNT(H135:K135)</x:f>
        <x:v>4</x:v>
      </x:c>
      <x:c r="N135" s="25" t="n">
        <x:v>46210.119879363425</x:v>
      </x:c>
      <x:c r="O135" s="24" t="n">
        <x:v>8902245</x:v>
      </x:c>
      <x:c r="P135" t="str">
        <x:v>legacy_common_sample_8902245</x:v>
      </x:c>
      <x:c r="Q135" t="str">
        <x:v>factor_report/gtja191_batch/gtja_003</x:v>
      </x:c>
    </x:row>
    <x:row r="136">
      <x:c r="A136" s="22" t="n">
        <x:f>IF($D136="ranked",1+COUNTIFS($D$5:$D$190,"ranked",$E$5:$E$190,"&gt;"&amp;$E136),"")</x:f>
        <x:v>132</x:v>
      </x:c>
      <x:c r="B136" s="22" t="n">
        <x:f>IF($D136="ranked",1+COUNTIFS($D$5:$D$190,"ranked",$F$5:$F$190,"&gt;"&amp;$F136),"")</x:f>
        <x:v>70</x:v>
      </x:c>
      <x:c r="C136" t="str">
        <x:v>gtja_021</x:v>
      </x:c>
      <x:c r="D136" t="str">
        <x:v>ranked</x:v>
      </x:c>
      <x:c r="E136" s="23" t="n">
        <x:f>IF(COUNT(J136,K136)&lt;2,"",AVERAGE(J136,K136))</x:f>
        <x:v>-0.03836720220904586</x:v>
      </x:c>
      <x:c r="F136" s="23" t="n">
        <x:f>IF(E136="","",ABS(E136))</x:f>
        <x:v>0.03836720220904586</x:v>
      </x:c>
      <x:c r="G136" s="23" t="str">
        <x:f>IF(E136="","",IF(E136&gt;=0,"positive","negative"))</x:f>
        <x:v>negative</x:v>
      </x:c>
      <x:c r="H136" s="23" t="n">
        <x:f>IF(COUNTIFS('Raw IC'!$A$5:$A$546,$C136,'Raw IC'!$B$5:$B$546,1)=0,"",SUMIFS('Raw IC'!$C$5:$C$546,'Raw IC'!$A$5:$A$546,$C136,'Raw IC'!$B$5:$B$546,1))</x:f>
        <x:v>-0.023086049652659483</x:v>
      </x:c>
      <x:c r="I136" s="23" t="n">
        <x:f>IF(COUNTIFS('Raw IC'!$A$5:$A$546,$C136,'Raw IC'!$B$5:$B$546,5)=0,"",SUMIFS('Raw IC'!$C$5:$C$546,'Raw IC'!$A$5:$A$546,$C136,'Raw IC'!$B$5:$B$546,5))</x:f>
        <x:v>-0.030601805557213892</x:v>
      </x:c>
      <x:c r="J136" s="23" t="n">
        <x:f>IF(COUNTIFS('Raw IC'!$A$5:$A$546,$C136,'Raw IC'!$B$5:$B$546,10)=0,"",SUMIFS('Raw IC'!$C$5:$C$546,'Raw IC'!$A$5:$A$546,$C136,'Raw IC'!$B$5:$B$546,10))</x:f>
        <x:v>-0.03594981210637164</x:v>
      </x:c>
      <x:c r="K136" s="23" t="n">
        <x:f>IF(COUNTIFS('Raw IC'!$A$5:$A$546,$C136,'Raw IC'!$B$5:$B$546,20)=0,"",SUMIFS('Raw IC'!$C$5:$C$546,'Raw IC'!$A$5:$A$546,$C136,'Raw IC'!$B$5:$B$546,20))</x:f>
        <x:v>-0.04078459231172008</x:v>
      </x:c>
      <x:c r="L136" s="23" t="n">
        <x:f>IF(COUNT(H136:K136)=0,"",AVERAGE(H136:K136))</x:f>
        <x:v>-0.03260556490699127</x:v>
      </x:c>
      <x:c r="M136" s="22" t="n">
        <x:f>COUNT(H136:K136)</x:f>
        <x:v>4</x:v>
      </x:c>
      <x:c r="N136" s="25" t="n">
        <x:v>46210.1997081713</x:v>
      </x:c>
      <x:c r="O136" s="24" t="n">
        <x:v>8902245</x:v>
      </x:c>
      <x:c r="P136" t="str">
        <x:v>legacy_common_sample_8902245</x:v>
      </x:c>
      <x:c r="Q136" t="str">
        <x:v>factor_report/gtja191_batch/gtja_021</x:v>
      </x:c>
    </x:row>
    <x:row r="137">
      <x:c r="A137" s="22" t="n">
        <x:f>IF($D137="ranked",1+COUNTIFS($D$5:$D$190,"ranked",$E$5:$E$190,"&gt;"&amp;$E137),"")</x:f>
        <x:v>133</x:v>
      </x:c>
      <x:c r="B137" s="22" t="n">
        <x:f>IF($D137="ranked",1+COUNTIFS($D$5:$D$190,"ranked",$F$5:$F$190,"&gt;"&amp;$F137),"")</x:f>
        <x:v>69</x:v>
      </x:c>
      <x:c r="C137" t="str">
        <x:v>gtja_179</x:v>
      </x:c>
      <x:c r="D137" t="str">
        <x:v>ranked</x:v>
      </x:c>
      <x:c r="E137" s="23" t="n">
        <x:f>IF(COUNT(J137,K137)&lt;2,"",AVERAGE(J137,K137))</x:f>
        <x:v>-0.03842997855495978</x:v>
      </x:c>
      <x:c r="F137" s="23" t="n">
        <x:f>IF(E137="","",ABS(E137))</x:f>
        <x:v>0.03842997855495978</x:v>
      </x:c>
      <x:c r="G137" s="23" t="str">
        <x:f>IF(E137="","",IF(E137&gt;=0,"positive","negative"))</x:f>
        <x:v>negative</x:v>
      </x:c>
      <x:c r="H137" s="23" t="n">
        <x:f>IF(COUNTIFS('Raw IC'!$A$5:$A$546,$C137,'Raw IC'!$B$5:$B$546,1)=0,"",SUMIFS('Raw IC'!$C$5:$C$546,'Raw IC'!$A$5:$A$546,$C137,'Raw IC'!$B$5:$B$546,1))</x:f>
        <x:v>-0.025089057116048225</x:v>
      </x:c>
      <x:c r="I137" s="23" t="n">
        <x:f>IF(COUNTIFS('Raw IC'!$A$5:$A$546,$C137,'Raw IC'!$B$5:$B$546,5)=0,"",SUMIFS('Raw IC'!$C$5:$C$546,'Raw IC'!$A$5:$A$546,$C137,'Raw IC'!$B$5:$B$546,5))</x:f>
        <x:v>-0.03259132189627406</x:v>
      </x:c>
      <x:c r="J137" s="23" t="n">
        <x:f>IF(COUNTIFS('Raw IC'!$A$5:$A$546,$C137,'Raw IC'!$B$5:$B$546,10)=0,"",SUMIFS('Raw IC'!$C$5:$C$546,'Raw IC'!$A$5:$A$546,$C137,'Raw IC'!$B$5:$B$546,10))</x:f>
        <x:v>-0.0363942798172005</x:v>
      </x:c>
      <x:c r="K137" s="23" t="n">
        <x:f>IF(COUNTIFS('Raw IC'!$A$5:$A$546,$C137,'Raw IC'!$B$5:$B$546,20)=0,"",SUMIFS('Raw IC'!$C$5:$C$546,'Raw IC'!$A$5:$A$546,$C137,'Raw IC'!$B$5:$B$546,20))</x:f>
        <x:v>-0.04046567729271906</x:v>
      </x:c>
      <x:c r="L137" s="23" t="n">
        <x:f>IF(COUNT(H137:K137)=0,"",AVERAGE(H137:K137))</x:f>
        <x:v>-0.033635084030560466</x:v>
      </x:c>
      <x:c r="M137" s="22" t="n">
        <x:f>COUNT(H137:K137)</x:f>
        <x:v>4</x:v>
      </x:c>
      <x:c r="N137" s="25" t="n">
        <x:v>46210.941301631945</x:v>
      </x:c>
      <x:c r="O137" s="24" t="n">
        <x:v>8902245</x:v>
      </x:c>
      <x:c r="P137" t="str">
        <x:v>legacy_common_sample_8902245</x:v>
      </x:c>
      <x:c r="Q137" t="str">
        <x:v>factor_report/gtja191_batch/gtja_179</x:v>
      </x:c>
    </x:row>
    <x:row r="138">
      <x:c r="A138" s="22" t="n">
        <x:f>IF($D138="ranked",1+COUNTIFS($D$5:$D$190,"ranked",$E$5:$E$190,"&gt;"&amp;$E138),"")</x:f>
        <x:v>134</x:v>
      </x:c>
      <x:c r="B138" s="22" t="n">
        <x:f>IF($D138="ranked",1+COUNTIFS($D$5:$D$190,"ranked",$F$5:$F$190,"&gt;"&amp;$F138),"")</x:f>
        <x:v>67</x:v>
      </x:c>
      <x:c r="C138" t="str">
        <x:v>gtja_177</x:v>
      </x:c>
      <x:c r="D138" t="str">
        <x:v>ranked</x:v>
      </x:c>
      <x:c r="E138" s="23" t="n">
        <x:f>IF(COUNT(J138,K138)&lt;2,"",AVERAGE(J138,K138))</x:f>
        <x:v>-0.03904826831678933</x:v>
      </x:c>
      <x:c r="F138" s="23" t="n">
        <x:f>IF(E138="","",ABS(E138))</x:f>
        <x:v>0.03904826831678933</x:v>
      </x:c>
      <x:c r="G138" s="23" t="str">
        <x:f>IF(E138="","",IF(E138&gt;=0,"positive","negative"))</x:f>
        <x:v>negative</x:v>
      </x:c>
      <x:c r="H138" s="23" t="n">
        <x:f>IF(COUNTIFS('Raw IC'!$A$5:$A$546,$C138,'Raw IC'!$B$5:$B$546,1)=0,"",SUMIFS('Raw IC'!$C$5:$C$546,'Raw IC'!$A$5:$A$546,$C138,'Raw IC'!$B$5:$B$546,1))</x:f>
        <x:v>-0.025157689246815995</x:v>
      </x:c>
      <x:c r="I138" s="23" t="n">
        <x:f>IF(COUNTIFS('Raw IC'!$A$5:$A$546,$C138,'Raw IC'!$B$5:$B$546,5)=0,"",SUMIFS('Raw IC'!$C$5:$C$546,'Raw IC'!$A$5:$A$546,$C138,'Raw IC'!$B$5:$B$546,5))</x:f>
        <x:v>-0.032231683722138145</x:v>
      </x:c>
      <x:c r="J138" s="23" t="n">
        <x:f>IF(COUNTIFS('Raw IC'!$A$5:$A$546,$C138,'Raw IC'!$B$5:$B$546,10)=0,"",SUMIFS('Raw IC'!$C$5:$C$546,'Raw IC'!$A$5:$A$546,$C138,'Raw IC'!$B$5:$B$546,10))</x:f>
        <x:v>-0.036733152768811825</x:v>
      </x:c>
      <x:c r="K138" s="23" t="n">
        <x:f>IF(COUNTIFS('Raw IC'!$A$5:$A$546,$C138,'Raw IC'!$B$5:$B$546,20)=0,"",SUMIFS('Raw IC'!$C$5:$C$546,'Raw IC'!$A$5:$A$546,$C138,'Raw IC'!$B$5:$B$546,20))</x:f>
        <x:v>-0.04136338386476683</x:v>
      </x:c>
      <x:c r="L138" s="23" t="n">
        <x:f>IF(COUNT(H138:K138)=0,"",AVERAGE(H138:K138))</x:f>
        <x:v>-0.033871477400633204</x:v>
      </x:c>
      <x:c r="M138" s="22" t="n">
        <x:f>COUNT(H138:K138)</x:f>
        <x:v>4</x:v>
      </x:c>
      <x:c r="N138" s="25" t="n">
        <x:v>46210.93332200232</x:v>
      </x:c>
      <x:c r="O138" s="24" t="n">
        <x:v>8902245</x:v>
      </x:c>
      <x:c r="P138" t="str">
        <x:v>legacy_common_sample_8902245</x:v>
      </x:c>
      <x:c r="Q138" t="str">
        <x:v>factor_report/gtja191_batch/gtja_177</x:v>
      </x:c>
    </x:row>
    <x:row r="139">
      <x:c r="A139" s="22" t="n">
        <x:f>IF($D139="ranked",1+COUNTIFS($D$5:$D$190,"ranked",$E$5:$E$190,"&gt;"&amp;$E139),"")</x:f>
        <x:v>135</x:v>
      </x:c>
      <x:c r="B139" s="22" t="n">
        <x:f>IF($D139="ranked",1+COUNTIFS($D$5:$D$190,"ranked",$F$5:$F$190,"&gt;"&amp;$F139),"")</x:f>
        <x:v>64</x:v>
      </x:c>
      <x:c r="C139" t="str">
        <x:v>gtja_031</x:v>
      </x:c>
      <x:c r="D139" t="str">
        <x:v>ranked</x:v>
      </x:c>
      <x:c r="E139" s="23" t="n">
        <x:f>IF(COUNT(J139,K139)&lt;2,"",AVERAGE(J139,K139))</x:f>
        <x:v>-0.04097225178889019</x:v>
      </x:c>
      <x:c r="F139" s="23" t="n">
        <x:f>IF(E139="","",ABS(E139))</x:f>
        <x:v>0.04097225178889019</x:v>
      </x:c>
      <x:c r="G139" s="23" t="str">
        <x:f>IF(E139="","",IF(E139&gt;=0,"positive","negative"))</x:f>
        <x:v>negative</x:v>
      </x:c>
      <x:c r="H139" s="23" t="n">
        <x:f>IF(COUNTIFS('Raw IC'!$A$5:$A$546,$C139,'Raw IC'!$B$5:$B$546,1)=0,"",SUMIFS('Raw IC'!$C$5:$C$546,'Raw IC'!$A$5:$A$546,$C139,'Raw IC'!$B$5:$B$546,1))</x:f>
        <x:v>-0.0325941446144204</x:v>
      </x:c>
      <x:c r="I139" s="23" t="n">
        <x:f>IF(COUNTIFS('Raw IC'!$A$5:$A$546,$C139,'Raw IC'!$B$5:$B$546,5)=0,"",SUMIFS('Raw IC'!$C$5:$C$546,'Raw IC'!$A$5:$A$546,$C139,'Raw IC'!$B$5:$B$546,5))</x:f>
        <x:v>-0.036798000064215984</x:v>
      </x:c>
      <x:c r="J139" s="23" t="n">
        <x:f>IF(COUNTIFS('Raw IC'!$A$5:$A$546,$C139,'Raw IC'!$B$5:$B$546,10)=0,"",SUMIFS('Raw IC'!$C$5:$C$546,'Raw IC'!$A$5:$A$546,$C139,'Raw IC'!$B$5:$B$546,10))</x:f>
        <x:v>-0.03805880603715265</x:v>
      </x:c>
      <x:c r="K139" s="23" t="n">
        <x:f>IF(COUNTIFS('Raw IC'!$A$5:$A$546,$C139,'Raw IC'!$B$5:$B$546,20)=0,"",SUMIFS('Raw IC'!$C$5:$C$546,'Raw IC'!$A$5:$A$546,$C139,'Raw IC'!$B$5:$B$546,20))</x:f>
        <x:v>-0.04388569754062773</x:v>
      </x:c>
      <x:c r="L139" s="23" t="n">
        <x:f>IF(COUNT(H139:K139)=0,"",AVERAGE(H139:K139))</x:f>
        <x:v>-0.03783416206410419</x:v>
      </x:c>
      <x:c r="M139" s="22" t="n">
        <x:f>COUNT(H139:K139)</x:f>
        <x:v>4</x:v>
      </x:c>
      <x:c r="N139" s="25" t="n">
        <x:v>46210.23892871528</x:v>
      </x:c>
      <x:c r="O139" s="24" t="n">
        <x:v>8902245</x:v>
      </x:c>
      <x:c r="P139" t="str">
        <x:v>legacy_common_sample_8902245</x:v>
      </x:c>
      <x:c r="Q139" t="str">
        <x:v>factor_report/gtja191_batch/gtja_031</x:v>
      </x:c>
    </x:row>
    <x:row r="140">
      <x:c r="A140" s="22" t="n">
        <x:f>IF($D140="ranked",1+COUNTIFS($D$5:$D$190,"ranked",$E$5:$E$190,"&gt;"&amp;$E140),"")</x:f>
        <x:v>136</x:v>
      </x:c>
      <x:c r="B140" s="22" t="n">
        <x:f>IF($D140="ranked",1+COUNTIFS($D$5:$D$190,"ranked",$F$5:$F$190,"&gt;"&amp;$F140),"")</x:f>
        <x:v>62</x:v>
      </x:c>
      <x:c r="C140" t="str">
        <x:v>gtja_133</x:v>
      </x:c>
      <x:c r="D140" t="str">
        <x:v>ranked</x:v>
      </x:c>
      <x:c r="E140" s="23" t="n">
        <x:f>IF(COUNT(J140,K140)&lt;2,"",AVERAGE(J140,K140))</x:f>
        <x:v>-0.043122079519654945</x:v>
      </x:c>
      <x:c r="F140" s="23" t="n">
        <x:f>IF(E140="","",ABS(E140))</x:f>
        <x:v>0.043122079519654945</x:v>
      </x:c>
      <x:c r="G140" s="23" t="str">
        <x:f>IF(E140="","",IF(E140&gt;=0,"positive","negative"))</x:f>
        <x:v>negative</x:v>
      </x:c>
      <x:c r="H140" s="23" t="n">
        <x:f>IF(COUNTIFS('Raw IC'!$A$5:$A$546,$C140,'Raw IC'!$B$5:$B$546,1)=0,"",SUMIFS('Raw IC'!$C$5:$C$546,'Raw IC'!$A$5:$A$546,$C140,'Raw IC'!$B$5:$B$546,1))</x:f>
        <x:v>-0.025732485756695758</x:v>
      </x:c>
      <x:c r="I140" s="23" t="n">
        <x:f>IF(COUNTIFS('Raw IC'!$A$5:$A$546,$C140,'Raw IC'!$B$5:$B$546,5)=0,"",SUMIFS('Raw IC'!$C$5:$C$546,'Raw IC'!$A$5:$A$546,$C140,'Raw IC'!$B$5:$B$546,5))</x:f>
        <x:v>-0.03565714629846609</x:v>
      </x:c>
      <x:c r="J140" s="23" t="n">
        <x:f>IF(COUNTIFS('Raw IC'!$A$5:$A$546,$C140,'Raw IC'!$B$5:$B$546,10)=0,"",SUMIFS('Raw IC'!$C$5:$C$546,'Raw IC'!$A$5:$A$546,$C140,'Raw IC'!$B$5:$B$546,10))</x:f>
        <x:v>-0.04084182012441402</x:v>
      </x:c>
      <x:c r="K140" s="23" t="n">
        <x:f>IF(COUNTIFS('Raw IC'!$A$5:$A$546,$C140,'Raw IC'!$B$5:$B$546,20)=0,"",SUMIFS('Raw IC'!$C$5:$C$546,'Raw IC'!$A$5:$A$546,$C140,'Raw IC'!$B$5:$B$546,20))</x:f>
        <x:v>-0.04540233891489587</x:v>
      </x:c>
      <x:c r="L140" s="23" t="n">
        <x:f>IF(COUNT(H140:K140)=0,"",AVERAGE(H140:K140))</x:f>
        <x:v>-0.03690844777361793</x:v>
      </x:c>
      <x:c r="M140" s="22" t="n">
        <x:f>COUNT(H140:K140)</x:f>
        <x:v>4</x:v>
      </x:c>
      <x:c r="N140" s="25" t="n">
        <x:v>46210.73796425926</x:v>
      </x:c>
      <x:c r="O140" s="24" t="n">
        <x:v>8902245</x:v>
      </x:c>
      <x:c r="P140" t="str">
        <x:v>legacy_common_sample_8902245</x:v>
      </x:c>
      <x:c r="Q140" t="str">
        <x:v>factor_report/gtja191_batch/gtja_133</x:v>
      </x:c>
    </x:row>
    <x:row r="141">
      <x:c r="A141" s="22" t="n">
        <x:f>IF($D141="ranked",1+COUNTIFS($D$5:$D$190,"ranked",$E$5:$E$190,"&gt;"&amp;$E141),"")</x:f>
        <x:v>137</x:v>
      </x:c>
      <x:c r="B141" s="22" t="n">
        <x:f>IF($D141="ranked",1+COUNTIFS($D$5:$D$190,"ranked",$F$5:$F$190,"&gt;"&amp;$F141),"")</x:f>
        <x:v>61</x:v>
      </x:c>
      <x:c r="C141" t="str">
        <x:v>gtja_093</x:v>
      </x:c>
      <x:c r="D141" t="str">
        <x:v>ranked</x:v>
      </x:c>
      <x:c r="E141" s="23" t="n">
        <x:f>IF(COUNT(J141,K141)&lt;2,"",AVERAGE(J141,K141))</x:f>
        <x:v>-0.0431278849211654</x:v>
      </x:c>
      <x:c r="F141" s="23" t="n">
        <x:f>IF(E141="","",ABS(E141))</x:f>
        <x:v>0.0431278849211654</x:v>
      </x:c>
      <x:c r="G141" s="23" t="str">
        <x:f>IF(E141="","",IF(E141&gt;=0,"positive","negative"))</x:f>
        <x:v>negative</x:v>
      </x:c>
      <x:c r="H141" s="23" t="n">
        <x:f>IF(COUNTIFS('Raw IC'!$A$5:$A$546,$C141,'Raw IC'!$B$5:$B$546,1)=0,"",SUMIFS('Raw IC'!$C$5:$C$546,'Raw IC'!$A$5:$A$546,$C141,'Raw IC'!$B$5:$B$546,1))</x:f>
        <x:v>-0.019563766405308748</x:v>
      </x:c>
      <x:c r="I141" s="23" t="n">
        <x:f>IF(COUNTIFS('Raw IC'!$A$5:$A$546,$C141,'Raw IC'!$B$5:$B$546,5)=0,"",SUMIFS('Raw IC'!$C$5:$C$546,'Raw IC'!$A$5:$A$546,$C141,'Raw IC'!$B$5:$B$546,5))</x:f>
        <x:v>-0.029259202792010844</x:v>
      </x:c>
      <x:c r="J141" s="23" t="n">
        <x:f>IF(COUNTIFS('Raw IC'!$A$5:$A$546,$C141,'Raw IC'!$B$5:$B$546,10)=0,"",SUMIFS('Raw IC'!$C$5:$C$546,'Raw IC'!$A$5:$A$546,$C141,'Raw IC'!$B$5:$B$546,10))</x:f>
        <x:v>-0.0374173145148579</x:v>
      </x:c>
      <x:c r="K141" s="23" t="n">
        <x:f>IF(COUNTIFS('Raw IC'!$A$5:$A$546,$C141,'Raw IC'!$B$5:$B$546,20)=0,"",SUMIFS('Raw IC'!$C$5:$C$546,'Raw IC'!$A$5:$A$546,$C141,'Raw IC'!$B$5:$B$546,20))</x:f>
        <x:v>-0.048838455327472906</x:v>
      </x:c>
      <x:c r="L141" s="23" t="n">
        <x:f>IF(COUNT(H141:K141)=0,"",AVERAGE(H141:K141))</x:f>
        <x:v>-0.0337696847599126</x:v>
      </x:c>
      <x:c r="M141" s="22" t="n">
        <x:f>COUNT(H141:K141)</x:f>
        <x:v>4</x:v>
      </x:c>
      <x:c r="N141" s="25" t="n">
        <x:v>46210.543900254626</x:v>
      </x:c>
      <x:c r="O141" s="24" t="n">
        <x:v>8902245</x:v>
      </x:c>
      <x:c r="P141" t="str">
        <x:v>legacy_common_sample_8902245</x:v>
      </x:c>
      <x:c r="Q141" t="str">
        <x:v>factor_report/gtja191_batch/gtja_093</x:v>
      </x:c>
    </x:row>
    <x:row r="142">
      <x:c r="A142" s="22" t="n">
        <x:f>IF($D142="ranked",1+COUNTIFS($D$5:$D$190,"ranked",$E$5:$E$190,"&gt;"&amp;$E142),"")</x:f>
        <x:v>138</x:v>
      </x:c>
      <x:c r="B142" s="22" t="n">
        <x:f>IF($D142="ranked",1+COUNTIFS($D$5:$D$190,"ranked",$F$5:$F$190,"&gt;"&amp;$F142),"")</x:f>
        <x:v>60</x:v>
      </x:c>
      <x:c r="C142" t="str">
        <x:v>gtja_074</x:v>
      </x:c>
      <x:c r="D142" t="str">
        <x:v>ranked</x:v>
      </x:c>
      <x:c r="E142" s="23" t="n">
        <x:f>IF(COUNT(J142,K142)&lt;2,"",AVERAGE(J142,K142))</x:f>
        <x:v>-0.043439929742364644</x:v>
      </x:c>
      <x:c r="F142" s="23" t="n">
        <x:f>IF(E142="","",ABS(E142))</x:f>
        <x:v>0.043439929742364644</x:v>
      </x:c>
      <x:c r="G142" s="23" t="str">
        <x:f>IF(E142="","",IF(E142&gt;=0,"positive","negative"))</x:f>
        <x:v>negative</x:v>
      </x:c>
      <x:c r="H142" s="23" t="n">
        <x:f>IF(COUNTIFS('Raw IC'!$A$5:$A$546,$C142,'Raw IC'!$B$5:$B$546,1)=0,"",SUMIFS('Raw IC'!$C$5:$C$546,'Raw IC'!$A$5:$A$546,$C142,'Raw IC'!$B$5:$B$546,1))</x:f>
        <x:v>-0.027244210725221606</x:v>
      </x:c>
      <x:c r="I142" s="23" t="n">
        <x:f>IF(COUNTIFS('Raw IC'!$A$5:$A$546,$C142,'Raw IC'!$B$5:$B$546,5)=0,"",SUMIFS('Raw IC'!$C$5:$C$546,'Raw IC'!$A$5:$A$546,$C142,'Raw IC'!$B$5:$B$546,5))</x:f>
        <x:v>-0.03686528582499111</x:v>
      </x:c>
      <x:c r="J142" s="23" t="n">
        <x:f>IF(COUNTIFS('Raw IC'!$A$5:$A$546,$C142,'Raw IC'!$B$5:$B$546,10)=0,"",SUMIFS('Raw IC'!$C$5:$C$546,'Raw IC'!$A$5:$A$546,$C142,'Raw IC'!$B$5:$B$546,10))</x:f>
        <x:v>-0.04191406627113578</x:v>
      </x:c>
      <x:c r="K142" s="23" t="n">
        <x:f>IF(COUNTIFS('Raw IC'!$A$5:$A$546,$C142,'Raw IC'!$B$5:$B$546,20)=0,"",SUMIFS('Raw IC'!$C$5:$C$546,'Raw IC'!$A$5:$A$546,$C142,'Raw IC'!$B$5:$B$546,20))</x:f>
        <x:v>-0.04496579321359351</x:v>
      </x:c>
      <x:c r="L142" s="23" t="n">
        <x:f>IF(COUNT(H142:K142)=0,"",AVERAGE(H142:K142))</x:f>
        <x:v>-0.0377473390087355</x:v>
      </x:c>
      <x:c r="M142" s="22" t="n">
        <x:f>COUNT(H142:K142)</x:f>
        <x:v>4</x:v>
      </x:c>
      <x:c r="N142" s="25" t="n">
        <x:v>46210.45096833333</x:v>
      </x:c>
      <x:c r="O142" s="24" t="n">
        <x:v>8902245</x:v>
      </x:c>
      <x:c r="P142" t="str">
        <x:v>legacy_common_sample_8902245</x:v>
      </x:c>
      <x:c r="Q142" t="str">
        <x:v>factor_report/gtja191_batch/gtja_074</x:v>
      </x:c>
    </x:row>
    <x:row r="143">
      <x:c r="A143" s="22" t="n">
        <x:f>IF($D143="ranked",1+COUNTIFS($D$5:$D$190,"ranked",$E$5:$E$190,"&gt;"&amp;$E143),"")</x:f>
        <x:v>139</x:v>
      </x:c>
      <x:c r="B143" s="22" t="n">
        <x:f>IF($D143="ranked",1+COUNTIFS($D$5:$D$190,"ranked",$F$5:$F$190,"&gt;"&amp;$F143),"")</x:f>
        <x:v>58</x:v>
      </x:c>
      <x:c r="C143" t="str">
        <x:v>gtja_134</x:v>
      </x:c>
      <x:c r="D143" t="str">
        <x:v>ranked</x:v>
      </x:c>
      <x:c r="E143" s="23" t="n">
        <x:f>IF(COUNT(J143,K143)&lt;2,"",AVERAGE(J143,K143))</x:f>
        <x:v>-0.04538092628239135</x:v>
      </x:c>
      <x:c r="F143" s="23" t="n">
        <x:f>IF(E143="","",ABS(E143))</x:f>
        <x:v>0.04538092628239135</x:v>
      </x:c>
      <x:c r="G143" s="23" t="str">
        <x:f>IF(E143="","",IF(E143&gt;=0,"positive","negative"))</x:f>
        <x:v>negative</x:v>
      </x:c>
      <x:c r="H143" s="23" t="n">
        <x:f>IF(COUNTIFS('Raw IC'!$A$5:$A$546,$C143,'Raw IC'!$B$5:$B$546,1)=0,"",SUMIFS('Raw IC'!$C$5:$C$546,'Raw IC'!$A$5:$A$546,$C143,'Raw IC'!$B$5:$B$546,1))</x:f>
        <x:v>-0.029488529845635405</x:v>
      </x:c>
      <x:c r="I143" s="23" t="n">
        <x:f>IF(COUNTIFS('Raw IC'!$A$5:$A$546,$C143,'Raw IC'!$B$5:$B$546,5)=0,"",SUMIFS('Raw IC'!$C$5:$C$546,'Raw IC'!$A$5:$A$546,$C143,'Raw IC'!$B$5:$B$546,5))</x:f>
        <x:v>-0.03918308328877937</x:v>
      </x:c>
      <x:c r="J143" s="23" t="n">
        <x:f>IF(COUNTIFS('Raw IC'!$A$5:$A$546,$C143,'Raw IC'!$B$5:$B$546,10)=0,"",SUMIFS('Raw IC'!$C$5:$C$546,'Raw IC'!$A$5:$A$546,$C143,'Raw IC'!$B$5:$B$546,10))</x:f>
        <x:v>-0.04263355463572557</x:v>
      </x:c>
      <x:c r="K143" s="23" t="n">
        <x:f>IF(COUNTIFS('Raw IC'!$A$5:$A$546,$C143,'Raw IC'!$B$5:$B$546,20)=0,"",SUMIFS('Raw IC'!$C$5:$C$546,'Raw IC'!$A$5:$A$546,$C143,'Raw IC'!$B$5:$B$546,20))</x:f>
        <x:v>-0.04812829792905713</x:v>
      </x:c>
      <x:c r="L143" s="23" t="n">
        <x:f>IF(COUNT(H143:K143)=0,"",AVERAGE(H143:K143))</x:f>
        <x:v>-0.03985836642479937</x:v>
      </x:c>
      <x:c r="M143" s="22" t="n">
        <x:f>COUNT(H143:K143)</x:f>
        <x:v>4</x:v>
      </x:c>
      <x:c r="N143" s="25" t="n">
        <x:v>46210.74197935185</x:v>
      </x:c>
      <x:c r="O143" s="24" t="n">
        <x:v>8902245</x:v>
      </x:c>
      <x:c r="P143" t="str">
        <x:v>legacy_common_sample_8902245</x:v>
      </x:c>
      <x:c r="Q143" t="str">
        <x:v>factor_report/gtja191_batch/gtja_134</x:v>
      </x:c>
    </x:row>
    <x:row r="144">
      <x:c r="A144" s="22" t="n">
        <x:f>IF($D144="ranked",1+COUNTIFS($D$5:$D$190,"ranked",$E$5:$E$190,"&gt;"&amp;$E144),"")</x:f>
        <x:v>140</x:v>
      </x:c>
      <x:c r="B144" s="22" t="n">
        <x:f>IF($D144="ranked",1+COUNTIFS($D$5:$D$190,"ranked",$F$5:$F$190,"&gt;"&amp;$F144),"")</x:f>
        <x:v>57</x:v>
      </x:c>
      <x:c r="C144" t="str">
        <x:v>gtja_110</x:v>
      </x:c>
      <x:c r="D144" t="str">
        <x:v>ranked</x:v>
      </x:c>
      <x:c r="E144" s="23" t="n">
        <x:f>IF(COUNT(J144,K144)&lt;2,"",AVERAGE(J144,K144))</x:f>
        <x:v>-0.04546166388882626</x:v>
      </x:c>
      <x:c r="F144" s="23" t="n">
        <x:f>IF(E144="","",ABS(E144))</x:f>
        <x:v>0.04546166388882626</x:v>
      </x:c>
      <x:c r="G144" s="23" t="str">
        <x:f>IF(E144="","",IF(E144&gt;=0,"positive","negative"))</x:f>
        <x:v>negative</x:v>
      </x:c>
      <x:c r="H144" s="23" t="n">
        <x:f>IF(COUNTIFS('Raw IC'!$A$5:$A$546,$C144,'Raw IC'!$B$5:$B$546,1)=0,"",SUMIFS('Raw IC'!$C$5:$C$546,'Raw IC'!$A$5:$A$546,$C144,'Raw IC'!$B$5:$B$546,1))</x:f>
        <x:v>-0.031266266000029894</x:v>
      </x:c>
      <x:c r="I144" s="23" t="n">
        <x:f>IF(COUNTIFS('Raw IC'!$A$5:$A$546,$C144,'Raw IC'!$B$5:$B$546,5)=0,"",SUMIFS('Raw IC'!$C$5:$C$546,'Raw IC'!$A$5:$A$546,$C144,'Raw IC'!$B$5:$B$546,5))</x:f>
        <x:v>-0.03999776918303655</x:v>
      </x:c>
      <x:c r="J144" s="23" t="n">
        <x:f>IF(COUNTIFS('Raw IC'!$A$5:$A$546,$C144,'Raw IC'!$B$5:$B$546,10)=0,"",SUMIFS('Raw IC'!$C$5:$C$546,'Raw IC'!$A$5:$A$546,$C144,'Raw IC'!$B$5:$B$546,10))</x:f>
        <x:v>-0.043642664763510655</x:v>
      </x:c>
      <x:c r="K144" s="23" t="n">
        <x:f>IF(COUNTIFS('Raw IC'!$A$5:$A$546,$C144,'Raw IC'!$B$5:$B$546,20)=0,"",SUMIFS('Raw IC'!$C$5:$C$546,'Raw IC'!$A$5:$A$546,$C144,'Raw IC'!$B$5:$B$546,20))</x:f>
        <x:v>-0.04728066301414187</x:v>
      </x:c>
      <x:c r="L144" s="23" t="n">
        <x:f>IF(COUNT(H144:K144)=0,"",AVERAGE(H144:K144))</x:f>
        <x:v>-0.04054684074017974</x:v>
      </x:c>
      <x:c r="M144" s="22" t="n">
        <x:f>COUNT(H144:K144)</x:f>
        <x:v>4</x:v>
      </x:c>
      <x:c r="N144" s="25" t="n">
        <x:v>46210.616483287034</x:v>
      </x:c>
      <x:c r="O144" s="24" t="n">
        <x:v>8902245</x:v>
      </x:c>
      <x:c r="P144" t="str">
        <x:v>legacy_common_sample_8902245</x:v>
      </x:c>
      <x:c r="Q144" t="str">
        <x:v>factor_report/gtja191_batch/gtja_110</x:v>
      </x:c>
    </x:row>
    <x:row r="145">
      <x:c r="A145" s="22" t="n">
        <x:f>IF($D145="ranked",1+COUNTIFS($D$5:$D$190,"ranked",$E$5:$E$190,"&gt;"&amp;$E145),"")</x:f>
        <x:v>141</x:v>
      </x:c>
      <x:c r="B145" s="22" t="n">
        <x:f>IF($D145="ranked",1+COUNTIFS($D$5:$D$190,"ranked",$F$5:$F$190,"&gt;"&amp;$F145),"")</x:f>
        <x:v>56</x:v>
      </x:c>
      <x:c r="C145" t="str">
        <x:v>gtja_084</x:v>
      </x:c>
      <x:c r="D145" t="str">
        <x:v>ranked</x:v>
      </x:c>
      <x:c r="E145" s="23" t="n">
        <x:f>IF(COUNT(J145,K145)&lt;2,"",AVERAGE(J145,K145))</x:f>
        <x:v>-0.04568502637602176</x:v>
      </x:c>
      <x:c r="F145" s="23" t="n">
        <x:f>IF(E145="","",ABS(E145))</x:f>
        <x:v>0.04568502637602176</x:v>
      </x:c>
      <x:c r="G145" s="23" t="str">
        <x:f>IF(E145="","",IF(E145&gt;=0,"positive","negative"))</x:f>
        <x:v>negative</x:v>
      </x:c>
      <x:c r="H145" s="23" t="n">
        <x:f>IF(COUNTIFS('Raw IC'!$A$5:$A$546,$C145,'Raw IC'!$B$5:$B$546,1)=0,"",SUMIFS('Raw IC'!$C$5:$C$546,'Raw IC'!$A$5:$A$546,$C145,'Raw IC'!$B$5:$B$546,1))</x:f>
        <x:v>-0.024888335831821887</x:v>
      </x:c>
      <x:c r="I145" s="23" t="n">
        <x:f>IF(COUNTIFS('Raw IC'!$A$5:$A$546,$C145,'Raw IC'!$B$5:$B$546,5)=0,"",SUMIFS('Raw IC'!$C$5:$C$546,'Raw IC'!$A$5:$A$546,$C145,'Raw IC'!$B$5:$B$546,5))</x:f>
        <x:v>-0.03447758590742363</x:v>
      </x:c>
      <x:c r="J145" s="23" t="n">
        <x:f>IF(COUNTIFS('Raw IC'!$A$5:$A$546,$C145,'Raw IC'!$B$5:$B$546,10)=0,"",SUMIFS('Raw IC'!$C$5:$C$546,'Raw IC'!$A$5:$A$546,$C145,'Raw IC'!$B$5:$B$546,10))</x:f>
        <x:v>-0.04048932825227205</x:v>
      </x:c>
      <x:c r="K145" s="23" t="n">
        <x:f>IF(COUNTIFS('Raw IC'!$A$5:$A$546,$C145,'Raw IC'!$B$5:$B$546,20)=0,"",SUMIFS('Raw IC'!$C$5:$C$546,'Raw IC'!$A$5:$A$546,$C145,'Raw IC'!$B$5:$B$546,20))</x:f>
        <x:v>-0.05088072449977146</x:v>
      </x:c>
      <x:c r="L145" s="23" t="n">
        <x:f>IF(COUNT(H145:K145)=0,"",AVERAGE(H145:K145))</x:f>
        <x:v>-0.03768399362282226</x:v>
      </x:c>
      <x:c r="M145" s="22" t="n">
        <x:f>COUNT(H145:K145)</x:f>
        <x:v>4</x:v>
      </x:c>
      <x:c r="N145" s="25" t="n">
        <x:v>46210.493655</x:v>
      </x:c>
      <x:c r="O145" s="24" t="n">
        <x:v>8902245</x:v>
      </x:c>
      <x:c r="P145" t="str">
        <x:v>legacy_common_sample_8902245</x:v>
      </x:c>
      <x:c r="Q145" t="str">
        <x:v>factor_report/gtja191_batch/gtja_084</x:v>
      </x:c>
    </x:row>
    <x:row r="146">
      <x:c r="A146" s="22" t="n">
        <x:f>IF($D146="ranked",1+COUNTIFS($D$5:$D$190,"ranked",$E$5:$E$190,"&gt;"&amp;$E146),"")</x:f>
        <x:v>142</x:v>
      </x:c>
      <x:c r="B146" s="22" t="n">
        <x:f>IF($D146="ranked",1+COUNTIFS($D$5:$D$190,"ranked",$F$5:$F$190,"&gt;"&amp;$F146),"")</x:f>
        <x:v>54</x:v>
      </x:c>
      <x:c r="C146" t="str">
        <x:v>gtja_153</x:v>
      </x:c>
      <x:c r="D146" t="str">
        <x:v>ranked</x:v>
      </x:c>
      <x:c r="E146" s="23" t="n">
        <x:f>IF(COUNT(J146,K146)&lt;2,"",AVERAGE(J146,K146))</x:f>
        <x:v>-0.04602155555801069</x:v>
      </x:c>
      <x:c r="F146" s="23" t="n">
        <x:f>IF(E146="","",ABS(E146))</x:f>
        <x:v>0.04602155555801069</x:v>
      </x:c>
      <x:c r="G146" s="23" t="str">
        <x:f>IF(E146="","",IF(E146&gt;=0,"positive","negative"))</x:f>
        <x:v>negative</x:v>
      </x:c>
      <x:c r="H146" s="23" t="n">
        <x:f>IF(COUNTIFS('Raw IC'!$A$5:$A$546,$C146,'Raw IC'!$B$5:$B$546,1)=0,"",SUMIFS('Raw IC'!$C$5:$C$546,'Raw IC'!$A$5:$A$546,$C146,'Raw IC'!$B$5:$B$546,1))</x:f>
        <x:v>-0.019613177718020416</x:v>
      </x:c>
      <x:c r="I146" s="23" t="n">
        <x:f>IF(COUNTIFS('Raw IC'!$A$5:$A$546,$C146,'Raw IC'!$B$5:$B$546,5)=0,"",SUMIFS('Raw IC'!$C$5:$C$546,'Raw IC'!$A$5:$A$546,$C146,'Raw IC'!$B$5:$B$546,5))</x:f>
        <x:v>-0.03067373866235267</x:v>
      </x:c>
      <x:c r="J146" s="23" t="n">
        <x:f>IF(COUNTIFS('Raw IC'!$A$5:$A$546,$C146,'Raw IC'!$B$5:$B$546,10)=0,"",SUMIFS('Raw IC'!$C$5:$C$546,'Raw IC'!$A$5:$A$546,$C146,'Raw IC'!$B$5:$B$546,10))</x:f>
        <x:v>-0.03994208451855303</x:v>
      </x:c>
      <x:c r="K146" s="23" t="n">
        <x:f>IF(COUNTIFS('Raw IC'!$A$5:$A$546,$C146,'Raw IC'!$B$5:$B$546,20)=0,"",SUMIFS('Raw IC'!$C$5:$C$546,'Raw IC'!$A$5:$A$546,$C146,'Raw IC'!$B$5:$B$546,20))</x:f>
        <x:v>-0.052101026597468354</x:v>
      </x:c>
      <x:c r="L146" s="23" t="n">
        <x:f>IF(COUNT(H146:K146)=0,"",AVERAGE(H146:K146))</x:f>
        <x:v>-0.03558250687409862</x:v>
      </x:c>
      <x:c r="M146" s="22" t="n">
        <x:f>COUNT(H146:K146)</x:f>
        <x:v>4</x:v>
      </x:c>
      <x:c r="N146" s="25" t="n">
        <x:v>46210.827101863426</x:v>
      </x:c>
      <x:c r="O146" s="24" t="n">
        <x:v>8902245</x:v>
      </x:c>
      <x:c r="P146" t="str">
        <x:v>legacy_common_sample_8902245</x:v>
      </x:c>
      <x:c r="Q146" t="str">
        <x:v>factor_report/gtja191_batch/gtja_153</x:v>
      </x:c>
    </x:row>
    <x:row r="147">
      <x:c r="A147" s="22" t="n">
        <x:f>IF($D147="ranked",1+COUNTIFS($D$5:$D$190,"ranked",$E$5:$E$190,"&gt;"&amp;$E147),"")</x:f>
        <x:v>143</x:v>
      </x:c>
      <x:c r="B147" s="22" t="n">
        <x:f>IF($D147="ranked",1+COUNTIFS($D$5:$D$190,"ranked",$F$5:$F$190,"&gt;"&amp;$F147),"")</x:f>
        <x:v>53</x:v>
      </x:c>
      <x:c r="C147" t="str">
        <x:v>gtja_024</x:v>
      </x:c>
      <x:c r="D147" t="str">
        <x:v>ranked</x:v>
      </x:c>
      <x:c r="E147" s="23" t="n">
        <x:f>IF(COUNT(J147,K147)&lt;2,"",AVERAGE(J147,K147))</x:f>
        <x:v>-0.0464234237756162</x:v>
      </x:c>
      <x:c r="F147" s="23" t="n">
        <x:f>IF(E147="","",ABS(E147))</x:f>
        <x:v>0.0464234237756162</x:v>
      </x:c>
      <x:c r="G147" s="23" t="str">
        <x:f>IF(E147="","",IF(E147&gt;=0,"positive","negative"))</x:f>
        <x:v>negative</x:v>
      </x:c>
      <x:c r="H147" s="23" t="n">
        <x:f>IF(COUNTIFS('Raw IC'!$A$5:$A$546,$C147,'Raw IC'!$B$5:$B$546,1)=0,"",SUMIFS('Raw IC'!$C$5:$C$546,'Raw IC'!$A$5:$A$546,$C147,'Raw IC'!$B$5:$B$546,1))</x:f>
        <x:v>-0.028524501518100643</x:v>
      </x:c>
      <x:c r="I147" s="23" t="n">
        <x:f>IF(COUNTIFS('Raw IC'!$A$5:$A$546,$C147,'Raw IC'!$B$5:$B$546,5)=0,"",SUMIFS('Raw IC'!$C$5:$C$546,'Raw IC'!$A$5:$A$546,$C147,'Raw IC'!$B$5:$B$546,5))</x:f>
        <x:v>-0.037843747955581354</x:v>
      </x:c>
      <x:c r="J147" s="23" t="n">
        <x:f>IF(COUNTIFS('Raw IC'!$A$5:$A$546,$C147,'Raw IC'!$B$5:$B$546,10)=0,"",SUMIFS('Raw IC'!$C$5:$C$546,'Raw IC'!$A$5:$A$546,$C147,'Raw IC'!$B$5:$B$546,10))</x:f>
        <x:v>-0.04380781333991292</x:v>
      </x:c>
      <x:c r="K147" s="23" t="n">
        <x:f>IF(COUNTIFS('Raw IC'!$A$5:$A$546,$C147,'Raw IC'!$B$5:$B$546,20)=0,"",SUMIFS('Raw IC'!$C$5:$C$546,'Raw IC'!$A$5:$A$546,$C147,'Raw IC'!$B$5:$B$546,20))</x:f>
        <x:v>-0.049039034211319485</x:v>
      </x:c>
      <x:c r="L147" s="23" t="n">
        <x:f>IF(COUNT(H147:K147)=0,"",AVERAGE(H147:K147))</x:f>
        <x:v>-0.0398037742562286</x:v>
      </x:c>
      <x:c r="M147" s="22" t="n">
        <x:f>COUNT(H147:K147)</x:f>
        <x:v>4</x:v>
      </x:c>
      <x:c r="N147" s="25" t="n">
        <x:v>46210.21420491898</x:v>
      </x:c>
      <x:c r="O147" s="24" t="n">
        <x:v>8902245</x:v>
      </x:c>
      <x:c r="P147" t="str">
        <x:v>legacy_common_sample_8902245</x:v>
      </x:c>
      <x:c r="Q147" t="str">
        <x:v>factor_report/gtja191_batch/gtja_024</x:v>
      </x:c>
    </x:row>
    <x:row r="148">
      <x:c r="A148" s="22" t="n">
        <x:f>IF($D148="ranked",1+COUNTIFS($D$5:$D$190,"ranked",$E$5:$E$190,"&gt;"&amp;$E148),"")</x:f>
        <x:v>144</x:v>
      </x:c>
      <x:c r="B148" s="22" t="n">
        <x:f>IF($D148="ranked",1+COUNTIFS($D$5:$D$190,"ranked",$F$5:$F$190,"&gt;"&amp;$F148),"")</x:f>
        <x:v>52</x:v>
      </x:c>
      <x:c r="C148" t="str">
        <x:v>gtja_036</x:v>
      </x:c>
      <x:c r="D148" t="str">
        <x:v>ranked</x:v>
      </x:c>
      <x:c r="E148" s="23" t="n">
        <x:f>IF(COUNT(J148,K148)&lt;2,"",AVERAGE(J148,K148))</x:f>
        <x:v>-0.04658837904265489</x:v>
      </x:c>
      <x:c r="F148" s="23" t="n">
        <x:f>IF(E148="","",ABS(E148))</x:f>
        <x:v>0.04658837904265489</x:v>
      </x:c>
      <x:c r="G148" s="23" t="str">
        <x:f>IF(E148="","",IF(E148&gt;=0,"positive","negative"))</x:f>
        <x:v>negative</x:v>
      </x:c>
      <x:c r="H148" s="23" t="n">
        <x:f>IF(COUNTIFS('Raw IC'!$A$5:$A$546,$C148,'Raw IC'!$B$5:$B$546,1)=0,"",SUMIFS('Raw IC'!$C$5:$C$546,'Raw IC'!$A$5:$A$546,$C148,'Raw IC'!$B$5:$B$546,1))</x:f>
        <x:v>-0.028994801088092843</x:v>
      </x:c>
      <x:c r="I148" s="23" t="n">
        <x:f>IF(COUNTIFS('Raw IC'!$A$5:$A$546,$C148,'Raw IC'!$B$5:$B$546,5)=0,"",SUMIFS('Raw IC'!$C$5:$C$546,'Raw IC'!$A$5:$A$546,$C148,'Raw IC'!$B$5:$B$546,5))</x:f>
        <x:v>-0.03964438279450235</x:v>
      </x:c>
      <x:c r="J148" s="23" t="n">
        <x:f>IF(COUNTIFS('Raw IC'!$A$5:$A$546,$C148,'Raw IC'!$B$5:$B$546,10)=0,"",SUMIFS('Raw IC'!$C$5:$C$546,'Raw IC'!$A$5:$A$546,$C148,'Raw IC'!$B$5:$B$546,10))</x:f>
        <x:v>-0.044762888764742104</x:v>
      </x:c>
      <x:c r="K148" s="23" t="n">
        <x:f>IF(COUNTIFS('Raw IC'!$A$5:$A$546,$C148,'Raw IC'!$B$5:$B$546,20)=0,"",SUMIFS('Raw IC'!$C$5:$C$546,'Raw IC'!$A$5:$A$546,$C148,'Raw IC'!$B$5:$B$546,20))</x:f>
        <x:v>-0.048413869320567675</x:v>
      </x:c>
      <x:c r="L148" s="23" t="n">
        <x:f>IF(COUNT(H148:K148)=0,"",AVERAGE(H148:K148))</x:f>
        <x:v>-0.04045398549197624</x:v>
      </x:c>
      <x:c r="M148" s="22" t="n">
        <x:f>COUNT(H148:K148)</x:f>
        <x:v>4</x:v>
      </x:c>
      <x:c r="N148" s="25" t="n">
        <x:v>46210.26318543981</x:v>
      </x:c>
      <x:c r="O148" s="24" t="n">
        <x:v>8902245</x:v>
      </x:c>
      <x:c r="P148" t="str">
        <x:v>legacy_common_sample_8902245</x:v>
      </x:c>
      <x:c r="Q148" t="str">
        <x:v>factor_report/gtja191_batch/gtja_036</x:v>
      </x:c>
    </x:row>
    <x:row r="149">
      <x:c r="A149" s="22" t="n">
        <x:f>IF($D149="ranked",1+COUNTIFS($D$5:$D$190,"ranked",$E$5:$E$190,"&gt;"&amp;$E149),"")</x:f>
        <x:v>145</x:v>
      </x:c>
      <x:c r="B149" s="22" t="n">
        <x:f>IF($D149="ranked",1+COUNTIFS($D$5:$D$190,"ranked",$F$5:$F$190,"&gt;"&amp;$F149),"")</x:f>
        <x:v>51</x:v>
      </x:c>
      <x:c r="C149" t="str">
        <x:v>gtja_151</x:v>
      </x:c>
      <x:c r="D149" t="str">
        <x:v>ranked</x:v>
      </x:c>
      <x:c r="E149" s="23" t="n">
        <x:f>IF(COUNT(J149,K149)&lt;2,"",AVERAGE(J149,K149))</x:f>
        <x:v>-0.04691053936578969</x:v>
      </x:c>
      <x:c r="F149" s="23" t="n">
        <x:f>IF(E149="","",ABS(E149))</x:f>
        <x:v>0.04691053936578969</x:v>
      </x:c>
      <x:c r="G149" s="23" t="str">
        <x:f>IF(E149="","",IF(E149&gt;=0,"positive","negative"))</x:f>
        <x:v>negative</x:v>
      </x:c>
      <x:c r="H149" s="23" t="n">
        <x:f>IF(COUNTIFS('Raw IC'!$A$5:$A$546,$C149,'Raw IC'!$B$5:$B$546,1)=0,"",SUMIFS('Raw IC'!$C$5:$C$546,'Raw IC'!$A$5:$A$546,$C149,'Raw IC'!$B$5:$B$546,1))</x:f>
        <x:v>-0.02290847888460326</x:v>
      </x:c>
      <x:c r="I149" s="23" t="n">
        <x:f>IF(COUNTIFS('Raw IC'!$A$5:$A$546,$C149,'Raw IC'!$B$5:$B$546,5)=0,"",SUMIFS('Raw IC'!$C$5:$C$546,'Raw IC'!$A$5:$A$546,$C149,'Raw IC'!$B$5:$B$546,5))</x:f>
        <x:v>-0.03830023224214012</x:v>
      </x:c>
      <x:c r="J149" s="23" t="n">
        <x:f>IF(COUNTIFS('Raw IC'!$A$5:$A$546,$C149,'Raw IC'!$B$5:$B$546,10)=0,"",SUMIFS('Raw IC'!$C$5:$C$546,'Raw IC'!$A$5:$A$546,$C149,'Raw IC'!$B$5:$B$546,10))</x:f>
        <x:v>-0.04543164372225063</x:v>
      </x:c>
      <x:c r="K149" s="23" t="n">
        <x:f>IF(COUNTIFS('Raw IC'!$A$5:$A$546,$C149,'Raw IC'!$B$5:$B$546,20)=0,"",SUMIFS('Raw IC'!$C$5:$C$546,'Raw IC'!$A$5:$A$546,$C149,'Raw IC'!$B$5:$B$546,20))</x:f>
        <x:v>-0.048389435009328755</x:v>
      </x:c>
      <x:c r="L149" s="23" t="n">
        <x:f>IF(COUNT(H149:K149)=0,"",AVERAGE(H149:K149))</x:f>
        <x:v>-0.038757447464580694</x:v>
      </x:c>
      <x:c r="M149" s="22" t="n">
        <x:f>COUNT(H149:K149)</x:f>
        <x:v>4</x:v>
      </x:c>
      <x:c r="N149" s="25" t="n">
        <x:v>46210.81806668981</x:v>
      </x:c>
      <x:c r="O149" s="24" t="n">
        <x:v>8902245</x:v>
      </x:c>
      <x:c r="P149" t="str">
        <x:v>legacy_common_sample_8902245</x:v>
      </x:c>
      <x:c r="Q149" t="str">
        <x:v>factor_report/gtja191_batch/gtja_151</x:v>
      </x:c>
    </x:row>
    <x:row r="150">
      <x:c r="A150" s="22" t="n">
        <x:f>IF($D150="ranked",1+COUNTIFS($D$5:$D$190,"ranked",$E$5:$E$190,"&gt;"&amp;$E150),"")</x:f>
        <x:v>146</x:v>
      </x:c>
      <x:c r="B150" s="22" t="n">
        <x:f>IF($D150="ranked",1+COUNTIFS($D$5:$D$190,"ranked",$F$5:$F$190,"&gt;"&amp;$F150),"")</x:f>
        <x:v>50</x:v>
      </x:c>
      <x:c r="C150" t="str">
        <x:v>gtja_079</x:v>
      </x:c>
      <x:c r="D150" t="str">
        <x:v>ranked</x:v>
      </x:c>
      <x:c r="E150" s="23" t="n">
        <x:f>IF(COUNT(J150,K150)&lt;2,"",AVERAGE(J150,K150))</x:f>
        <x:v>-0.047236690109040774</x:v>
      </x:c>
      <x:c r="F150" s="23" t="n">
        <x:f>IF(E150="","",ABS(E150))</x:f>
        <x:v>0.047236690109040774</x:v>
      </x:c>
      <x:c r="G150" s="23" t="str">
        <x:f>IF(E150="","",IF(E150&gt;=0,"positive","negative"))</x:f>
        <x:v>negative</x:v>
      </x:c>
      <x:c r="H150" s="23" t="n">
        <x:f>IF(COUNTIFS('Raw IC'!$A$5:$A$546,$C150,'Raw IC'!$B$5:$B$546,1)=0,"",SUMIFS('Raw IC'!$C$5:$C$546,'Raw IC'!$A$5:$A$546,$C150,'Raw IC'!$B$5:$B$546,1))</x:f>
        <x:v>-0.03433320624149432</x:v>
      </x:c>
      <x:c r="I150" s="23" t="n">
        <x:f>IF(COUNTIFS('Raw IC'!$A$5:$A$546,$C150,'Raw IC'!$B$5:$B$546,5)=0,"",SUMIFS('Raw IC'!$C$5:$C$546,'Raw IC'!$A$5:$A$546,$C150,'Raw IC'!$B$5:$B$546,5))</x:f>
        <x:v>-0.04118816438031043</x:v>
      </x:c>
      <x:c r="J150" s="23" t="n">
        <x:f>IF(COUNTIFS('Raw IC'!$A$5:$A$546,$C150,'Raw IC'!$B$5:$B$546,10)=0,"",SUMIFS('Raw IC'!$C$5:$C$546,'Raw IC'!$A$5:$A$546,$C150,'Raw IC'!$B$5:$B$546,10))</x:f>
        <x:v>-0.04441185606748134</x:v>
      </x:c>
      <x:c r="K150" s="23" t="n">
        <x:f>IF(COUNTIFS('Raw IC'!$A$5:$A$546,$C150,'Raw IC'!$B$5:$B$546,20)=0,"",SUMIFS('Raw IC'!$C$5:$C$546,'Raw IC'!$A$5:$A$546,$C150,'Raw IC'!$B$5:$B$546,20))</x:f>
        <x:v>-0.050061524150600216</x:v>
      </x:c>
      <x:c r="L150" s="23" t="n">
        <x:f>IF(COUNT(H150:K150)=0,"",AVERAGE(H150:K150))</x:f>
        <x:v>-0.042498687709971575</x:v>
      </x:c>
      <x:c r="M150" s="22" t="n">
        <x:f>COUNT(H150:K150)</x:f>
        <x:v>4</x:v>
      </x:c>
      <x:c r="N150" s="25" t="n">
        <x:v>46210.47234655092</x:v>
      </x:c>
      <x:c r="O150" s="24" t="n">
        <x:v>8902245</x:v>
      </x:c>
      <x:c r="P150" t="str">
        <x:v>legacy_common_sample_8902245</x:v>
      </x:c>
      <x:c r="Q150" t="str">
        <x:v>factor_report/gtja191_batch/gtja_079</x:v>
      </x:c>
    </x:row>
    <x:row r="151">
      <x:c r="A151" s="22" t="n">
        <x:f>IF($D151="ranked",1+COUNTIFS($D$5:$D$190,"ranked",$E$5:$E$190,"&gt;"&amp;$E151),"")</x:f>
        <x:v>147</x:v>
      </x:c>
      <x:c r="B151" s="22" t="n">
        <x:f>IF($D151="ranked",1+COUNTIFS($D$5:$D$190,"ranked",$F$5:$F$190,"&gt;"&amp;$F151),"")</x:f>
        <x:v>49</x:v>
      </x:c>
      <x:c r="C151" t="str">
        <x:v>gtja_040</x:v>
      </x:c>
      <x:c r="D151" t="str">
        <x:v>ranked</x:v>
      </x:c>
      <x:c r="E151" s="23" t="n">
        <x:f>IF(COUNT(J151,K151)&lt;2,"",AVERAGE(J151,K151))</x:f>
        <x:v>-0.047371775744331414</x:v>
      </x:c>
      <x:c r="F151" s="23" t="n">
        <x:f>IF(E151="","",ABS(E151))</x:f>
        <x:v>0.047371775744331414</x:v>
      </x:c>
      <x:c r="G151" s="23" t="str">
        <x:f>IF(E151="","",IF(E151&gt;=0,"positive","negative"))</x:f>
        <x:v>negative</x:v>
      </x:c>
      <x:c r="H151" s="23" t="n">
        <x:f>IF(COUNTIFS('Raw IC'!$A$5:$A$546,$C151,'Raw IC'!$B$5:$B$546,1)=0,"",SUMIFS('Raw IC'!$C$5:$C$546,'Raw IC'!$A$5:$A$546,$C151,'Raw IC'!$B$5:$B$546,1))</x:f>
        <x:v>-0.02654794058961285</x:v>
      </x:c>
      <x:c r="I151" s="23" t="n">
        <x:f>IF(COUNTIFS('Raw IC'!$A$5:$A$546,$C151,'Raw IC'!$B$5:$B$546,5)=0,"",SUMIFS('Raw IC'!$C$5:$C$546,'Raw IC'!$A$5:$A$546,$C151,'Raw IC'!$B$5:$B$546,5))</x:f>
        <x:v>-0.03642274414130226</x:v>
      </x:c>
      <x:c r="J151" s="23" t="n">
        <x:f>IF(COUNTIFS('Raw IC'!$A$5:$A$546,$C151,'Raw IC'!$B$5:$B$546,10)=0,"",SUMIFS('Raw IC'!$C$5:$C$546,'Raw IC'!$A$5:$A$546,$C151,'Raw IC'!$B$5:$B$546,10))</x:f>
        <x:v>-0.04229069341419118</x:v>
      </x:c>
      <x:c r="K151" s="23" t="n">
        <x:f>IF(COUNTIFS('Raw IC'!$A$5:$A$546,$C151,'Raw IC'!$B$5:$B$546,20)=0,"",SUMIFS('Raw IC'!$C$5:$C$546,'Raw IC'!$A$5:$A$546,$C151,'Raw IC'!$B$5:$B$546,20))</x:f>
        <x:v>-0.05245285807447165</x:v>
      </x:c>
      <x:c r="L151" s="23" t="n">
        <x:f>IF(COUNT(H151:K151)=0,"",AVERAGE(H151:K151))</x:f>
        <x:v>-0.03942855905489448</x:v>
      </x:c>
      <x:c r="M151" s="22" t="n">
        <x:f>COUNT(H151:K151)</x:f>
        <x:v>4</x:v>
      </x:c>
      <x:c r="N151" s="25" t="n">
        <x:v>46210.279919872686</x:v>
      </x:c>
      <x:c r="O151" s="24" t="n">
        <x:v>8902245</x:v>
      </x:c>
      <x:c r="P151" t="str">
        <x:v>legacy_common_sample_8902245</x:v>
      </x:c>
      <x:c r="Q151" t="str">
        <x:v>factor_report/gtja191_batch/gtja_040</x:v>
      </x:c>
    </x:row>
    <x:row r="152">
      <x:c r="A152" s="22" t="n">
        <x:f>IF($D152="ranked",1+COUNTIFS($D$5:$D$190,"ranked",$E$5:$E$190,"&gt;"&amp;$E152),"")</x:f>
        <x:v>148</x:v>
      </x:c>
      <x:c r="B152" s="22" t="n">
        <x:f>IF($D152="ranked",1+COUNTIFS($D$5:$D$190,"ranked",$F$5:$F$190,"&gt;"&amp;$F152),"")</x:f>
        <x:v>45</x:v>
      </x:c>
      <x:c r="C152" t="str">
        <x:v>gtja_126</x:v>
      </x:c>
      <x:c r="D152" t="str">
        <x:v>ranked</x:v>
      </x:c>
      <x:c r="E152" s="23" t="n">
        <x:f>IF(COUNT(J152,K152)&lt;2,"",AVERAGE(J152,K152))</x:f>
        <x:v>-0.048851744476394315</x:v>
      </x:c>
      <x:c r="F152" s="23" t="n">
        <x:f>IF(E152="","",ABS(E152))</x:f>
        <x:v>0.048851744476394315</x:v>
      </x:c>
      <x:c r="G152" s="23" t="str">
        <x:f>IF(E152="","",IF(E152&gt;=0,"positive","negative"))</x:f>
        <x:v>negative</x:v>
      </x:c>
      <x:c r="H152" s="23" t="n">
        <x:f>IF(COUNTIFS('Raw IC'!$A$5:$A$546,$C152,'Raw IC'!$B$5:$B$546,1)=0,"",SUMIFS('Raw IC'!$C$5:$C$546,'Raw IC'!$A$5:$A$546,$C152,'Raw IC'!$B$5:$B$546,1))</x:f>
        <x:v>-0.021097965625745237</x:v>
      </x:c>
      <x:c r="I152" s="23" t="n">
        <x:f>IF(COUNTIFS('Raw IC'!$A$5:$A$546,$C152,'Raw IC'!$B$5:$B$546,5)=0,"",SUMIFS('Raw IC'!$C$5:$C$546,'Raw IC'!$A$5:$A$546,$C152,'Raw IC'!$B$5:$B$546,5))</x:f>
        <x:v>-0.03298399488289722</x:v>
      </x:c>
      <x:c r="J152" s="23" t="n">
        <x:f>IF(COUNTIFS('Raw IC'!$A$5:$A$546,$C152,'Raw IC'!$B$5:$B$546,10)=0,"",SUMIFS('Raw IC'!$C$5:$C$546,'Raw IC'!$A$5:$A$546,$C152,'Raw IC'!$B$5:$B$546,10))</x:f>
        <x:v>-0.042572173846866894</x:v>
      </x:c>
      <x:c r="K152" s="23" t="n">
        <x:f>IF(COUNTIFS('Raw IC'!$A$5:$A$546,$C152,'Raw IC'!$B$5:$B$546,20)=0,"",SUMIFS('Raw IC'!$C$5:$C$546,'Raw IC'!$A$5:$A$546,$C152,'Raw IC'!$B$5:$B$546,20))</x:f>
        <x:v>-0.05513131510592174</x:v>
      </x:c>
      <x:c r="L152" s="23" t="n">
        <x:f>IF(COUNT(H152:K152)=0,"",AVERAGE(H152:K152))</x:f>
        <x:v>-0.03794636236535777</x:v>
      </x:c>
      <x:c r="M152" s="22" t="n">
        <x:f>COUNT(H152:K152)</x:f>
        <x:v>4</x:v>
      </x:c>
      <x:c r="N152" s="25" t="n">
        <x:v>46210.70792734954</x:v>
      </x:c>
      <x:c r="O152" s="24" t="n">
        <x:v>8902245</x:v>
      </x:c>
      <x:c r="P152" t="str">
        <x:v>legacy_common_sample_8902245</x:v>
      </x:c>
      <x:c r="Q152" t="str">
        <x:v>factor_report/gtja191_batch/gtja_126</x:v>
      </x:c>
    </x:row>
    <x:row r="153">
      <x:c r="A153" s="22" t="n">
        <x:f>IF($D153="ranked",1+COUNTIFS($D$5:$D$190,"ranked",$E$5:$E$190,"&gt;"&amp;$E153),"")</x:f>
        <x:v>149</x:v>
      </x:c>
      <x:c r="B153" s="22" t="n">
        <x:f>IF($D153="ranked",1+COUNTIFS($D$5:$D$190,"ranked",$F$5:$F$190,"&gt;"&amp;$F153),"")</x:f>
        <x:v>44</x:v>
      </x:c>
      <x:c r="C153" t="str">
        <x:v>gtja_010</x:v>
      </x:c>
      <x:c r="D153" t="str">
        <x:v>ranked</x:v>
      </x:c>
      <x:c r="E153" s="23" t="n">
        <x:f>IF(COUNT(J153,K153)&lt;2,"",AVERAGE(J153,K153))</x:f>
        <x:v>-0.04933093013239207</x:v>
      </x:c>
      <x:c r="F153" s="23" t="n">
        <x:f>IF(E153="","",ABS(E153))</x:f>
        <x:v>0.04933093013239207</x:v>
      </x:c>
      <x:c r="G153" s="23" t="str">
        <x:f>IF(E153="","",IF(E153&gt;=0,"positive","negative"))</x:f>
        <x:v>negative</x:v>
      </x:c>
      <x:c r="H153" s="23" t="n">
        <x:f>IF(COUNTIFS('Raw IC'!$A$5:$A$546,$C153,'Raw IC'!$B$5:$B$546,1)=0,"",SUMIFS('Raw IC'!$C$5:$C$546,'Raw IC'!$A$5:$A$546,$C153,'Raw IC'!$B$5:$B$546,1))</x:f>
        <x:v>-0.02171232407919523</x:v>
      </x:c>
      <x:c r="I153" s="23" t="n">
        <x:f>IF(COUNTIFS('Raw IC'!$A$5:$A$546,$C153,'Raw IC'!$B$5:$B$546,5)=0,"",SUMIFS('Raw IC'!$C$5:$C$546,'Raw IC'!$A$5:$A$546,$C153,'Raw IC'!$B$5:$B$546,5))</x:f>
        <x:v>-0.03356127152475525</x:v>
      </x:c>
      <x:c r="J153" s="23" t="n">
        <x:f>IF(COUNTIFS('Raw IC'!$A$5:$A$546,$C153,'Raw IC'!$B$5:$B$546,10)=0,"",SUMIFS('Raw IC'!$C$5:$C$546,'Raw IC'!$A$5:$A$546,$C153,'Raw IC'!$B$5:$B$546,10))</x:f>
        <x:v>-0.043108207262912986</x:v>
      </x:c>
      <x:c r="K153" s="23" t="n">
        <x:f>IF(COUNTIFS('Raw IC'!$A$5:$A$546,$C153,'Raw IC'!$B$5:$B$546,20)=0,"",SUMIFS('Raw IC'!$C$5:$C$546,'Raw IC'!$A$5:$A$546,$C153,'Raw IC'!$B$5:$B$546,20))</x:f>
        <x:v>-0.05555365300187116</x:v>
      </x:c>
      <x:c r="L153" s="23" t="n">
        <x:f>IF(COUNT(H153:K153)=0,"",AVERAGE(H153:K153))</x:f>
        <x:v>-0.03848386396718365</x:v>
      </x:c>
      <x:c r="M153" s="22" t="n">
        <x:f>COUNT(H153:K153)</x:f>
        <x:v>4</x:v>
      </x:c>
      <x:c r="N153" s="25" t="n">
        <x:v>46210.15392069444</x:v>
      </x:c>
      <x:c r="O153" s="24" t="n">
        <x:v>8902245</x:v>
      </x:c>
      <x:c r="P153" t="str">
        <x:v>legacy_common_sample_8902245</x:v>
      </x:c>
      <x:c r="Q153" t="str">
        <x:v>factor_report/gtja191_batch/gtja_010</x:v>
      </x:c>
    </x:row>
    <x:row r="154">
      <x:c r="A154" s="22" t="n">
        <x:f>IF($D154="ranked",1+COUNTIFS($D$5:$D$190,"ranked",$E$5:$E$190,"&gt;"&amp;$E154),"")</x:f>
        <x:v>150</x:v>
      </x:c>
      <x:c r="B154" s="22" t="n">
        <x:f>IF($D154="ranked",1+COUNTIFS($D$5:$D$190,"ranked",$F$5:$F$190,"&gt;"&amp;$F154),"")</x:f>
        <x:v>43</x:v>
      </x:c>
      <x:c r="C154" t="str">
        <x:v>gtja_147</x:v>
      </x:c>
      <x:c r="D154" t="str">
        <x:v>ranked</x:v>
      </x:c>
      <x:c r="E154" s="23" t="n">
        <x:f>IF(COUNT(J154,K154)&lt;2,"",AVERAGE(J154,K154))</x:f>
        <x:v>-0.049381629954987696</x:v>
      </x:c>
      <x:c r="F154" s="23" t="n">
        <x:f>IF(E154="","",ABS(E154))</x:f>
        <x:v>0.049381629954987696</x:v>
      </x:c>
      <x:c r="G154" s="23" t="str">
        <x:f>IF(E154="","",IF(E154&gt;=0,"positive","negative"))</x:f>
        <x:v>negative</x:v>
      </x:c>
      <x:c r="H154" s="23" t="n">
        <x:f>IF(COUNTIFS('Raw IC'!$A$5:$A$546,$C154,'Raw IC'!$B$5:$B$546,1)=0,"",SUMIFS('Raw IC'!$C$5:$C$546,'Raw IC'!$A$5:$A$546,$C154,'Raw IC'!$B$5:$B$546,1))</x:f>
        <x:v>-0.024348611738280894</x:v>
      </x:c>
      <x:c r="I154" s="23" t="n">
        <x:f>IF(COUNTIFS('Raw IC'!$A$5:$A$546,$C154,'Raw IC'!$B$5:$B$546,5)=0,"",SUMIFS('Raw IC'!$C$5:$C$546,'Raw IC'!$A$5:$A$546,$C154,'Raw IC'!$B$5:$B$546,5))</x:f>
        <x:v>-0.03906630126821493</x:v>
      </x:c>
      <x:c r="J154" s="23" t="n">
        <x:f>IF(COUNTIFS('Raw IC'!$A$5:$A$546,$C154,'Raw IC'!$B$5:$B$546,10)=0,"",SUMIFS('Raw IC'!$C$5:$C$546,'Raw IC'!$A$5:$A$546,$C154,'Raw IC'!$B$5:$B$546,10))</x:f>
        <x:v>-0.04733611281094676</x:v>
      </x:c>
      <x:c r="K154" s="23" t="n">
        <x:f>IF(COUNTIFS('Raw IC'!$A$5:$A$546,$C154,'Raw IC'!$B$5:$B$546,20)=0,"",SUMIFS('Raw IC'!$C$5:$C$546,'Raw IC'!$A$5:$A$546,$C154,'Raw IC'!$B$5:$B$546,20))</x:f>
        <x:v>-0.05142714709902863</x:v>
      </x:c>
      <x:c r="L154" s="23" t="n">
        <x:f>IF(COUNT(H154:K154)=0,"",AVERAGE(H154:K154))</x:f>
        <x:v>-0.0405445432291178</x:v>
      </x:c>
      <x:c r="M154" s="22" t="n">
        <x:f>COUNT(H154:K154)</x:f>
        <x:v>4</x:v>
      </x:c>
      <x:c r="N154" s="25" t="n">
        <x:v>46210.805681736114</x:v>
      </x:c>
      <x:c r="O154" s="24" t="n">
        <x:v>8902245</x:v>
      </x:c>
      <x:c r="P154" t="str">
        <x:v>legacy_common_sample_8902245</x:v>
      </x:c>
      <x:c r="Q154" t="str">
        <x:v>factor_report/gtja191_batch/gtja_147</x:v>
      </x:c>
    </x:row>
    <x:row r="155">
      <x:c r="A155" s="22" t="n">
        <x:f>IF($D155="ranked",1+COUNTIFS($D$5:$D$190,"ranked",$E$5:$E$190,"&gt;"&amp;$E155),"")</x:f>
        <x:v>151</x:v>
      </x:c>
      <x:c r="B155" s="22" t="n">
        <x:f>IF($D155="ranked",1+COUNTIFS($D$5:$D$190,"ranked",$F$5:$F$190,"&gt;"&amp;$F155),"")</x:f>
        <x:v>42</x:v>
      </x:c>
      <x:c r="C155" t="str">
        <x:v>gtja_173</x:v>
      </x:c>
      <x:c r="D155" t="str">
        <x:v>ranked</x:v>
      </x:c>
      <x:c r="E155" s="23" t="n">
        <x:f>IF(COUNT(J155,K155)&lt;2,"",AVERAGE(J155,K155))</x:f>
        <x:v>-0.04960170286846036</x:v>
      </x:c>
      <x:c r="F155" s="23" t="n">
        <x:f>IF(E155="","",ABS(E155))</x:f>
        <x:v>0.04960170286846036</x:v>
      </x:c>
      <x:c r="G155" s="23" t="str">
        <x:f>IF(E155="","",IF(E155&gt;=0,"positive","negative"))</x:f>
        <x:v>negative</x:v>
      </x:c>
      <x:c r="H155" s="23" t="n">
        <x:f>IF(COUNTIFS('Raw IC'!$A$5:$A$546,$C155,'Raw IC'!$B$5:$B$546,1)=0,"",SUMIFS('Raw IC'!$C$5:$C$546,'Raw IC'!$A$5:$A$546,$C155,'Raw IC'!$B$5:$B$546,1))</x:f>
        <x:v>-0.021278486728351535</x:v>
      </x:c>
      <x:c r="I155" s="23" t="n">
        <x:f>IF(COUNTIFS('Raw IC'!$A$5:$A$546,$C155,'Raw IC'!$B$5:$B$546,5)=0,"",SUMIFS('Raw IC'!$C$5:$C$546,'Raw IC'!$A$5:$A$546,$C155,'Raw IC'!$B$5:$B$546,5))</x:f>
        <x:v>-0.033439889745327314</x:v>
      </x:c>
      <x:c r="J155" s="23" t="n">
        <x:f>IF(COUNTIFS('Raw IC'!$A$5:$A$546,$C155,'Raw IC'!$B$5:$B$546,10)=0,"",SUMIFS('Raw IC'!$C$5:$C$546,'Raw IC'!$A$5:$A$546,$C155,'Raw IC'!$B$5:$B$546,10))</x:f>
        <x:v>-0.04325381637287457</x:v>
      </x:c>
      <x:c r="K155" s="23" t="n">
        <x:f>IF(COUNTIFS('Raw IC'!$A$5:$A$546,$C155,'Raw IC'!$B$5:$B$546,20)=0,"",SUMIFS('Raw IC'!$C$5:$C$546,'Raw IC'!$A$5:$A$546,$C155,'Raw IC'!$B$5:$B$546,20))</x:f>
        <x:v>-0.05594958936404615</x:v>
      </x:c>
      <x:c r="L155" s="23" t="n">
        <x:f>IF(COUNT(H155:K155)=0,"",AVERAGE(H155:K155))</x:f>
        <x:v>-0.03848044555264989</x:v>
      </x:c>
      <x:c r="M155" s="22" t="n">
        <x:f>COUNT(H155:K155)</x:f>
        <x:v>4</x:v>
      </x:c>
      <x:c r="N155" s="25" t="n">
        <x:v>46210.91649931713</x:v>
      </x:c>
      <x:c r="O155" s="24" t="n">
        <x:v>8902245</x:v>
      </x:c>
      <x:c r="P155" t="str">
        <x:v>legacy_common_sample_8902245</x:v>
      </x:c>
      <x:c r="Q155" t="str">
        <x:v>factor_report/gtja191_batch/gtja_173</x:v>
      </x:c>
    </x:row>
    <x:row r="156">
      <x:c r="A156" s="22" t="n">
        <x:f>IF($D156="ranked",1+COUNTIFS($D$5:$D$190,"ranked",$E$5:$E$190,"&gt;"&amp;$E156),"")</x:f>
        <x:v>152</x:v>
      </x:c>
      <x:c r="B156" s="22" t="n">
        <x:f>IF($D156="ranked",1+COUNTIFS($D$5:$D$190,"ranked",$F$5:$F$190,"&gt;"&amp;$F156),"")</x:f>
        <x:v>39</x:v>
      </x:c>
      <x:c r="C156" t="str">
        <x:v>gtja_160</x:v>
      </x:c>
      <x:c r="D156" t="str">
        <x:v>ranked</x:v>
      </x:c>
      <x:c r="E156" s="23" t="n">
        <x:f>IF(COUNT(J156,K156)&lt;2,"",AVERAGE(J156,K156))</x:f>
        <x:v>-0.05196382782842272</x:v>
      </x:c>
      <x:c r="F156" s="23" t="n">
        <x:f>IF(E156="","",ABS(E156))</x:f>
        <x:v>0.05196382782842272</x:v>
      </x:c>
      <x:c r="G156" s="23" t="str">
        <x:f>IF(E156="","",IF(E156&gt;=0,"positive","negative"))</x:f>
        <x:v>negative</x:v>
      </x:c>
      <x:c r="H156" s="23" t="n">
        <x:f>IF(COUNTIFS('Raw IC'!$A$5:$A$546,$C156,'Raw IC'!$B$5:$B$546,1)=0,"",SUMIFS('Raw IC'!$C$5:$C$546,'Raw IC'!$A$5:$A$546,$C156,'Raw IC'!$B$5:$B$546,1))</x:f>
        <x:v>-0.02416931820708422</x:v>
      </x:c>
      <x:c r="I156" s="23" t="n">
        <x:f>IF(COUNTIFS('Raw IC'!$A$5:$A$546,$C156,'Raw IC'!$B$5:$B$546,5)=0,"",SUMIFS('Raw IC'!$C$5:$C$546,'Raw IC'!$A$5:$A$546,$C156,'Raw IC'!$B$5:$B$546,5))</x:f>
        <x:v>-0.035838686284958336</x:v>
      </x:c>
      <x:c r="J156" s="23" t="n">
        <x:f>IF(COUNTIFS('Raw IC'!$A$5:$A$546,$C156,'Raw IC'!$B$5:$B$546,10)=0,"",SUMIFS('Raw IC'!$C$5:$C$546,'Raw IC'!$A$5:$A$546,$C156,'Raw IC'!$B$5:$B$546,10))</x:f>
        <x:v>-0.04511477824717248</x:v>
      </x:c>
      <x:c r="K156" s="23" t="n">
        <x:f>IF(COUNTIFS('Raw IC'!$A$5:$A$546,$C156,'Raw IC'!$B$5:$B$546,20)=0,"",SUMIFS('Raw IC'!$C$5:$C$546,'Raw IC'!$A$5:$A$546,$C156,'Raw IC'!$B$5:$B$546,20))</x:f>
        <x:v>-0.05881287740967297</x:v>
      </x:c>
      <x:c r="L156" s="23" t="n">
        <x:f>IF(COUNT(H156:K156)=0,"",AVERAGE(H156:K156))</x:f>
        <x:v>-0.040983915037222</x:v>
      </x:c>
      <x:c r="M156" s="22" t="n">
        <x:f>COUNT(H156:K156)</x:f>
        <x:v>4</x:v>
      </x:c>
      <x:c r="N156" s="25" t="n">
        <x:v>46210.859459722225</x:v>
      </x:c>
      <x:c r="O156" s="24" t="n">
        <x:v>8902245</x:v>
      </x:c>
      <x:c r="P156" t="str">
        <x:v>legacy_common_sample_8902245</x:v>
      </x:c>
      <x:c r="Q156" t="str">
        <x:v>factor_report/gtja191_batch/gtja_160</x:v>
      </x:c>
    </x:row>
    <x:row r="157">
      <x:c r="A157" s="22" t="n">
        <x:f>IF($D157="ranked",1+COUNTIFS($D$5:$D$190,"ranked",$E$5:$E$190,"&gt;"&amp;$E157),"")</x:f>
        <x:v>153</x:v>
      </x:c>
      <x:c r="B157" s="22" t="n">
        <x:f>IF($D157="ranked",1+COUNTIFS($D$5:$D$190,"ranked",$F$5:$F$190,"&gt;"&amp;$F157),"")</x:f>
        <x:v>38</x:v>
      </x:c>
      <x:c r="C157" t="str">
        <x:v>gtja_094</x:v>
      </x:c>
      <x:c r="D157" t="str">
        <x:v>ranked</x:v>
      </x:c>
      <x:c r="E157" s="23" t="n">
        <x:f>IF(COUNT(J157,K157)&lt;2,"",AVERAGE(J157,K157))</x:f>
        <x:v>-0.05203748911305475</x:v>
      </x:c>
      <x:c r="F157" s="23" t="n">
        <x:f>IF(E157="","",ABS(E157))</x:f>
        <x:v>0.05203748911305475</x:v>
      </x:c>
      <x:c r="G157" s="23" t="str">
        <x:f>IF(E157="","",IF(E157&gt;=0,"positive","negative"))</x:f>
        <x:v>negative</x:v>
      </x:c>
      <x:c r="H157" s="23" t="n">
        <x:f>IF(COUNTIFS('Raw IC'!$A$5:$A$546,$C157,'Raw IC'!$B$5:$B$546,1)=0,"",SUMIFS('Raw IC'!$C$5:$C$546,'Raw IC'!$A$5:$A$546,$C157,'Raw IC'!$B$5:$B$546,1))</x:f>
        <x:v>-0.02474907693028828</x:v>
      </x:c>
      <x:c r="I157" s="23" t="n">
        <x:f>IF(COUNTIFS('Raw IC'!$A$5:$A$546,$C157,'Raw IC'!$B$5:$B$546,5)=0,"",SUMIFS('Raw IC'!$C$5:$C$546,'Raw IC'!$A$5:$A$546,$C157,'Raw IC'!$B$5:$B$546,5))</x:f>
        <x:v>-0.03766305454647896</x:v>
      </x:c>
      <x:c r="J157" s="23" t="n">
        <x:f>IF(COUNTIFS('Raw IC'!$A$5:$A$546,$C157,'Raw IC'!$B$5:$B$546,10)=0,"",SUMIFS('Raw IC'!$C$5:$C$546,'Raw IC'!$A$5:$A$546,$C157,'Raw IC'!$B$5:$B$546,10))</x:f>
        <x:v>-0.04507588483173755</x:v>
      </x:c>
      <x:c r="K157" s="23" t="n">
        <x:f>IF(COUNTIFS('Raw IC'!$A$5:$A$546,$C157,'Raw IC'!$B$5:$B$546,20)=0,"",SUMIFS('Raw IC'!$C$5:$C$546,'Raw IC'!$A$5:$A$546,$C157,'Raw IC'!$B$5:$B$546,20))</x:f>
        <x:v>-0.05899909339437195</x:v>
      </x:c>
      <x:c r="L157" s="23" t="n">
        <x:f>IF(COUNT(H157:K157)=0,"",AVERAGE(H157:K157))</x:f>
        <x:v>-0.04162177742571919</x:v>
      </x:c>
      <x:c r="M157" s="22" t="n">
        <x:f>COUNT(H157:K157)</x:f>
        <x:v>4</x:v>
      </x:c>
      <x:c r="N157" s="25" t="n">
        <x:v>46210.54834915509</x:v>
      </x:c>
      <x:c r="O157" s="24" t="n">
        <x:v>8902245</x:v>
      </x:c>
      <x:c r="P157" t="str">
        <x:v>legacy_common_sample_8902245</x:v>
      </x:c>
      <x:c r="Q157" t="str">
        <x:v>factor_report/gtja191_batch/gtja_094</x:v>
      </x:c>
    </x:row>
    <x:row r="158">
      <x:c r="A158" s="22" t="n">
        <x:f>IF($D158="ranked",1+COUNTIFS($D$5:$D$190,"ranked",$E$5:$E$190,"&gt;"&amp;$E158),"")</x:f>
        <x:v>154</x:v>
      </x:c>
      <x:c r="B158" s="22" t="n">
        <x:f>IF($D158="ranked",1+COUNTIFS($D$5:$D$190,"ranked",$F$5:$F$190,"&gt;"&amp;$F158),"")</x:f>
        <x:v>36</x:v>
      </x:c>
      <x:c r="C158" t="str">
        <x:v>gtja_069</x:v>
      </x:c>
      <x:c r="D158" t="str">
        <x:v>ranked</x:v>
      </x:c>
      <x:c r="E158" s="23" t="n">
        <x:f>IF(COUNT(J158,K158)&lt;2,"",AVERAGE(J158,K158))</x:f>
        <x:v>-0.052615185354731586</x:v>
      </x:c>
      <x:c r="F158" s="23" t="n">
        <x:f>IF(E158="","",ABS(E158))</x:f>
        <x:v>0.052615185354731586</x:v>
      </x:c>
      <x:c r="G158" s="23" t="str">
        <x:f>IF(E158="","",IF(E158&gt;=0,"positive","negative"))</x:f>
        <x:v>negative</x:v>
      </x:c>
      <x:c r="H158" s="23" t="n">
        <x:f>IF(COUNTIFS('Raw IC'!$A$5:$A$546,$C158,'Raw IC'!$B$5:$B$546,1)=0,"",SUMIFS('Raw IC'!$C$5:$C$546,'Raw IC'!$A$5:$A$546,$C158,'Raw IC'!$B$5:$B$546,1))</x:f>
        <x:v>-0.030441659233196375</x:v>
      </x:c>
      <x:c r="I158" s="23" t="n">
        <x:f>IF(COUNTIFS('Raw IC'!$A$5:$A$546,$C158,'Raw IC'!$B$5:$B$546,5)=0,"",SUMIFS('Raw IC'!$C$5:$C$546,'Raw IC'!$A$5:$A$546,$C158,'Raw IC'!$B$5:$B$546,5))</x:f>
        <x:v>-0.04225570397810014</x:v>
      </x:c>
      <x:c r="J158" s="23" t="n">
        <x:f>IF(COUNTIFS('Raw IC'!$A$5:$A$546,$C158,'Raw IC'!$B$5:$B$546,10)=0,"",SUMIFS('Raw IC'!$C$5:$C$546,'Raw IC'!$A$5:$A$546,$C158,'Raw IC'!$B$5:$B$546,10))</x:f>
        <x:v>-0.04872778130626614</x:v>
      </x:c>
      <x:c r="K158" s="23" t="n">
        <x:f>IF(COUNTIFS('Raw IC'!$A$5:$A$546,$C158,'Raw IC'!$B$5:$B$546,20)=0,"",SUMIFS('Raw IC'!$C$5:$C$546,'Raw IC'!$A$5:$A$546,$C158,'Raw IC'!$B$5:$B$546,20))</x:f>
        <x:v>-0.05650258940319703</x:v>
      </x:c>
      <x:c r="L158" s="23" t="n">
        <x:f>IF(COUNT(H158:K158)=0,"",AVERAGE(H158:K158))</x:f>
        <x:v>-0.044481933480189924</x:v>
      </x:c>
      <x:c r="M158" s="22" t="n">
        <x:f>COUNT(H158:K158)</x:f>
        <x:v>4</x:v>
      </x:c>
      <x:c r="N158" s="25" t="n">
        <x:v>46210.41218387731</x:v>
      </x:c>
      <x:c r="O158" s="24" t="n">
        <x:v>8902245</x:v>
      </x:c>
      <x:c r="P158" t="str">
        <x:v>legacy_common_sample_8902245</x:v>
      </x:c>
      <x:c r="Q158" t="str">
        <x:v>factor_report/gtja191_batch/gtja_069</x:v>
      </x:c>
    </x:row>
    <x:row r="159">
      <x:c r="A159" s="22" t="n">
        <x:f>IF($D159="ranked",1+COUNTIFS($D$5:$D$190,"ranked",$E$5:$E$190,"&gt;"&amp;$E159),"")</x:f>
        <x:v>155</x:v>
      </x:c>
      <x:c r="B159" s="22" t="n">
        <x:f>IF($D159="ranked",1+COUNTIFS($D$5:$D$190,"ranked",$F$5:$F$190,"&gt;"&amp;$F159),"")</x:f>
        <x:v>35</x:v>
      </x:c>
      <x:c r="C159" t="str">
        <x:v>gtja_027</x:v>
      </x:c>
      <x:c r="D159" t="str">
        <x:v>ranked</x:v>
      </x:c>
      <x:c r="E159" s="23" t="n">
        <x:f>IF(COUNT(J159,K159)&lt;2,"",AVERAGE(J159,K159))</x:f>
        <x:v>-0.05287371761341557</x:v>
      </x:c>
      <x:c r="F159" s="23" t="n">
        <x:f>IF(E159="","",ABS(E159))</x:f>
        <x:v>0.05287371761341557</x:v>
      </x:c>
      <x:c r="G159" s="23" t="str">
        <x:f>IF(E159="","",IF(E159&gt;=0,"positive","negative"))</x:f>
        <x:v>negative</x:v>
      </x:c>
      <x:c r="H159" s="23" t="n">
        <x:f>IF(COUNTIFS('Raw IC'!$A$5:$A$546,$C159,'Raw IC'!$B$5:$B$546,1)=0,"",SUMIFS('Raw IC'!$C$5:$C$546,'Raw IC'!$A$5:$A$546,$C159,'Raw IC'!$B$5:$B$546,1))</x:f>
        <x:v>-0.03227867179282106</x:v>
      </x:c>
      <x:c r="I159" s="23" t="n">
        <x:f>IF(COUNTIFS('Raw IC'!$A$5:$A$546,$C159,'Raw IC'!$B$5:$B$546,5)=0,"",SUMIFS('Raw IC'!$C$5:$C$546,'Raw IC'!$A$5:$A$546,$C159,'Raw IC'!$B$5:$B$546,5))</x:f>
        <x:v>-0.04258089304277106</x:v>
      </x:c>
      <x:c r="J159" s="23" t="n">
        <x:f>IF(COUNTIFS('Raw IC'!$A$5:$A$546,$C159,'Raw IC'!$B$5:$B$546,10)=0,"",SUMIFS('Raw IC'!$C$5:$C$546,'Raw IC'!$A$5:$A$546,$C159,'Raw IC'!$B$5:$B$546,10))</x:f>
        <x:v>-0.04865420573089825</x:v>
      </x:c>
      <x:c r="K159" s="23" t="n">
        <x:f>IF(COUNTIFS('Raw IC'!$A$5:$A$546,$C159,'Raw IC'!$B$5:$B$546,20)=0,"",SUMIFS('Raw IC'!$C$5:$C$546,'Raw IC'!$A$5:$A$546,$C159,'Raw IC'!$B$5:$B$546,20))</x:f>
        <x:v>-0.057093229495932894</x:v>
      </x:c>
      <x:c r="L159" s="23" t="n">
        <x:f>IF(COUNT(H159:K159)=0,"",AVERAGE(H159:K159))</x:f>
        <x:v>-0.04515175001560581</x:v>
      </x:c>
      <x:c r="M159" s="22" t="n">
        <x:f>COUNT(H159:K159)</x:f>
        <x:v>4</x:v>
      </x:c>
      <x:c r="N159" s="25" t="n">
        <x:v>46210.22519262732</x:v>
      </x:c>
      <x:c r="O159" s="24" t="n">
        <x:v>8902245</x:v>
      </x:c>
      <x:c r="P159" t="str">
        <x:v>legacy_common_sample_8902245</x:v>
      </x:c>
      <x:c r="Q159" t="str">
        <x:v>factor_report/gtja191_batch/gtja_027</x:v>
      </x:c>
    </x:row>
    <x:row r="160">
      <x:c r="A160" s="22" t="n">
        <x:f>IF($D160="ranked",1+COUNTIFS($D$5:$D$190,"ranked",$E$5:$E$190,"&gt;"&amp;$E160),"")</x:f>
        <x:v>156</x:v>
      </x:c>
      <x:c r="B160" s="22" t="n">
        <x:f>IF($D160="ranked",1+COUNTIFS($D$5:$D$190,"ranked",$F$5:$F$190,"&gt;"&amp;$F160),"")</x:f>
        <x:v>34</x:v>
      </x:c>
      <x:c r="C160" t="str">
        <x:v>gtja_116</x:v>
      </x:c>
      <x:c r="D160" t="str">
        <x:v>ranked</x:v>
      </x:c>
      <x:c r="E160" s="23" t="n">
        <x:f>IF(COUNT(J160,K160)&lt;2,"",AVERAGE(J160,K160))</x:f>
        <x:v>-0.053631031166958894</x:v>
      </x:c>
      <x:c r="F160" s="23" t="n">
        <x:f>IF(E160="","",ABS(E160))</x:f>
        <x:v>0.053631031166958894</x:v>
      </x:c>
      <x:c r="G160" s="23" t="str">
        <x:f>IF(E160="","",IF(E160&gt;=0,"positive","negative"))</x:f>
        <x:v>negative</x:v>
      </x:c>
      <x:c r="H160" s="23" t="n">
        <x:f>IF(COUNTIFS('Raw IC'!$A$5:$A$546,$C160,'Raw IC'!$B$5:$B$546,1)=0,"",SUMIFS('Raw IC'!$C$5:$C$546,'Raw IC'!$A$5:$A$546,$C160,'Raw IC'!$B$5:$B$546,1))</x:f>
        <x:v>-0.02825792301025803</x:v>
      </x:c>
      <x:c r="I160" s="23" t="n">
        <x:f>IF(COUNTIFS('Raw IC'!$A$5:$A$546,$C160,'Raw IC'!$B$5:$B$546,5)=0,"",SUMIFS('Raw IC'!$C$5:$C$546,'Raw IC'!$A$5:$A$546,$C160,'Raw IC'!$B$5:$B$546,5))</x:f>
        <x:v>-0.04277419174351928</x:v>
      </x:c>
      <x:c r="J160" s="23" t="n">
        <x:f>IF(COUNTIFS('Raw IC'!$A$5:$A$546,$C160,'Raw IC'!$B$5:$B$546,10)=0,"",SUMIFS('Raw IC'!$C$5:$C$546,'Raw IC'!$A$5:$A$546,$C160,'Raw IC'!$B$5:$B$546,10))</x:f>
        <x:v>-0.05109072393000672</x:v>
      </x:c>
      <x:c r="K160" s="23" t="n">
        <x:f>IF(COUNTIFS('Raw IC'!$A$5:$A$546,$C160,'Raw IC'!$B$5:$B$546,20)=0,"",SUMIFS('Raw IC'!$C$5:$C$546,'Raw IC'!$A$5:$A$546,$C160,'Raw IC'!$B$5:$B$546,20))</x:f>
        <x:v>-0.056171338403911066</x:v>
      </x:c>
      <x:c r="L160" s="23" t="n">
        <x:f>IF(COUNT(H160:K160)=0,"",AVERAGE(H160:K160))</x:f>
        <x:v>-0.044573544271923775</x:v>
      </x:c>
      <x:c r="M160" s="22" t="n">
        <x:f>COUNT(H160:K160)</x:f>
        <x:v>4</x:v>
      </x:c>
      <x:c r="N160" s="25" t="n">
        <x:v>46210.64638673611</x:v>
      </x:c>
      <x:c r="O160" s="24" t="n">
        <x:v>8902245</x:v>
      </x:c>
      <x:c r="P160" t="str">
        <x:v>legacy_common_sample_8902245</x:v>
      </x:c>
      <x:c r="Q160" t="str">
        <x:v>factor_report/gtja191_batch/gtja_116</x:v>
      </x:c>
    </x:row>
    <x:row r="161">
      <x:c r="A161" s="22" t="n">
        <x:f>IF($D161="ranked",1+COUNTIFS($D$5:$D$190,"ranked",$E$5:$E$190,"&gt;"&amp;$E161),"")</x:f>
        <x:v>157</x:v>
      </x:c>
      <x:c r="B161" s="22" t="n">
        <x:f>IF($D161="ranked",1+COUNTIFS($D$5:$D$190,"ranked",$F$5:$F$190,"&gt;"&amp;$F161),"")</x:f>
        <x:v>33</x:v>
      </x:c>
      <x:c r="C161" t="str">
        <x:v>gtja_052</x:v>
      </x:c>
      <x:c r="D161" t="str">
        <x:v>ranked</x:v>
      </x:c>
      <x:c r="E161" s="23" t="n">
        <x:f>IF(COUNT(J161,K161)&lt;2,"",AVERAGE(J161,K161))</x:f>
        <x:v>-0.05384887299485776</x:v>
      </x:c>
      <x:c r="F161" s="23" t="n">
        <x:f>IF(E161="","",ABS(E161))</x:f>
        <x:v>0.05384887299485776</x:v>
      </x:c>
      <x:c r="G161" s="23" t="str">
        <x:f>IF(E161="","",IF(E161&gt;=0,"positive","negative"))</x:f>
        <x:v>negative</x:v>
      </x:c>
      <x:c r="H161" s="23" t="n">
        <x:f>IF(COUNTIFS('Raw IC'!$A$5:$A$546,$C161,'Raw IC'!$B$5:$B$546,1)=0,"",SUMIFS('Raw IC'!$C$5:$C$546,'Raw IC'!$A$5:$A$546,$C161,'Raw IC'!$B$5:$B$546,1))</x:f>
        <x:v>-0.034557619492661715</x:v>
      </x:c>
      <x:c r="I161" s="23" t="n">
        <x:f>IF(COUNTIFS('Raw IC'!$A$5:$A$546,$C161,'Raw IC'!$B$5:$B$546,5)=0,"",SUMIFS('Raw IC'!$C$5:$C$546,'Raw IC'!$A$5:$A$546,$C161,'Raw IC'!$B$5:$B$546,5))</x:f>
        <x:v>-0.04605223865343787</x:v>
      </x:c>
      <x:c r="J161" s="23" t="n">
        <x:f>IF(COUNTIFS('Raw IC'!$A$5:$A$546,$C161,'Raw IC'!$B$5:$B$546,10)=0,"",SUMIFS('Raw IC'!$C$5:$C$546,'Raw IC'!$A$5:$A$546,$C161,'Raw IC'!$B$5:$B$546,10))</x:f>
        <x:v>-0.050813754781149335</x:v>
      </x:c>
      <x:c r="K161" s="23" t="n">
        <x:f>IF(COUNTIFS('Raw IC'!$A$5:$A$546,$C161,'Raw IC'!$B$5:$B$546,20)=0,"",SUMIFS('Raw IC'!$C$5:$C$546,'Raw IC'!$A$5:$A$546,$C161,'Raw IC'!$B$5:$B$546,20))</x:f>
        <x:v>-0.05688399120856618</x:v>
      </x:c>
      <x:c r="L161" s="23" t="n">
        <x:f>IF(COUNT(H161:K161)=0,"",AVERAGE(H161:K161))</x:f>
        <x:v>-0.047076901033953775</x:v>
      </x:c>
      <x:c r="M161" s="22" t="n">
        <x:f>COUNT(H161:K161)</x:f>
        <x:v>4</x:v>
      </x:c>
      <x:c r="N161" s="25" t="n">
        <x:v>46210.3353965162</x:v>
      </x:c>
      <x:c r="O161" s="24" t="n">
        <x:v>8902245</x:v>
      </x:c>
      <x:c r="P161" t="str">
        <x:v>legacy_common_sample_8902245</x:v>
      </x:c>
      <x:c r="Q161" t="str">
        <x:v>factor_report/gtja191_batch/gtja_052</x:v>
      </x:c>
    </x:row>
    <x:row r="162">
      <x:c r="A162" s="22" t="n">
        <x:f>IF($D162="ranked",1+COUNTIFS($D$5:$D$190,"ranked",$E$5:$E$190,"&gt;"&amp;$E162),"")</x:f>
        <x:v>158</x:v>
      </x:c>
      <x:c r="B162" s="22" t="n">
        <x:f>IF($D162="ranked",1+COUNTIFS($D$5:$D$190,"ranked",$F$5:$F$190,"&gt;"&amp;$F162),"")</x:f>
        <x:v>32</x:v>
      </x:c>
      <x:c r="C162" t="str">
        <x:v>gtja_081</x:v>
      </x:c>
      <x:c r="D162" t="str">
        <x:v>ranked</x:v>
      </x:c>
      <x:c r="E162" s="23" t="n">
        <x:f>IF(COUNT(J162,K162)&lt;2,"",AVERAGE(J162,K162))</x:f>
        <x:v>-0.05544882175424404</x:v>
      </x:c>
      <x:c r="F162" s="23" t="n">
        <x:f>IF(E162="","",ABS(E162))</x:f>
        <x:v>0.05544882175424404</x:v>
      </x:c>
      <x:c r="G162" s="23" t="str">
        <x:f>IF(E162="","",IF(E162&gt;=0,"positive","negative"))</x:f>
        <x:v>negative</x:v>
      </x:c>
      <x:c r="H162" s="23" t="n">
        <x:f>IF(COUNTIFS('Raw IC'!$A$5:$A$546,$C162,'Raw IC'!$B$5:$B$546,1)=0,"",SUMIFS('Raw IC'!$C$5:$C$546,'Raw IC'!$A$5:$A$546,$C162,'Raw IC'!$B$5:$B$546,1))</x:f>
        <x:v>-0.025489884293183298</x:v>
      </x:c>
      <x:c r="I162" s="23" t="n">
        <x:f>IF(COUNTIFS('Raw IC'!$A$5:$A$546,$C162,'Raw IC'!$B$5:$B$546,5)=0,"",SUMIFS('Raw IC'!$C$5:$C$546,'Raw IC'!$A$5:$A$546,$C162,'Raw IC'!$B$5:$B$546,5))</x:f>
        <x:v>-0.04183927953457015</x:v>
      </x:c>
      <x:c r="J162" s="23" t="n">
        <x:f>IF(COUNTIFS('Raw IC'!$A$5:$A$546,$C162,'Raw IC'!$B$5:$B$546,10)=0,"",SUMIFS('Raw IC'!$C$5:$C$546,'Raw IC'!$A$5:$A$546,$C162,'Raw IC'!$B$5:$B$546,10))</x:f>
        <x:v>-0.04996957504108294</x:v>
      </x:c>
      <x:c r="K162" s="23" t="n">
        <x:f>IF(COUNTIFS('Raw IC'!$A$5:$A$546,$C162,'Raw IC'!$B$5:$B$546,20)=0,"",SUMIFS('Raw IC'!$C$5:$C$546,'Raw IC'!$A$5:$A$546,$C162,'Raw IC'!$B$5:$B$546,20))</x:f>
        <x:v>-0.060928068467405144</x:v>
      </x:c>
      <x:c r="L162" s="23" t="n">
        <x:f>IF(COUNT(H162:K162)=0,"",AVERAGE(H162:K162))</x:f>
        <x:v>-0.04455670183406038</x:v>
      </x:c>
      <x:c r="M162" s="22" t="n">
        <x:f>COUNT(H162:K162)</x:f>
        <x:v>4</x:v>
      </x:c>
      <x:c r="N162" s="25" t="n">
        <x:v>46210.48091090278</x:v>
      </x:c>
      <x:c r="O162" s="24" t="n">
        <x:v>8902245</x:v>
      </x:c>
      <x:c r="P162" t="str">
        <x:v>legacy_common_sample_8902245</x:v>
      </x:c>
      <x:c r="Q162" t="str">
        <x:v>factor_report/gtja191_batch/gtja_081</x:v>
      </x:c>
    </x:row>
    <x:row r="163">
      <x:c r="A163" s="22" t="n">
        <x:f>IF($D163="ranked",1+COUNTIFS($D$5:$D$190,"ranked",$E$5:$E$190,"&gt;"&amp;$E163),"")</x:f>
        <x:v>159</x:v>
      </x:c>
      <x:c r="B163" s="22" t="n">
        <x:f>IF($D163="ranked",1+COUNTIFS($D$5:$D$190,"ranked",$F$5:$F$190,"&gt;"&amp;$F163),"")</x:f>
        <x:v>31</x:v>
      </x:c>
      <x:c r="C163" t="str">
        <x:v>gtja_067</x:v>
      </x:c>
      <x:c r="D163" t="str">
        <x:v>ranked</x:v>
      </x:c>
      <x:c r="E163" s="23" t="n">
        <x:f>IF(COUNT(J163,K163)&lt;2,"",AVERAGE(J163,K163))</x:f>
        <x:v>-0.05589820861826371</x:v>
      </x:c>
      <x:c r="F163" s="23" t="n">
        <x:f>IF(E163="","",ABS(E163))</x:f>
        <x:v>0.05589820861826371</x:v>
      </x:c>
      <x:c r="G163" s="23" t="str">
        <x:f>IF(E163="","",IF(E163&gt;=0,"positive","negative"))</x:f>
        <x:v>negative</x:v>
      </x:c>
      <x:c r="H163" s="23" t="n">
        <x:f>IF(COUNTIFS('Raw IC'!$A$5:$A$546,$C163,'Raw IC'!$B$5:$B$546,1)=0,"",SUMIFS('Raw IC'!$C$5:$C$546,'Raw IC'!$A$5:$A$546,$C163,'Raw IC'!$B$5:$B$546,1))</x:f>
        <x:v>-0.035647739055671576</x:v>
      </x:c>
      <x:c r="I163" s="23" t="n">
        <x:f>IF(COUNTIFS('Raw IC'!$A$5:$A$546,$C163,'Raw IC'!$B$5:$B$546,5)=0,"",SUMIFS('Raw IC'!$C$5:$C$546,'Raw IC'!$A$5:$A$546,$C163,'Raw IC'!$B$5:$B$546,5))</x:f>
        <x:v>-0.04705781725656033</x:v>
      </x:c>
      <x:c r="J163" s="23" t="n">
        <x:f>IF(COUNTIFS('Raw IC'!$A$5:$A$546,$C163,'Raw IC'!$B$5:$B$546,10)=0,"",SUMIFS('Raw IC'!$C$5:$C$546,'Raw IC'!$A$5:$A$546,$C163,'Raw IC'!$B$5:$B$546,10))</x:f>
        <x:v>-0.05255950591082112</x:v>
      </x:c>
      <x:c r="K163" s="23" t="n">
        <x:f>IF(COUNTIFS('Raw IC'!$A$5:$A$546,$C163,'Raw IC'!$B$5:$B$546,20)=0,"",SUMIFS('Raw IC'!$C$5:$C$546,'Raw IC'!$A$5:$A$546,$C163,'Raw IC'!$B$5:$B$546,20))</x:f>
        <x:v>-0.059236911325706305</x:v>
      </x:c>
      <x:c r="L163" s="23" t="n">
        <x:f>IF(COUNT(H163:K163)=0,"",AVERAGE(H163:K163))</x:f>
        <x:v>-0.04862549338718983</x:v>
      </x:c>
      <x:c r="M163" s="22" t="n">
        <x:f>COUNT(H163:K163)</x:f>
        <x:v>4</x:v>
      </x:c>
      <x:c r="N163" s="25" t="n">
        <x:v>46210.40343721065</x:v>
      </x:c>
      <x:c r="O163" s="24" t="n">
        <x:v>8902245</x:v>
      </x:c>
      <x:c r="P163" t="str">
        <x:v>legacy_common_sample_8902245</x:v>
      </x:c>
      <x:c r="Q163" t="str">
        <x:v>factor_report/gtja191_batch/gtja_067</x:v>
      </x:c>
    </x:row>
    <x:row r="164">
      <x:c r="A164" s="22" t="n">
        <x:f>IF($D164="ranked",1+COUNTIFS($D$5:$D$190,"ranked",$E$5:$E$190,"&gt;"&amp;$E164),"")</x:f>
        <x:v>160</x:v>
      </x:c>
      <x:c r="B164" s="22" t="n">
        <x:f>IF($D164="ranked",1+COUNTIFS($D$5:$D$190,"ranked",$F$5:$F$190,"&gt;"&amp;$F164),"")</x:f>
        <x:v>29</x:v>
      </x:c>
      <x:c r="C164" t="str">
        <x:v>gtja_129</x:v>
      </x:c>
      <x:c r="D164" t="str">
        <x:v>ranked</x:v>
      </x:c>
      <x:c r="E164" s="23" t="n">
        <x:f>IF(COUNT(J164,K164)&lt;2,"",AVERAGE(J164,K164))</x:f>
        <x:v>-0.05669238854512549</x:v>
      </x:c>
      <x:c r="F164" s="23" t="n">
        <x:f>IF(E164="","",ABS(E164))</x:f>
        <x:v>0.05669238854512549</x:v>
      </x:c>
      <x:c r="G164" s="23" t="str">
        <x:f>IF(E164="","",IF(E164&gt;=0,"positive","negative"))</x:f>
        <x:v>negative</x:v>
      </x:c>
      <x:c r="H164" s="23" t="n">
        <x:f>IF(COUNTIFS('Raw IC'!$A$5:$A$546,$C164,'Raw IC'!$B$5:$B$546,1)=0,"",SUMIFS('Raw IC'!$C$5:$C$546,'Raw IC'!$A$5:$A$546,$C164,'Raw IC'!$B$5:$B$546,1))</x:f>
        <x:v>-0.026014001026110307</x:v>
      </x:c>
      <x:c r="I164" s="23" t="n">
        <x:f>IF(COUNTIFS('Raw IC'!$A$5:$A$546,$C164,'Raw IC'!$B$5:$B$546,5)=0,"",SUMIFS('Raw IC'!$C$5:$C$546,'Raw IC'!$A$5:$A$546,$C164,'Raw IC'!$B$5:$B$546,5))</x:f>
        <x:v>-0.040516662970927736</x:v>
      </x:c>
      <x:c r="J164" s="23" t="n">
        <x:f>IF(COUNTIFS('Raw IC'!$A$5:$A$546,$C164,'Raw IC'!$B$5:$B$546,10)=0,"",SUMIFS('Raw IC'!$C$5:$C$546,'Raw IC'!$A$5:$A$546,$C164,'Raw IC'!$B$5:$B$546,10))</x:f>
        <x:v>-0.0509041396665654</x:v>
      </x:c>
      <x:c r="K164" s="23" t="n">
        <x:f>IF(COUNTIFS('Raw IC'!$A$5:$A$546,$C164,'Raw IC'!$B$5:$B$546,20)=0,"",SUMIFS('Raw IC'!$C$5:$C$546,'Raw IC'!$A$5:$A$546,$C164,'Raw IC'!$B$5:$B$546,20))</x:f>
        <x:v>-0.06248063742368558</x:v>
      </x:c>
      <x:c r="L164" s="23" t="n">
        <x:f>IF(COUNT(H164:K164)=0,"",AVERAGE(H164:K164))</x:f>
        <x:v>-0.044978860271822255</x:v>
      </x:c>
      <x:c r="M164" s="22" t="n">
        <x:f>COUNT(H164:K164)</x:f>
        <x:v>4</x:v>
      </x:c>
      <x:c r="N164" s="25" t="n">
        <x:v>46210.71993697916</x:v>
      </x:c>
      <x:c r="O164" s="24" t="n">
        <x:v>8902245</x:v>
      </x:c>
      <x:c r="P164" t="str">
        <x:v>legacy_common_sample_8902245</x:v>
      </x:c>
      <x:c r="Q164" t="str">
        <x:v>factor_report/gtja191_batch/gtja_129</x:v>
      </x:c>
    </x:row>
    <x:row r="165">
      <x:c r="A165" s="22" t="n">
        <x:f>IF($D165="ranked",1+COUNTIFS($D$5:$D$190,"ranked",$E$5:$E$190,"&gt;"&amp;$E165),"")</x:f>
        <x:v>161</x:v>
      </x:c>
      <x:c r="B165" s="22" t="n">
        <x:f>IF($D165="ranked",1+COUNTIFS($D$5:$D$190,"ranked",$F$5:$F$190,"&gt;"&amp;$F165),"")</x:f>
        <x:v>28</x:v>
      </x:c>
      <x:c r="C165" t="str">
        <x:v>gtja_122</x:v>
      </x:c>
      <x:c r="D165" t="str">
        <x:v>ranked</x:v>
      </x:c>
      <x:c r="E165" s="23" t="n">
        <x:f>IF(COUNT(J165,K165)&lt;2,"",AVERAGE(J165,K165))</x:f>
        <x:v>-0.05692208115120595</x:v>
      </x:c>
      <x:c r="F165" s="23" t="n">
        <x:f>IF(E165="","",ABS(E165))</x:f>
        <x:v>0.05692208115120595</x:v>
      </x:c>
      <x:c r="G165" s="23" t="str">
        <x:f>IF(E165="","",IF(E165&gt;=0,"positive","negative"))</x:f>
        <x:v>negative</x:v>
      </x:c>
      <x:c r="H165" s="23" t="n">
        <x:f>IF(COUNTIFS('Raw IC'!$A$5:$A$546,$C165,'Raw IC'!$B$5:$B$546,1)=0,"",SUMIFS('Raw IC'!$C$5:$C$546,'Raw IC'!$A$5:$A$546,$C165,'Raw IC'!$B$5:$B$546,1))</x:f>
        <x:v>-0.02822400894571206</x:v>
      </x:c>
      <x:c r="I165" s="23" t="n">
        <x:f>IF(COUNTIFS('Raw IC'!$A$5:$A$546,$C165,'Raw IC'!$B$5:$B$546,5)=0,"",SUMIFS('Raw IC'!$C$5:$C$546,'Raw IC'!$A$5:$A$546,$C165,'Raw IC'!$B$5:$B$546,5))</x:f>
        <x:v>-0.0438131005715145</x:v>
      </x:c>
      <x:c r="J165" s="23" t="n">
        <x:f>IF(COUNTIFS('Raw IC'!$A$5:$A$546,$C165,'Raw IC'!$B$5:$B$546,10)=0,"",SUMIFS('Raw IC'!$C$5:$C$546,'Raw IC'!$A$5:$A$546,$C165,'Raw IC'!$B$5:$B$546,10))</x:f>
        <x:v>-0.052148612256162144</x:v>
      </x:c>
      <x:c r="K165" s="23" t="n">
        <x:f>IF(COUNTIFS('Raw IC'!$A$5:$A$546,$C165,'Raw IC'!$B$5:$B$546,20)=0,"",SUMIFS('Raw IC'!$C$5:$C$546,'Raw IC'!$A$5:$A$546,$C165,'Raw IC'!$B$5:$B$546,20))</x:f>
        <x:v>-0.06169555004624976</x:v>
      </x:c>
      <x:c r="L165" s="23" t="n">
        <x:f>IF(COUNT(H165:K165)=0,"",AVERAGE(H165:K165))</x:f>
        <x:v>-0.046470317954909614</x:v>
      </x:c>
      <x:c r="M165" s="22" t="n">
        <x:f>COUNT(H165:K165)</x:f>
        <x:v>4</x:v>
      </x:c>
      <x:c r="N165" s="25" t="n">
        <x:v>46210.69213701389</x:v>
      </x:c>
      <x:c r="O165" s="24" t="n">
        <x:v>8902245</x:v>
      </x:c>
      <x:c r="P165" t="str">
        <x:v>legacy_common_sample_8902245</x:v>
      </x:c>
      <x:c r="Q165" t="str">
        <x:v>factor_report/gtja191_batch/gtja_122</x:v>
      </x:c>
    </x:row>
    <x:row r="166">
      <x:c r="A166" s="22" t="n">
        <x:f>IF($D166="ranked",1+COUNTIFS($D$5:$D$190,"ranked",$E$5:$E$190,"&gt;"&amp;$E166),"")</x:f>
        <x:v>162</x:v>
      </x:c>
      <x:c r="B166" s="22" t="n">
        <x:f>IF($D166="ranked",1+COUNTIFS($D$5:$D$190,"ranked",$F$5:$F$190,"&gt;"&amp;$F166),"")</x:f>
        <x:v>27</x:v>
      </x:c>
      <x:c r="C166" t="str">
        <x:v>gtja_055</x:v>
      </x:c>
      <x:c r="D166" t="str">
        <x:v>ranked</x:v>
      </x:c>
      <x:c r="E166" s="23" t="n">
        <x:f>IF(COUNT(J166,K166)&lt;2,"",AVERAGE(J166,K166))</x:f>
        <x:v>-0.05694686440128287</x:v>
      </x:c>
      <x:c r="F166" s="23" t="n">
        <x:f>IF(E166="","",ABS(E166))</x:f>
        <x:v>0.05694686440128287</x:v>
      </x:c>
      <x:c r="G166" s="23" t="str">
        <x:f>IF(E166="","",IF(E166&gt;=0,"positive","negative"))</x:f>
        <x:v>negative</x:v>
      </x:c>
      <x:c r="H166" s="23" t="n">
        <x:f>IF(COUNTIFS('Raw IC'!$A$5:$A$546,$C166,'Raw IC'!$B$5:$B$546,1)=0,"",SUMIFS('Raw IC'!$C$5:$C$546,'Raw IC'!$A$5:$A$546,$C166,'Raw IC'!$B$5:$B$546,1))</x:f>
        <x:v>-0.031998616247062475</x:v>
      </x:c>
      <x:c r="I166" s="23" t="n">
        <x:f>IF(COUNTIFS('Raw IC'!$A$5:$A$546,$C166,'Raw IC'!$B$5:$B$546,5)=0,"",SUMIFS('Raw IC'!$C$5:$C$546,'Raw IC'!$A$5:$A$546,$C166,'Raw IC'!$B$5:$B$546,5))</x:f>
        <x:v>-0.04728572378762499</x:v>
      </x:c>
      <x:c r="J166" s="23" t="n">
        <x:f>IF(COUNTIFS('Raw IC'!$A$5:$A$546,$C166,'Raw IC'!$B$5:$B$546,10)=0,"",SUMIFS('Raw IC'!$C$5:$C$546,'Raw IC'!$A$5:$A$546,$C166,'Raw IC'!$B$5:$B$546,10))</x:f>
        <x:v>-0.0544410013552593</x:v>
      </x:c>
      <x:c r="K166" s="23" t="n">
        <x:f>IF(COUNTIFS('Raw IC'!$A$5:$A$546,$C166,'Raw IC'!$B$5:$B$546,20)=0,"",SUMIFS('Raw IC'!$C$5:$C$546,'Raw IC'!$A$5:$A$546,$C166,'Raw IC'!$B$5:$B$546,20))</x:f>
        <x:v>-0.059452727447306446</x:v>
      </x:c>
      <x:c r="L166" s="23" t="n">
        <x:f>IF(COUNT(H166:K166)=0,"",AVERAGE(H166:K166))</x:f>
        <x:v>-0.0482945172093133</x:v>
      </x:c>
      <x:c r="M166" s="22" t="n">
        <x:f>COUNT(H166:K166)</x:f>
        <x:v>4</x:v>
      </x:c>
      <x:c r="N166" s="25" t="n">
        <x:v>46210.34754746528</x:v>
      </x:c>
      <x:c r="O166" s="24" t="n">
        <x:v>8902245</x:v>
      </x:c>
      <x:c r="P166" t="str">
        <x:v>legacy_common_sample_8902245</x:v>
      </x:c>
      <x:c r="Q166" t="str">
        <x:v>factor_report/gtja191_batch/gtja_055</x:v>
      </x:c>
    </x:row>
    <x:row r="167">
      <x:c r="A167" s="22" t="n">
        <x:f>IF($D167="ranked",1+COUNTIFS($D$5:$D$190,"ranked",$E$5:$E$190,"&gt;"&amp;$E167),"")</x:f>
        <x:v>163</x:v>
      </x:c>
      <x:c r="B167" s="22" t="n">
        <x:f>IF($D167="ranked",1+COUNTIFS($D$5:$D$190,"ranked",$F$5:$F$190,"&gt;"&amp;$F167),"")</x:f>
        <x:v>25</x:v>
      </x:c>
      <x:c r="C167" t="str">
        <x:v>gtja_106</x:v>
      </x:c>
      <x:c r="D167" t="str">
        <x:v>ranked</x:v>
      </x:c>
      <x:c r="E167" s="23" t="n">
        <x:f>IF(COUNT(J167,K167)&lt;2,"",AVERAGE(J167,K167))</x:f>
        <x:v>-0.05849887396280536</x:v>
      </x:c>
      <x:c r="F167" s="23" t="n">
        <x:f>IF(E167="","",ABS(E167))</x:f>
        <x:v>0.05849887396280536</x:v>
      </x:c>
      <x:c r="G167" s="23" t="str">
        <x:f>IF(E167="","",IF(E167&gt;=0,"positive","negative"))</x:f>
        <x:v>negative</x:v>
      </x:c>
      <x:c r="H167" s="23" t="n">
        <x:f>IF(COUNTIFS('Raw IC'!$A$5:$A$546,$C167,'Raw IC'!$B$5:$B$546,1)=0,"",SUMIFS('Raw IC'!$C$5:$C$546,'Raw IC'!$A$5:$A$546,$C167,'Raw IC'!$B$5:$B$546,1))</x:f>
        <x:v>-0.03326993748448418</x:v>
      </x:c>
      <x:c r="I167" s="23" t="n">
        <x:f>IF(COUNTIFS('Raw IC'!$A$5:$A$546,$C167,'Raw IC'!$B$5:$B$546,5)=0,"",SUMIFS('Raw IC'!$C$5:$C$546,'Raw IC'!$A$5:$A$546,$C167,'Raw IC'!$B$5:$B$546,5))</x:f>
        <x:v>-0.04773475370395385</x:v>
      </x:c>
      <x:c r="J167" s="23" t="n">
        <x:f>IF(COUNTIFS('Raw IC'!$A$5:$A$546,$C167,'Raw IC'!$B$5:$B$546,10)=0,"",SUMIFS('Raw IC'!$C$5:$C$546,'Raw IC'!$A$5:$A$546,$C167,'Raw IC'!$B$5:$B$546,10))</x:f>
        <x:v>-0.05564072753484768</x:v>
      </x:c>
      <x:c r="K167" s="23" t="n">
        <x:f>IF(COUNTIFS('Raw IC'!$A$5:$A$546,$C167,'Raw IC'!$B$5:$B$546,20)=0,"",SUMIFS('Raw IC'!$C$5:$C$546,'Raw IC'!$A$5:$A$546,$C167,'Raw IC'!$B$5:$B$546,20))</x:f>
        <x:v>-0.061357020390763045</x:v>
      </x:c>
      <x:c r="L167" s="23" t="n">
        <x:f>IF(COUNT(H167:K167)=0,"",AVERAGE(H167:K167))</x:f>
        <x:v>-0.04950060977851219</x:v>
      </x:c>
      <x:c r="M167" s="22" t="n">
        <x:f>COUNT(H167:K167)</x:f>
        <x:v>4</x:v>
      </x:c>
      <x:c r="N167" s="25" t="n">
        <x:v>46210.59962833333</x:v>
      </x:c>
      <x:c r="O167" s="24" t="n">
        <x:v>8902245</x:v>
      </x:c>
      <x:c r="P167" t="str">
        <x:v>legacy_common_sample_8902245</x:v>
      </x:c>
      <x:c r="Q167" t="str">
        <x:v>factor_report/gtja191_batch/gtja_106</x:v>
      </x:c>
    </x:row>
    <x:row r="168">
      <x:c r="A168" s="22" t="n">
        <x:f>IF($D168="ranked",1+COUNTIFS($D$5:$D$190,"ranked",$E$5:$E$190,"&gt;"&amp;$E168),"")</x:f>
        <x:v>164</x:v>
      </x:c>
      <x:c r="B168" s="22" t="n">
        <x:f>IF($D168="ranked",1+COUNTIFS($D$5:$D$190,"ranked",$F$5:$F$190,"&gt;"&amp;$F168),"")</x:f>
        <x:v>24</x:v>
      </x:c>
      <x:c r="C168" t="str">
        <x:v>gtja_071</x:v>
      </x:c>
      <x:c r="D168" t="str">
        <x:v>ranked</x:v>
      </x:c>
      <x:c r="E168" s="23" t="n">
        <x:f>IF(COUNT(J168,K168)&lt;2,"",AVERAGE(J168,K168))</x:f>
        <x:v>-0.05853236855313998</x:v>
      </x:c>
      <x:c r="F168" s="23" t="n">
        <x:f>IF(E168="","",ABS(E168))</x:f>
        <x:v>0.05853236855313998</x:v>
      </x:c>
      <x:c r="G168" s="23" t="str">
        <x:f>IF(E168="","",IF(E168&gt;=0,"positive","negative"))</x:f>
        <x:v>negative</x:v>
      </x:c>
      <x:c r="H168" s="23" t="n">
        <x:f>IF(COUNTIFS('Raw IC'!$A$5:$A$546,$C168,'Raw IC'!$B$5:$B$546,1)=0,"",SUMIFS('Raw IC'!$C$5:$C$546,'Raw IC'!$A$5:$A$546,$C168,'Raw IC'!$B$5:$B$546,1))</x:f>
        <x:v>-0.03785381980874199</x:v>
      </x:c>
      <x:c r="I168" s="23" t="n">
        <x:f>IF(COUNTIFS('Raw IC'!$A$5:$A$546,$C168,'Raw IC'!$B$5:$B$546,5)=0,"",SUMIFS('Raw IC'!$C$5:$C$546,'Raw IC'!$A$5:$A$546,$C168,'Raw IC'!$B$5:$B$546,5))</x:f>
        <x:v>-0.04854451973527362</x:v>
      </x:c>
      <x:c r="J168" s="23" t="n">
        <x:f>IF(COUNTIFS('Raw IC'!$A$5:$A$546,$C168,'Raw IC'!$B$5:$B$546,10)=0,"",SUMIFS('Raw IC'!$C$5:$C$546,'Raw IC'!$A$5:$A$546,$C168,'Raw IC'!$B$5:$B$546,10))</x:f>
        <x:v>-0.05464484689716381</x:v>
      </x:c>
      <x:c r="K168" s="23" t="n">
        <x:f>IF(COUNTIFS('Raw IC'!$A$5:$A$546,$C168,'Raw IC'!$B$5:$B$546,20)=0,"",SUMIFS('Raw IC'!$C$5:$C$546,'Raw IC'!$A$5:$A$546,$C168,'Raw IC'!$B$5:$B$546,20))</x:f>
        <x:v>-0.062419890209116154</x:v>
      </x:c>
      <x:c r="L168" s="23" t="n">
        <x:f>IF(COUNT(H168:K168)=0,"",AVERAGE(H168:K168))</x:f>
        <x:v>-0.05086576916257389</x:v>
      </x:c>
      <x:c r="M168" s="22" t="n">
        <x:f>COUNT(H168:K168)</x:f>
        <x:v>4</x:v>
      </x:c>
      <x:c r="N168" s="25" t="n">
        <x:v>46210.420358854164</x:v>
      </x:c>
      <x:c r="O168" s="24" t="n">
        <x:v>8902245</x:v>
      </x:c>
      <x:c r="P168" t="str">
        <x:v>legacy_common_sample_8902245</x:v>
      </x:c>
      <x:c r="Q168" t="str">
        <x:v>factor_report/gtja191_batch/gtja_071</x:v>
      </x:c>
    </x:row>
    <x:row r="169">
      <x:c r="A169" s="22" t="n">
        <x:f>IF($D169="ranked",1+COUNTIFS($D$5:$D$190,"ranked",$E$5:$E$190,"&gt;"&amp;$E169),"")</x:f>
        <x:v>165</x:v>
      </x:c>
      <x:c r="B169" s="22" t="n">
        <x:f>IF($D169="ranked",1+COUNTIFS($D$5:$D$190,"ranked",$F$5:$F$190,"&gt;"&amp;$F169),"")</x:f>
        <x:v>23</x:v>
      </x:c>
      <x:c r="C169" t="str">
        <x:v>gtja_135</x:v>
      </x:c>
      <x:c r="D169" t="str">
        <x:v>ranked</x:v>
      </x:c>
      <x:c r="E169" s="23" t="n">
        <x:f>IF(COUNT(J169,K169)&lt;2,"",AVERAGE(J169,K169))</x:f>
        <x:v>-0.05901322298249817</x:v>
      </x:c>
      <x:c r="F169" s="23" t="n">
        <x:f>IF(E169="","",ABS(E169))</x:f>
        <x:v>0.05901322298249817</x:v>
      </x:c>
      <x:c r="G169" s="23" t="str">
        <x:f>IF(E169="","",IF(E169&gt;=0,"positive","negative"))</x:f>
        <x:v>negative</x:v>
      </x:c>
      <x:c r="H169" s="23" t="n">
        <x:f>IF(COUNTIFS('Raw IC'!$A$5:$A$546,$C169,'Raw IC'!$B$5:$B$546,1)=0,"",SUMIFS('Raw IC'!$C$5:$C$546,'Raw IC'!$A$5:$A$546,$C169,'Raw IC'!$B$5:$B$546,1))</x:f>
        <x:v>-0.0271013404194672</x:v>
      </x:c>
      <x:c r="I169" s="23" t="n">
        <x:f>IF(COUNTIFS('Raw IC'!$A$5:$A$546,$C169,'Raw IC'!$B$5:$B$546,5)=0,"",SUMIFS('Raw IC'!$C$5:$C$546,'Raw IC'!$A$5:$A$546,$C169,'Raw IC'!$B$5:$B$546,5))</x:f>
        <x:v>-0.0456536266840207</x:v>
      </x:c>
      <x:c r="J169" s="23" t="n">
        <x:f>IF(COUNTIFS('Raw IC'!$A$5:$A$546,$C169,'Raw IC'!$B$5:$B$546,10)=0,"",SUMIFS('Raw IC'!$C$5:$C$546,'Raw IC'!$A$5:$A$546,$C169,'Raw IC'!$B$5:$B$546,10))</x:f>
        <x:v>-0.05522083927672666</x:v>
      </x:c>
      <x:c r="K169" s="23" t="n">
        <x:f>IF(COUNTIFS('Raw IC'!$A$5:$A$546,$C169,'Raw IC'!$B$5:$B$546,20)=0,"",SUMIFS('Raw IC'!$C$5:$C$546,'Raw IC'!$A$5:$A$546,$C169,'Raw IC'!$B$5:$B$546,20))</x:f>
        <x:v>-0.06280560668826968</x:v>
      </x:c>
      <x:c r="L169" s="23" t="n">
        <x:f>IF(COUNT(H169:K169)=0,"",AVERAGE(H169:K169))</x:f>
        <x:v>-0.04769535326712106</x:v>
      </x:c>
      <x:c r="M169" s="22" t="n">
        <x:f>COUNT(H169:K169)</x:f>
        <x:v>4</x:v>
      </x:c>
      <x:c r="N169" s="25" t="n">
        <x:v>46210.7465330787</x:v>
      </x:c>
      <x:c r="O169" s="24" t="n">
        <x:v>8902245</x:v>
      </x:c>
      <x:c r="P169" t="str">
        <x:v>legacy_common_sample_8902245</x:v>
      </x:c>
      <x:c r="Q169" t="str">
        <x:v>factor_report/gtja191_batch/gtja_135</x:v>
      </x:c>
    </x:row>
    <x:row r="170">
      <x:c r="A170" s="22" t="n">
        <x:f>IF($D170="ranked",1+COUNTIFS($D$5:$D$190,"ranked",$E$5:$E$190,"&gt;"&amp;$E170),"")</x:f>
        <x:v>166</x:v>
      </x:c>
      <x:c r="B170" s="22" t="n">
        <x:f>IF($D170="ranked",1+COUNTIFS($D$5:$D$190,"ranked",$F$5:$F$190,"&gt;"&amp;$F170),"")</x:f>
        <x:v>21</x:v>
      </x:c>
      <x:c r="C170" t="str">
        <x:v>gtja_174</x:v>
      </x:c>
      <x:c r="D170" t="str">
        <x:v>ranked</x:v>
      </x:c>
      <x:c r="E170" s="23" t="n">
        <x:f>IF(COUNT(J170,K170)&lt;2,"",AVERAGE(J170,K170))</x:f>
        <x:v>-0.05961914782510494</x:v>
      </x:c>
      <x:c r="F170" s="23" t="n">
        <x:f>IF(E170="","",ABS(E170))</x:f>
        <x:v>0.05961914782510494</x:v>
      </x:c>
      <x:c r="G170" s="23" t="str">
        <x:f>IF(E170="","",IF(E170&gt;=0,"positive","negative"))</x:f>
        <x:v>negative</x:v>
      </x:c>
      <x:c r="H170" s="23" t="n">
        <x:f>IF(COUNTIFS('Raw IC'!$A$5:$A$546,$C170,'Raw IC'!$B$5:$B$546,1)=0,"",SUMIFS('Raw IC'!$C$5:$C$546,'Raw IC'!$A$5:$A$546,$C170,'Raw IC'!$B$5:$B$546,1))</x:f>
        <x:v>-0.02791735957948747</x:v>
      </x:c>
      <x:c r="I170" s="23" t="n">
        <x:f>IF(COUNTIFS('Raw IC'!$A$5:$A$546,$C170,'Raw IC'!$B$5:$B$546,5)=0,"",SUMIFS('Raw IC'!$C$5:$C$546,'Raw IC'!$A$5:$A$546,$C170,'Raw IC'!$B$5:$B$546,5))</x:f>
        <x:v>-0.04182333979945225</x:v>
      </x:c>
      <x:c r="J170" s="23" t="n">
        <x:f>IF(COUNTIFS('Raw IC'!$A$5:$A$546,$C170,'Raw IC'!$B$5:$B$546,10)=0,"",SUMIFS('Raw IC'!$C$5:$C$546,'Raw IC'!$A$5:$A$546,$C170,'Raw IC'!$B$5:$B$546,10))</x:f>
        <x:v>-0.05213777627165509</x:v>
      </x:c>
      <x:c r="K170" s="23" t="n">
        <x:f>IF(COUNTIFS('Raw IC'!$A$5:$A$546,$C170,'Raw IC'!$B$5:$B$546,20)=0,"",SUMIFS('Raw IC'!$C$5:$C$546,'Raw IC'!$A$5:$A$546,$C170,'Raw IC'!$B$5:$B$546,20))</x:f>
        <x:v>-0.0671005193785548</x:v>
      </x:c>
      <x:c r="L170" s="23" t="n">
        <x:f>IF(COUNT(H170:K170)=0,"",AVERAGE(H170:K170))</x:f>
        <x:v>-0.0472447487572874</x:v>
      </x:c>
      <x:c r="M170" s="22" t="n">
        <x:f>COUNT(H170:K170)</x:f>
        <x:v>4</x:v>
      </x:c>
      <x:c r="N170" s="25" t="n">
        <x:v>46210.92118445602</x:v>
      </x:c>
      <x:c r="O170" s="24" t="n">
        <x:v>8902245</x:v>
      </x:c>
      <x:c r="P170" t="str">
        <x:v>legacy_common_sample_8902245</x:v>
      </x:c>
      <x:c r="Q170" t="str">
        <x:v>factor_report/gtja191_batch/gtja_174</x:v>
      </x:c>
    </x:row>
    <x:row r="171">
      <x:c r="A171" s="22" t="n">
        <x:f>IF($D171="ranked",1+COUNTIFS($D$5:$D$190,"ranked",$E$5:$E$190,"&gt;"&amp;$E171),"")</x:f>
        <x:v>167</x:v>
      </x:c>
      <x:c r="B171" s="22" t="n">
        <x:f>IF($D171="ranked",1+COUNTIFS($D$5:$D$190,"ranked",$F$5:$F$190,"&gt;"&amp;$F171),"")</x:f>
        <x:v>20</x:v>
      </x:c>
      <x:c r="C171" t="str">
        <x:v>gtja_059</x:v>
      </x:c>
      <x:c r="D171" t="str">
        <x:v>ranked</x:v>
      </x:c>
      <x:c r="E171" s="23" t="n">
        <x:f>IF(COUNT(J171,K171)&lt;2,"",AVERAGE(J171,K171))</x:f>
        <x:v>-0.06049277472044784</x:v>
      </x:c>
      <x:c r="F171" s="23" t="n">
        <x:f>IF(E171="","",ABS(E171))</x:f>
        <x:v>0.06049277472044784</x:v>
      </x:c>
      <x:c r="G171" s="23" t="str">
        <x:f>IF(E171="","",IF(E171&gt;=0,"positive","negative"))</x:f>
        <x:v>negative</x:v>
      </x:c>
      <x:c r="H171" s="23" t="n">
        <x:f>IF(COUNTIFS('Raw IC'!$A$5:$A$546,$C171,'Raw IC'!$B$5:$B$546,1)=0,"",SUMIFS('Raw IC'!$C$5:$C$546,'Raw IC'!$A$5:$A$546,$C171,'Raw IC'!$B$5:$B$546,1))</x:f>
        <x:v>-0.03241157048272622</x:v>
      </x:c>
      <x:c r="I171" s="23" t="n">
        <x:f>IF(COUNTIFS('Raw IC'!$A$5:$A$546,$C171,'Raw IC'!$B$5:$B$546,5)=0,"",SUMIFS('Raw IC'!$C$5:$C$546,'Raw IC'!$A$5:$A$546,$C171,'Raw IC'!$B$5:$B$546,5))</x:f>
        <x:v>-0.04765092063494312</x:v>
      </x:c>
      <x:c r="J171" s="23" t="n">
        <x:f>IF(COUNTIFS('Raw IC'!$A$5:$A$546,$C171,'Raw IC'!$B$5:$B$546,10)=0,"",SUMIFS('Raw IC'!$C$5:$C$546,'Raw IC'!$A$5:$A$546,$C171,'Raw IC'!$B$5:$B$546,10))</x:f>
        <x:v>-0.05652192099592995</x:v>
      </x:c>
      <x:c r="K171" s="23" t="n">
        <x:f>IF(COUNTIFS('Raw IC'!$A$5:$A$546,$C171,'Raw IC'!$B$5:$B$546,20)=0,"",SUMIFS('Raw IC'!$C$5:$C$546,'Raw IC'!$A$5:$A$546,$C171,'Raw IC'!$B$5:$B$546,20))</x:f>
        <x:v>-0.06446362844496573</x:v>
      </x:c>
      <x:c r="L171" s="23" t="n">
        <x:f>IF(COUNT(H171:K171)=0,"",AVERAGE(H171:K171))</x:f>
        <x:v>-0.05026201013964125</x:v>
      </x:c>
      <x:c r="M171" s="22" t="n">
        <x:f>COUNT(H171:K171)</x:f>
        <x:v>4</x:v>
      </x:c>
      <x:c r="N171" s="25" t="n">
        <x:v>46210.36786096065</x:v>
      </x:c>
      <x:c r="O171" s="24" t="n">
        <x:v>8902245</x:v>
      </x:c>
      <x:c r="P171" t="str">
        <x:v>legacy_common_sample_8902245</x:v>
      </x:c>
      <x:c r="Q171" t="str">
        <x:v>factor_report/gtja191_batch/gtja_059</x:v>
      </x:c>
    </x:row>
    <x:row r="172">
      <x:c r="A172" s="22" t="n">
        <x:f>IF($D172="ranked",1+COUNTIFS($D$5:$D$190,"ranked",$E$5:$E$190,"&gt;"&amp;$E172),"")</x:f>
        <x:v>168</x:v>
      </x:c>
      <x:c r="B172" s="22" t="n">
        <x:f>IF($D172="ranked",1+COUNTIFS($D$5:$D$190,"ranked",$F$5:$F$190,"&gt;"&amp;$F172),"")</x:f>
        <x:v>18</x:v>
      </x:c>
      <x:c r="C172" t="str">
        <x:v>gtja_118</x:v>
      </x:c>
      <x:c r="D172" t="str">
        <x:v>ranked</x:v>
      </x:c>
      <x:c r="E172" s="23" t="n">
        <x:f>IF(COUNT(J172,K172)&lt;2,"",AVERAGE(J172,K172))</x:f>
        <x:v>-0.06139944262824776</x:v>
      </x:c>
      <x:c r="F172" s="23" t="n">
        <x:f>IF(E172="","",ABS(E172))</x:f>
        <x:v>0.06139944262824776</x:v>
      </x:c>
      <x:c r="G172" s="23" t="str">
        <x:f>IF(E172="","",IF(E172&gt;=0,"positive","negative"))</x:f>
        <x:v>negative</x:v>
      </x:c>
      <x:c r="H172" s="23" t="n">
        <x:f>IF(COUNTIFS('Raw IC'!$A$5:$A$546,$C172,'Raw IC'!$B$5:$B$546,1)=0,"",SUMIFS('Raw IC'!$C$5:$C$546,'Raw IC'!$A$5:$A$546,$C172,'Raw IC'!$B$5:$B$546,1))</x:f>
        <x:v>-0.03659425054575604</x:v>
      </x:c>
      <x:c r="I172" s="23" t="n">
        <x:f>IF(COUNTIFS('Raw IC'!$A$5:$A$546,$C172,'Raw IC'!$B$5:$B$546,5)=0,"",SUMIFS('Raw IC'!$C$5:$C$546,'Raw IC'!$A$5:$A$546,$C172,'Raw IC'!$B$5:$B$546,5))</x:f>
        <x:v>-0.04965633935073342</x:v>
      </x:c>
      <x:c r="J172" s="23" t="n">
        <x:f>IF(COUNTIFS('Raw IC'!$A$5:$A$546,$C172,'Raw IC'!$B$5:$B$546,10)=0,"",SUMIFS('Raw IC'!$C$5:$C$546,'Raw IC'!$A$5:$A$546,$C172,'Raw IC'!$B$5:$B$546,10))</x:f>
        <x:v>-0.0569573609939469</x:v>
      </x:c>
      <x:c r="K172" s="23" t="n">
        <x:f>IF(COUNTIFS('Raw IC'!$A$5:$A$546,$C172,'Raw IC'!$B$5:$B$546,20)=0,"",SUMIFS('Raw IC'!$C$5:$C$546,'Raw IC'!$A$5:$A$546,$C172,'Raw IC'!$B$5:$B$546,20))</x:f>
        <x:v>-0.06584152426254862</x:v>
      </x:c>
      <x:c r="L172" s="23" t="n">
        <x:f>IF(COUNT(H172:K172)=0,"",AVERAGE(H172:K172))</x:f>
        <x:v>-0.05226236878824625</x:v>
      </x:c>
      <x:c r="M172" s="22" t="n">
        <x:f>COUNT(H172:K172)</x:f>
        <x:v>4</x:v>
      </x:c>
      <x:c r="N172" s="25" t="n">
        <x:v>46210.66222452546</x:v>
      </x:c>
      <x:c r="O172" s="24" t="n">
        <x:v>8902245</x:v>
      </x:c>
      <x:c r="P172" t="str">
        <x:v>legacy_common_sample_8902245</x:v>
      </x:c>
      <x:c r="Q172" t="str">
        <x:v>factor_report/gtja191_batch/gtja_118</x:v>
      </x:c>
    </x:row>
    <x:row r="173">
      <x:c r="A173" s="22" t="n">
        <x:f>IF($D173="ranked",1+COUNTIFS($D$5:$D$190,"ranked",$E$5:$E$190,"&gt;"&amp;$E173),"")</x:f>
        <x:v>169</x:v>
      </x:c>
      <x:c r="B173" s="22" t="n">
        <x:f>IF($D173="ranked",1+COUNTIFS($D$5:$D$190,"ranked",$F$5:$F$190,"&gt;"&amp;$F173),"")</x:f>
        <x:v>17</x:v>
      </x:c>
      <x:c r="C173" t="str">
        <x:v>gtja_100</x:v>
      </x:c>
      <x:c r="D173" t="str">
        <x:v>ranked</x:v>
      </x:c>
      <x:c r="E173" s="23" t="n">
        <x:f>IF(COUNT(J173,K173)&lt;2,"",AVERAGE(J173,K173))</x:f>
        <x:v>-0.06259160584833076</x:v>
      </x:c>
      <x:c r="F173" s="23" t="n">
        <x:f>IF(E173="","",ABS(E173))</x:f>
        <x:v>0.06259160584833076</x:v>
      </x:c>
      <x:c r="G173" s="23" t="str">
        <x:f>IF(E173="","",IF(E173&gt;=0,"positive","negative"))</x:f>
        <x:v>negative</x:v>
      </x:c>
      <x:c r="H173" s="23" t="n">
        <x:f>IF(COUNTIFS('Raw IC'!$A$5:$A$546,$C173,'Raw IC'!$B$5:$B$546,1)=0,"",SUMIFS('Raw IC'!$C$5:$C$546,'Raw IC'!$A$5:$A$546,$C173,'Raw IC'!$B$5:$B$546,1))</x:f>
        <x:v>-0.031128903404202553</x:v>
      </x:c>
      <x:c r="I173" s="23" t="n">
        <x:f>IF(COUNTIFS('Raw IC'!$A$5:$A$546,$C173,'Raw IC'!$B$5:$B$546,5)=0,"",SUMIFS('Raw IC'!$C$5:$C$546,'Raw IC'!$A$5:$A$546,$C173,'Raw IC'!$B$5:$B$546,5))</x:f>
        <x:v>-0.04902324119801506</x:v>
      </x:c>
      <x:c r="J173" s="23" t="n">
        <x:f>IF(COUNTIFS('Raw IC'!$A$5:$A$546,$C173,'Raw IC'!$B$5:$B$546,10)=0,"",SUMIFS('Raw IC'!$C$5:$C$546,'Raw IC'!$A$5:$A$546,$C173,'Raw IC'!$B$5:$B$546,10))</x:f>
        <x:v>-0.05734235822146127</x:v>
      </x:c>
      <x:c r="K173" s="23" t="n">
        <x:f>IF(COUNTIFS('Raw IC'!$A$5:$A$546,$C173,'Raw IC'!$B$5:$B$546,20)=0,"",SUMIFS('Raw IC'!$C$5:$C$546,'Raw IC'!$A$5:$A$546,$C173,'Raw IC'!$B$5:$B$546,20))</x:f>
        <x:v>-0.06784085347520025</x:v>
      </x:c>
      <x:c r="L173" s="23" t="n">
        <x:f>IF(COUNT(H173:K173)=0,"",AVERAGE(H173:K173))</x:f>
        <x:v>-0.051333839074719785</x:v>
      </x:c>
      <x:c r="M173" s="22" t="n">
        <x:f>COUNT(H173:K173)</x:f>
        <x:v>4</x:v>
      </x:c>
      <x:c r="N173" s="25" t="n">
        <x:v>46210.57471123843</x:v>
      </x:c>
      <x:c r="O173" s="24" t="n">
        <x:v>8902245</x:v>
      </x:c>
      <x:c r="P173" t="str">
        <x:v>legacy_common_sample_8902245</x:v>
      </x:c>
      <x:c r="Q173" t="str">
        <x:v>factor_report/gtja191_batch/gtja_100</x:v>
      </x:c>
    </x:row>
    <x:row r="174">
      <x:c r="A174" s="22" t="n">
        <x:f>IF($D174="ranked",1+COUNTIFS($D$5:$D$190,"ranked",$E$5:$E$190,"&gt;"&amp;$E174),"")</x:f>
        <x:v>170</x:v>
      </x:c>
      <x:c r="B174" s="22" t="n">
        <x:f>IF($D174="ranked",1+COUNTIFS($D$5:$D$190,"ranked",$F$5:$F$190,"&gt;"&amp;$F174),"")</x:f>
        <x:v>16</x:v>
      </x:c>
      <x:c r="C174" t="str">
        <x:v>gtja_088</x:v>
      </x:c>
      <x:c r="D174" t="str">
        <x:v>ranked</x:v>
      </x:c>
      <x:c r="E174" s="23" t="n">
        <x:f>IF(COUNT(J174,K174)&lt;2,"",AVERAGE(J174,K174))</x:f>
        <x:v>-0.06261402509418726</x:v>
      </x:c>
      <x:c r="F174" s="23" t="n">
        <x:f>IF(E174="","",ABS(E174))</x:f>
        <x:v>0.06261402509418726</x:v>
      </x:c>
      <x:c r="G174" s="23" t="str">
        <x:f>IF(E174="","",IF(E174&gt;=0,"positive","negative"))</x:f>
        <x:v>negative</x:v>
      </x:c>
      <x:c r="H174" s="23" t="n">
        <x:f>IF(COUNTIFS('Raw IC'!$A$5:$A$546,$C174,'Raw IC'!$B$5:$B$546,1)=0,"",SUMIFS('Raw IC'!$C$5:$C$546,'Raw IC'!$A$5:$A$546,$C174,'Raw IC'!$B$5:$B$546,1))</x:f>
        <x:v>-0.03630489752719529</x:v>
      </x:c>
      <x:c r="I174" s="23" t="n">
        <x:f>IF(COUNTIFS('Raw IC'!$A$5:$A$546,$C174,'Raw IC'!$B$5:$B$546,5)=0,"",SUMIFS('Raw IC'!$C$5:$C$546,'Raw IC'!$A$5:$A$546,$C174,'Raw IC'!$B$5:$B$546,5))</x:f>
        <x:v>-0.05050240146215423</x:v>
      </x:c>
      <x:c r="J174" s="23" t="n">
        <x:f>IF(COUNTIFS('Raw IC'!$A$5:$A$546,$C174,'Raw IC'!$B$5:$B$546,10)=0,"",SUMIFS('Raw IC'!$C$5:$C$546,'Raw IC'!$A$5:$A$546,$C174,'Raw IC'!$B$5:$B$546,10))</x:f>
        <x:v>-0.058667124438381554</x:v>
      </x:c>
      <x:c r="K174" s="23" t="n">
        <x:f>IF(COUNTIFS('Raw IC'!$A$5:$A$546,$C174,'Raw IC'!$B$5:$B$546,20)=0,"",SUMIFS('Raw IC'!$C$5:$C$546,'Raw IC'!$A$5:$A$546,$C174,'Raw IC'!$B$5:$B$546,20))</x:f>
        <x:v>-0.06656092574999298</x:v>
      </x:c>
      <x:c r="L174" s="23" t="n">
        <x:f>IF(COUNT(H174:K174)=0,"",AVERAGE(H174:K174))</x:f>
        <x:v>-0.05300883729443102</x:v>
      </x:c>
      <x:c r="M174" s="22" t="n">
        <x:f>COUNT(H174:K174)</x:f>
        <x:v>4</x:v>
      </x:c>
      <x:c r="N174" s="25" t="n">
        <x:v>46210.51801505787</x:v>
      </x:c>
      <x:c r="O174" s="24" t="n">
        <x:v>8902245</x:v>
      </x:c>
      <x:c r="P174" t="str">
        <x:v>legacy_common_sample_8902245</x:v>
      </x:c>
      <x:c r="Q174" t="str">
        <x:v>factor_report/gtja191_batch/gtja_088</x:v>
      </x:c>
    </x:row>
    <x:row r="175">
      <x:c r="A175" s="22" t="n">
        <x:f>IF($D175="ranked",1+COUNTIFS($D$5:$D$190,"ranked",$E$5:$E$190,"&gt;"&amp;$E175),"")</x:f>
        <x:v>171</x:v>
      </x:c>
      <x:c r="B175" s="22" t="n">
        <x:f>IF($D175="ranked",1+COUNTIFS($D$5:$D$190,"ranked",$F$5:$F$190,"&gt;"&amp;$F175),"")</x:f>
        <x:v>14</x:v>
      </x:c>
      <x:c r="C175" t="str">
        <x:v>gtja_097</x:v>
      </x:c>
      <x:c r="D175" t="str">
        <x:v>ranked</x:v>
      </x:c>
      <x:c r="E175" s="23" t="n">
        <x:f>IF(COUNT(J175,K175)&lt;2,"",AVERAGE(J175,K175))</x:f>
        <x:v>-0.06671535748391755</x:v>
      </x:c>
      <x:c r="F175" s="23" t="n">
        <x:f>IF(E175="","",ABS(E175))</x:f>
        <x:v>0.06671535748391755</x:v>
      </x:c>
      <x:c r="G175" s="23" t="str">
        <x:f>IF(E175="","",IF(E175&gt;=0,"positive","negative"))</x:f>
        <x:v>negative</x:v>
      </x:c>
      <x:c r="H175" s="23" t="n">
        <x:f>IF(COUNTIFS('Raw IC'!$A$5:$A$546,$C175,'Raw IC'!$B$5:$B$546,1)=0,"",SUMIFS('Raw IC'!$C$5:$C$546,'Raw IC'!$A$5:$A$546,$C175,'Raw IC'!$B$5:$B$546,1))</x:f>
        <x:v>-0.03532552806568151</x:v>
      </x:c>
      <x:c r="I175" s="23" t="n">
        <x:f>IF(COUNTIFS('Raw IC'!$A$5:$A$546,$C175,'Raw IC'!$B$5:$B$546,5)=0,"",SUMIFS('Raw IC'!$C$5:$C$546,'Raw IC'!$A$5:$A$546,$C175,'Raw IC'!$B$5:$B$546,5))</x:f>
        <x:v>-0.05356832684070194</x:v>
      </x:c>
      <x:c r="J175" s="23" t="n">
        <x:f>IF(COUNTIFS('Raw IC'!$A$5:$A$546,$C175,'Raw IC'!$B$5:$B$546,10)=0,"",SUMIFS('Raw IC'!$C$5:$C$546,'Raw IC'!$A$5:$A$546,$C175,'Raw IC'!$B$5:$B$546,10))</x:f>
        <x:v>-0.06181873112019193</x:v>
      </x:c>
      <x:c r="K175" s="23" t="n">
        <x:f>IF(COUNTIFS('Raw IC'!$A$5:$A$546,$C175,'Raw IC'!$B$5:$B$546,20)=0,"",SUMIFS('Raw IC'!$C$5:$C$546,'Raw IC'!$A$5:$A$546,$C175,'Raw IC'!$B$5:$B$546,20))</x:f>
        <x:v>-0.07161198384764317</x:v>
      </x:c>
      <x:c r="L175" s="23" t="n">
        <x:f>IF(COUNT(H175:K175)=0,"",AVERAGE(H175:K175))</x:f>
        <x:v>-0.05558114246855464</x:v>
      </x:c>
      <x:c r="M175" s="22" t="n">
        <x:f>COUNT(H175:K175)</x:f>
        <x:v>4</x:v>
      </x:c>
      <x:c r="N175" s="25" t="n">
        <x:v>46210.56247660879</x:v>
      </x:c>
      <x:c r="O175" s="24" t="n">
        <x:v>8902245</x:v>
      </x:c>
      <x:c r="P175" t="str">
        <x:v>legacy_common_sample_8902245</x:v>
      </x:c>
      <x:c r="Q175" t="str">
        <x:v>factor_report/gtja191_batch/gtja_097</x:v>
      </x:c>
    </x:row>
    <x:row r="176">
      <x:c r="A176" s="22" t="n">
        <x:f>IF($D176="ranked",1+COUNTIFS($D$5:$D$190,"ranked",$E$5:$E$190,"&gt;"&amp;$E176),"")</x:f>
        <x:v>172</x:v>
      </x:c>
      <x:c r="B176" s="22" t="n">
        <x:f>IF($D176="ranked",1+COUNTIFS($D$5:$D$190,"ranked",$F$5:$F$190,"&gt;"&amp;$F176),"")</x:f>
        <x:v>13</x:v>
      </x:c>
      <x:c r="C176" t="str">
        <x:v>gtja_189</x:v>
      </x:c>
      <x:c r="D176" t="str">
        <x:v>ranked</x:v>
      </x:c>
      <x:c r="E176" s="23" t="n">
        <x:f>IF(COUNT(J176,K176)&lt;2,"",AVERAGE(J176,K176))</x:f>
        <x:v>-0.06793769058058219</x:v>
      </x:c>
      <x:c r="F176" s="23" t="n">
        <x:f>IF(E176="","",ABS(E176))</x:f>
        <x:v>0.06793769058058219</x:v>
      </x:c>
      <x:c r="G176" s="23" t="str">
        <x:f>IF(E176="","",IF(E176&gt;=0,"positive","negative"))</x:f>
        <x:v>negative</x:v>
      </x:c>
      <x:c r="H176" s="23" t="n">
        <x:f>IF(COUNTIFS('Raw IC'!$A$5:$A$546,$C176,'Raw IC'!$B$5:$B$546,1)=0,"",SUMIFS('Raw IC'!$C$5:$C$546,'Raw IC'!$A$5:$A$546,$C176,'Raw IC'!$B$5:$B$546,1))</x:f>
        <x:v>-0.03477872691911135</x:v>
      </x:c>
      <x:c r="I176" s="23" t="n">
        <x:f>IF(COUNTIFS('Raw IC'!$A$5:$A$546,$C176,'Raw IC'!$B$5:$B$546,5)=0,"",SUMIFS('Raw IC'!$C$5:$C$546,'Raw IC'!$A$5:$A$546,$C176,'Raw IC'!$B$5:$B$546,5))</x:f>
        <x:v>-0.0510339383526854</x:v>
      </x:c>
      <x:c r="J176" s="23" t="n">
        <x:f>IF(COUNTIFS('Raw IC'!$A$5:$A$546,$C176,'Raw IC'!$B$5:$B$546,10)=0,"",SUMIFS('Raw IC'!$C$5:$C$546,'Raw IC'!$A$5:$A$546,$C176,'Raw IC'!$B$5:$B$546,10))</x:f>
        <x:v>-0.06157687027920172</x:v>
      </x:c>
      <x:c r="K176" s="23" t="n">
        <x:f>IF(COUNTIFS('Raw IC'!$A$5:$A$546,$C176,'Raw IC'!$B$5:$B$546,20)=0,"",SUMIFS('Raw IC'!$C$5:$C$546,'Raw IC'!$A$5:$A$546,$C176,'Raw IC'!$B$5:$B$546,20))</x:f>
        <x:v>-0.07429851088196267</x:v>
      </x:c>
      <x:c r="L176" s="23" t="n">
        <x:f>IF(COUNT(H176:K176)=0,"",AVERAGE(H176:K176))</x:f>
        <x:v>-0.055422011608240285</x:v>
      </x:c>
      <x:c r="M176" s="22" t="n">
        <x:f>COUNT(H176:K176)</x:f>
        <x:v>4</x:v>
      </x:c>
      <x:c r="N176" s="25" t="n">
        <x:v>46210.9753753125</x:v>
      </x:c>
      <x:c r="O176" s="24" t="n">
        <x:v>8902245</x:v>
      </x:c>
      <x:c r="P176" t="str">
        <x:v>legacy_common_sample_8902245</x:v>
      </x:c>
      <x:c r="Q176" t="str">
        <x:v>factor_report/gtja191_batch/gtja_189</x:v>
      </x:c>
    </x:row>
    <x:row r="177">
      <x:c r="A177" s="22" t="n">
        <x:f>IF($D177="ranked",1+COUNTIFS($D$5:$D$190,"ranked",$E$5:$E$190,"&gt;"&amp;$E177),"")</x:f>
        <x:v>173</x:v>
      </x:c>
      <x:c r="B177" s="22" t="n">
        <x:f>IF($D177="ranked",1+COUNTIFS($D$5:$D$190,"ranked",$F$5:$F$190,"&gt;"&amp;$F177),"")</x:f>
        <x:v>11</x:v>
      </x:c>
      <x:c r="C177" t="str">
        <x:v>gtja_158</x:v>
      </x:c>
      <x:c r="D177" t="str">
        <x:v>ranked</x:v>
      </x:c>
      <x:c r="E177" s="23" t="n">
        <x:f>IF(COUNT(J177,K177)&lt;2,"",AVERAGE(J177,K177))</x:f>
        <x:v>-0.07208520683655065</x:v>
      </x:c>
      <x:c r="F177" s="23" t="n">
        <x:f>IF(E177="","",ABS(E177))</x:f>
        <x:v>0.07208520683655065</x:v>
      </x:c>
      <x:c r="G177" s="23" t="str">
        <x:f>IF(E177="","",IF(E177&gt;=0,"positive","negative"))</x:f>
        <x:v>negative</x:v>
      </x:c>
      <x:c r="H177" s="23" t="n">
        <x:f>IF(COUNTIFS('Raw IC'!$A$5:$A$546,$C177,'Raw IC'!$B$5:$B$546,1)=0,"",SUMIFS('Raw IC'!$C$5:$C$546,'Raw IC'!$A$5:$A$546,$C177,'Raw IC'!$B$5:$B$546,1))</x:f>
        <x:v>-0.05200081838059828</x:v>
      </x:c>
      <x:c r="I177" s="23" t="n">
        <x:f>IF(COUNTIFS('Raw IC'!$A$5:$A$546,$C177,'Raw IC'!$B$5:$B$546,5)=0,"",SUMIFS('Raw IC'!$C$5:$C$546,'Raw IC'!$A$5:$A$546,$C177,'Raw IC'!$B$5:$B$546,5))</x:f>
        <x:v>-0.0622115405429208</x:v>
      </x:c>
      <x:c r="J177" s="23" t="n">
        <x:f>IF(COUNTIFS('Raw IC'!$A$5:$A$546,$C177,'Raw IC'!$B$5:$B$546,10)=0,"",SUMIFS('Raw IC'!$C$5:$C$546,'Raw IC'!$A$5:$A$546,$C177,'Raw IC'!$B$5:$B$546,10))</x:f>
        <x:v>-0.06798036351326307</x:v>
      </x:c>
      <x:c r="K177" s="23" t="n">
        <x:f>IF(COUNTIFS('Raw IC'!$A$5:$A$546,$C177,'Raw IC'!$B$5:$B$546,20)=0,"",SUMIFS('Raw IC'!$C$5:$C$546,'Raw IC'!$A$5:$A$546,$C177,'Raw IC'!$B$5:$B$546,20))</x:f>
        <x:v>-0.07619005015983824</x:v>
      </x:c>
      <x:c r="L177" s="23" t="n">
        <x:f>IF(COUNT(H177:K177)=0,"",AVERAGE(H177:K177))</x:f>
        <x:v>-0.06459569314915509</x:v>
      </x:c>
      <x:c r="M177" s="22" t="n">
        <x:f>COUNT(H177:K177)</x:f>
        <x:v>4</x:v>
      </x:c>
      <x:c r="N177" s="25" t="n">
        <x:v>46210.85092011574</x:v>
      </x:c>
      <x:c r="O177" s="24" t="n">
        <x:v>8902245</x:v>
      </x:c>
      <x:c r="P177" t="str">
        <x:v>legacy_common_sample_8902245</x:v>
      </x:c>
      <x:c r="Q177" t="str">
        <x:v>factor_report/gtja191_batch/gtja_158</x:v>
      </x:c>
    </x:row>
    <x:row r="178">
      <x:c r="A178" s="22" t="n">
        <x:f>IF($D178="ranked",1+COUNTIFS($D$5:$D$190,"ranked",$E$5:$E$190,"&gt;"&amp;$E178),"")</x:f>
        <x:v>174</x:v>
      </x:c>
      <x:c r="B178" s="22" t="n">
        <x:f>IF($D178="ranked",1+COUNTIFS($D$5:$D$190,"ranked",$F$5:$F$190,"&gt;"&amp;$F178),"")</x:f>
        <x:v>10</x:v>
      </x:c>
      <x:c r="C178" t="str">
        <x:v>gtja_161</x:v>
      </x:c>
      <x:c r="D178" t="str">
        <x:v>ranked</x:v>
      </x:c>
      <x:c r="E178" s="23" t="n">
        <x:f>IF(COUNT(J178,K178)&lt;2,"",AVERAGE(J178,K178))</x:f>
        <x:v>-0.07321319904196</x:v>
      </x:c>
      <x:c r="F178" s="23" t="n">
        <x:f>IF(E178="","",ABS(E178))</x:f>
        <x:v>0.07321319904196</x:v>
      </x:c>
      <x:c r="G178" s="23" t="str">
        <x:f>IF(E178="","",IF(E178&gt;=0,"positive","negative"))</x:f>
        <x:v>negative</x:v>
      </x:c>
      <x:c r="H178" s="23" t="n">
        <x:f>IF(COUNTIFS('Raw IC'!$A$5:$A$546,$C178,'Raw IC'!$B$5:$B$546,1)=0,"",SUMIFS('Raw IC'!$C$5:$C$546,'Raw IC'!$A$5:$A$546,$C178,'Raw IC'!$B$5:$B$546,1))</x:f>
        <x:v>-0.03704604830156317</x:v>
      </x:c>
      <x:c r="I178" s="23" t="n">
        <x:f>IF(COUNTIFS('Raw IC'!$A$5:$A$546,$C178,'Raw IC'!$B$5:$B$546,5)=0,"",SUMIFS('Raw IC'!$C$5:$C$546,'Raw IC'!$A$5:$A$546,$C178,'Raw IC'!$B$5:$B$546,5))</x:f>
        <x:v>-0.05466940533677726</x:v>
      </x:c>
      <x:c r="J178" s="23" t="n">
        <x:f>IF(COUNTIFS('Raw IC'!$A$5:$A$546,$C178,'Raw IC'!$B$5:$B$546,10)=0,"",SUMIFS('Raw IC'!$C$5:$C$546,'Raw IC'!$A$5:$A$546,$C178,'Raw IC'!$B$5:$B$546,10))</x:f>
        <x:v>-0.06624620031295926</x:v>
      </x:c>
      <x:c r="K178" s="23" t="n">
        <x:f>IF(COUNTIFS('Raw IC'!$A$5:$A$546,$C178,'Raw IC'!$B$5:$B$546,20)=0,"",SUMIFS('Raw IC'!$C$5:$C$546,'Raw IC'!$A$5:$A$546,$C178,'Raw IC'!$B$5:$B$546,20))</x:f>
        <x:v>-0.08018019777096075</x:v>
      </x:c>
      <x:c r="L178" s="23" t="n">
        <x:f>IF(COUNT(H178:K178)=0,"",AVERAGE(H178:K178))</x:f>
        <x:v>-0.05953546293056511</x:v>
      </x:c>
      <x:c r="M178" s="22" t="n">
        <x:f>COUNT(H178:K178)</x:f>
        <x:v>4</x:v>
      </x:c>
      <x:c r="N178" s="25" t="n">
        <x:v>46210.86347449074</x:v>
      </x:c>
      <x:c r="O178" s="24" t="n">
        <x:v>8902245</x:v>
      </x:c>
      <x:c r="P178" t="str">
        <x:v>legacy_common_sample_8902245</x:v>
      </x:c>
      <x:c r="Q178" t="str">
        <x:v>factor_report/gtja191_batch/gtja_161</x:v>
      </x:c>
    </x:row>
    <x:row r="179">
      <x:c r="A179" s="22" t="n">
        <x:f>IF($D179="ranked",1+COUNTIFS($D$5:$D$190,"ranked",$E$5:$E$190,"&gt;"&amp;$E179),"")</x:f>
        <x:v>175</x:v>
      </x:c>
      <x:c r="B179" s="22" t="n">
        <x:f>IF($D179="ranked",1+COUNTIFS($D$5:$D$190,"ranked",$F$5:$F$190,"&gt;"&amp;$F179),"")</x:f>
        <x:v>9</x:v>
      </x:c>
      <x:c r="C179" t="str">
        <x:v>gtja_175</x:v>
      </x:c>
      <x:c r="D179" t="str">
        <x:v>ranked</x:v>
      </x:c>
      <x:c r="E179" s="23" t="n">
        <x:f>IF(COUNT(J179,K179)&lt;2,"",AVERAGE(J179,K179))</x:f>
        <x:v>-0.07674602518852647</x:v>
      </x:c>
      <x:c r="F179" s="23" t="n">
        <x:f>IF(E179="","",ABS(E179))</x:f>
        <x:v>0.07674602518852647</x:v>
      </x:c>
      <x:c r="G179" s="23" t="str">
        <x:f>IF(E179="","",IF(E179&gt;=0,"positive","negative"))</x:f>
        <x:v>negative</x:v>
      </x:c>
      <x:c r="H179" s="23" t="n">
        <x:f>IF(COUNTIFS('Raw IC'!$A$5:$A$546,$C179,'Raw IC'!$B$5:$B$546,1)=0,"",SUMIFS('Raw IC'!$C$5:$C$546,'Raw IC'!$A$5:$A$546,$C179,'Raw IC'!$B$5:$B$546,1))</x:f>
        <x:v>-0.04022078430442937</x:v>
      </x:c>
      <x:c r="I179" s="23" t="n">
        <x:f>IF(COUNTIFS('Raw IC'!$A$5:$A$546,$C179,'Raw IC'!$B$5:$B$546,5)=0,"",SUMIFS('Raw IC'!$C$5:$C$546,'Raw IC'!$A$5:$A$546,$C179,'Raw IC'!$B$5:$B$546,5))</x:f>
        <x:v>-0.058075668845902644</x:v>
      </x:c>
      <x:c r="J179" s="23" t="n">
        <x:f>IF(COUNTIFS('Raw IC'!$A$5:$A$546,$C179,'Raw IC'!$B$5:$B$546,10)=0,"",SUMIFS('Raw IC'!$C$5:$C$546,'Raw IC'!$A$5:$A$546,$C179,'Raw IC'!$B$5:$B$546,10))</x:f>
        <x:v>-0.06974166759422153</x:v>
      </x:c>
      <x:c r="K179" s="23" t="n">
        <x:f>IF(COUNTIFS('Raw IC'!$A$5:$A$546,$C179,'Raw IC'!$B$5:$B$546,20)=0,"",SUMIFS('Raw IC'!$C$5:$C$546,'Raw IC'!$A$5:$A$546,$C179,'Raw IC'!$B$5:$B$546,20))</x:f>
        <x:v>-0.08375038278283142</x:v>
      </x:c>
      <x:c r="L179" s="23" t="n">
        <x:f>IF(COUNT(H179:K179)=0,"",AVERAGE(H179:K179))</x:f>
        <x:v>-0.06294712588184624</x:v>
      </x:c>
      <x:c r="M179" s="22" t="n">
        <x:f>COUNT(H179:K179)</x:f>
        <x:v>4</x:v>
      </x:c>
      <x:c r="N179" s="25" t="n">
        <x:v>46210.925217731485</x:v>
      </x:c>
      <x:c r="O179" s="24" t="n">
        <x:v>8902245</x:v>
      </x:c>
      <x:c r="P179" t="str">
        <x:v>legacy_common_sample_8902245</x:v>
      </x:c>
      <x:c r="Q179" t="str">
        <x:v>factor_report/gtja191_batch/gtja_175</x:v>
      </x:c>
    </x:row>
    <x:row r="180">
      <x:c r="A180" s="22" t="n">
        <x:f>IF($D180="ranked",1+COUNTIFS($D$5:$D$190,"ranked",$E$5:$E$190,"&gt;"&amp;$E180),"")</x:f>
        <x:v>176</x:v>
      </x:c>
      <x:c r="B180" s="22" t="n">
        <x:f>IF($D180="ranked",1+COUNTIFS($D$5:$D$190,"ranked",$F$5:$F$190,"&gt;"&amp;$F180),"")</x:f>
        <x:v>8</x:v>
      </x:c>
      <x:c r="C180" t="str">
        <x:v>gtja_187</x:v>
      </x:c>
      <x:c r="D180" t="str">
        <x:v>ranked</x:v>
      </x:c>
      <x:c r="E180" s="23" t="n">
        <x:f>IF(COUNT(J180,K180)&lt;2,"",AVERAGE(J180,K180))</x:f>
        <x:v>-0.07913255313185018</x:v>
      </x:c>
      <x:c r="F180" s="23" t="n">
        <x:f>IF(E180="","",ABS(E180))</x:f>
        <x:v>0.07913255313185018</x:v>
      </x:c>
      <x:c r="G180" s="23" t="str">
        <x:f>IF(E180="","",IF(E180&gt;=0,"positive","negative"))</x:f>
        <x:v>negative</x:v>
      </x:c>
      <x:c r="H180" s="23" t="n">
        <x:f>IF(COUNTIFS('Raw IC'!$A$5:$A$546,$C180,'Raw IC'!$B$5:$B$546,1)=0,"",SUMIFS('Raw IC'!$C$5:$C$546,'Raw IC'!$A$5:$A$546,$C180,'Raw IC'!$B$5:$B$546,1))</x:f>
        <x:v>-0.04001399004176851</x:v>
      </x:c>
      <x:c r="I180" s="23" t="n">
        <x:f>IF(COUNTIFS('Raw IC'!$A$5:$A$546,$C180,'Raw IC'!$B$5:$B$546,5)=0,"",SUMIFS('Raw IC'!$C$5:$C$546,'Raw IC'!$A$5:$A$546,$C180,'Raw IC'!$B$5:$B$546,5))</x:f>
        <x:v>-0.05934867361119837</x:v>
      </x:c>
      <x:c r="J180" s="23" t="n">
        <x:f>IF(COUNTIFS('Raw IC'!$A$5:$A$546,$C180,'Raw IC'!$B$5:$B$546,10)=0,"",SUMIFS('Raw IC'!$C$5:$C$546,'Raw IC'!$A$5:$A$546,$C180,'Raw IC'!$B$5:$B$546,10))</x:f>
        <x:v>-0.07167235594661475</x:v>
      </x:c>
      <x:c r="K180" s="23" t="n">
        <x:f>IF(COUNTIFS('Raw IC'!$A$5:$A$546,$C180,'Raw IC'!$B$5:$B$546,20)=0,"",SUMIFS('Raw IC'!$C$5:$C$546,'Raw IC'!$A$5:$A$546,$C180,'Raw IC'!$B$5:$B$546,20))</x:f>
        <x:v>-0.0865927503170856</x:v>
      </x:c>
      <x:c r="L180" s="23" t="n">
        <x:f>IF(COUNT(H180:K180)=0,"",AVERAGE(H180:K180))</x:f>
        <x:v>-0.06440694247916681</x:v>
      </x:c>
      <x:c r="M180" s="22" t="n">
        <x:f>COUNT(H180:K180)</x:f>
        <x:v>4</x:v>
      </x:c>
      <x:c r="N180" s="25" t="n">
        <x:v>46210.96675238426</x:v>
      </x:c>
      <x:c r="O180" s="24" t="n">
        <x:v>8902245</x:v>
      </x:c>
      <x:c r="P180" t="str">
        <x:v>legacy_common_sample_8902245</x:v>
      </x:c>
      <x:c r="Q180" t="str">
        <x:v>factor_report/gtja191_batch/gtja_187</x:v>
      </x:c>
    </x:row>
    <x:row r="181">
      <x:c r="A181" s="22" t="n">
        <x:f>IF($D181="ranked",1+COUNTIFS($D$5:$D$190,"ranked",$E$5:$E$190,"&gt;"&amp;$E181),"")</x:f>
        <x:v>177</x:v>
      </x:c>
      <x:c r="B181" s="22" t="n">
        <x:f>IF($D181="ranked",1+COUNTIFS($D$5:$D$190,"ranked",$F$5:$F$190,"&gt;"&amp;$F181),"")</x:f>
        <x:v>6</x:v>
      </x:c>
      <x:c r="C181" t="str">
        <x:v>gtja_167</x:v>
      </x:c>
      <x:c r="D181" t="str">
        <x:v>ranked</x:v>
      </x:c>
      <x:c r="E181" s="23" t="n">
        <x:f>IF(COUNT(J181,K181)&lt;2,"",AVERAGE(J181,K181))</x:f>
        <x:v>-0.08376477351245208</x:v>
      </x:c>
      <x:c r="F181" s="23" t="n">
        <x:f>IF(E181="","",ABS(E181))</x:f>
        <x:v>0.08376477351245208</x:v>
      </x:c>
      <x:c r="G181" s="23" t="str">
        <x:f>IF(E181="","",IF(E181&gt;=0,"positive","negative"))</x:f>
        <x:v>negative</x:v>
      </x:c>
      <x:c r="H181" s="23" t="n">
        <x:f>IF(COUNTIFS('Raw IC'!$A$5:$A$546,$C181,'Raw IC'!$B$5:$B$546,1)=0,"",SUMIFS('Raw IC'!$C$5:$C$546,'Raw IC'!$A$5:$A$546,$C181,'Raw IC'!$B$5:$B$546,1))</x:f>
        <x:v>-0.043729670941198354</x:v>
      </x:c>
      <x:c r="I181" s="23" t="n">
        <x:f>IF(COUNTIFS('Raw IC'!$A$5:$A$546,$C181,'Raw IC'!$B$5:$B$546,5)=0,"",SUMIFS('Raw IC'!$C$5:$C$546,'Raw IC'!$A$5:$A$546,$C181,'Raw IC'!$B$5:$B$546,5))</x:f>
        <x:v>-0.06424370984943072</x:v>
      </x:c>
      <x:c r="J181" s="23" t="n">
        <x:f>IF(COUNTIFS('Raw IC'!$A$5:$A$546,$C181,'Raw IC'!$B$5:$B$546,10)=0,"",SUMIFS('Raw IC'!$C$5:$C$546,'Raw IC'!$A$5:$A$546,$C181,'Raw IC'!$B$5:$B$546,10))</x:f>
        <x:v>-0.07656174607108787</x:v>
      </x:c>
      <x:c r="K181" s="23" t="n">
        <x:f>IF(COUNTIFS('Raw IC'!$A$5:$A$546,$C181,'Raw IC'!$B$5:$B$546,20)=0,"",SUMIFS('Raw IC'!$C$5:$C$546,'Raw IC'!$A$5:$A$546,$C181,'Raw IC'!$B$5:$B$546,20))</x:f>
        <x:v>-0.09096780095381629</x:v>
      </x:c>
      <x:c r="L181" s="23" t="n">
        <x:f>IF(COUNT(H181:K181)=0,"",AVERAGE(H181:K181))</x:f>
        <x:v>-0.0688757319538833</x:v>
      </x:c>
      <x:c r="M181" s="22" t="n">
        <x:f>COUNT(H181:K181)</x:f>
        <x:v>4</x:v>
      </x:c>
      <x:c r="N181" s="25" t="n">
        <x:v>46210.888780636575</x:v>
      </x:c>
      <x:c r="O181" s="24" t="n">
        <x:v>8902245</x:v>
      </x:c>
      <x:c r="P181" t="str">
        <x:v>legacy_common_sample_8902245</x:v>
      </x:c>
      <x:c r="Q181" t="str">
        <x:v>factor_report/gtja191_batch/gtja_167</x:v>
      </x:c>
    </x:row>
    <x:row r="182">
      <x:c r="A182" s="22" t="n">
        <x:f>IF($D182="ranked",1+COUNTIFS($D$5:$D$190,"ranked",$E$5:$E$190,"&gt;"&amp;$E182),"")</x:f>
        <x:v>178</x:v>
      </x:c>
      <x:c r="B182" s="22" t="n">
        <x:f>IF($D182="ranked",1+COUNTIFS($D$5:$D$190,"ranked",$F$5:$F$190,"&gt;"&amp;$F182),"")</x:f>
        <x:v>5</x:v>
      </x:c>
      <x:c r="C182" t="str">
        <x:v>gtja_132</x:v>
      </x:c>
      <x:c r="D182" t="str">
        <x:v>ranked</x:v>
      </x:c>
      <x:c r="E182" s="23" t="n">
        <x:f>IF(COUNT(J182,K182)&lt;2,"",AVERAGE(J182,K182))</x:f>
        <x:v>-0.08748081822959788</x:v>
      </x:c>
      <x:c r="F182" s="23" t="n">
        <x:f>IF(E182="","",ABS(E182))</x:f>
        <x:v>0.08748081822959788</x:v>
      </x:c>
      <x:c r="G182" s="23" t="str">
        <x:f>IF(E182="","",IF(E182&gt;=0,"positive","negative"))</x:f>
        <x:v>negative</x:v>
      </x:c>
      <x:c r="H182" s="23" t="n">
        <x:f>IF(COUNTIFS('Raw IC'!$A$5:$A$546,$C182,'Raw IC'!$B$5:$B$546,1)=0,"",SUMIFS('Raw IC'!$C$5:$C$546,'Raw IC'!$A$5:$A$546,$C182,'Raw IC'!$B$5:$B$546,1))</x:f>
        <x:v>-0.0400158329627083</x:v>
      </x:c>
      <x:c r="I182" s="23" t="n">
        <x:f>IF(COUNTIFS('Raw IC'!$A$5:$A$546,$C182,'Raw IC'!$B$5:$B$546,5)=0,"",SUMIFS('Raw IC'!$C$5:$C$546,'Raw IC'!$A$5:$A$546,$C182,'Raw IC'!$B$5:$B$546,5))</x:f>
        <x:v>-0.06364398186868406</x:v>
      </x:c>
      <x:c r="J182" s="23" t="n">
        <x:f>IF(COUNTIFS('Raw IC'!$A$5:$A$546,$C182,'Raw IC'!$B$5:$B$546,10)=0,"",SUMIFS('Raw IC'!$C$5:$C$546,'Raw IC'!$A$5:$A$546,$C182,'Raw IC'!$B$5:$B$546,10))</x:f>
        <x:v>-0.07790170414028826</x:v>
      </x:c>
      <x:c r="K182" s="23" t="n">
        <x:f>IF(COUNTIFS('Raw IC'!$A$5:$A$546,$C182,'Raw IC'!$B$5:$B$546,20)=0,"",SUMIFS('Raw IC'!$C$5:$C$546,'Raw IC'!$A$5:$A$546,$C182,'Raw IC'!$B$5:$B$546,20))</x:f>
        <x:v>-0.09705993231890751</x:v>
      </x:c>
      <x:c r="L182" s="23" t="n">
        <x:f>IF(COUNT(H182:K182)=0,"",AVERAGE(H182:K182))</x:f>
        <x:v>-0.06965536282264703</x:v>
      </x:c>
      <x:c r="M182" s="22" t="n">
        <x:f>COUNT(H182:K182)</x:f>
        <x:v>4</x:v>
      </x:c>
      <x:c r="N182" s="25" t="n">
        <x:v>46210.73378372685</x:v>
      </x:c>
      <x:c r="O182" s="24" t="n">
        <x:v>8902245</x:v>
      </x:c>
      <x:c r="P182" t="str">
        <x:v>legacy_common_sample_8902245</x:v>
      </x:c>
      <x:c r="Q182" t="str">
        <x:v>factor_report/gtja191_batch/gtja_132</x:v>
      </x:c>
    </x:row>
    <x:row r="183">
      <x:c r="A183" s="22" t="n">
        <x:f>IF($D183="ranked",1+COUNTIFS($D$5:$D$190,"ranked",$E$5:$E$190,"&gt;"&amp;$E183),"")</x:f>
        <x:v>179</x:v>
      </x:c>
      <x:c r="B183" s="22" t="n">
        <x:f>IF($D183="ranked",1+COUNTIFS($D$5:$D$190,"ranked",$F$5:$F$190,"&gt;"&amp;$F183),"")</x:f>
        <x:v>4</x:v>
      </x:c>
      <x:c r="C183" t="str">
        <x:v>gtja_159</x:v>
      </x:c>
      <x:c r="D183" t="str">
        <x:v>ranked</x:v>
      </x:c>
      <x:c r="E183" s="23" t="n">
        <x:f>IF(COUNT(J183,K183)&lt;2,"",AVERAGE(J183,K183))</x:f>
        <x:v>-0.09131353019127256</x:v>
      </x:c>
      <x:c r="F183" s="23" t="n">
        <x:f>IF(E183="","",ABS(E183))</x:f>
        <x:v>0.09131353019127256</x:v>
      </x:c>
      <x:c r="G183" s="23" t="str">
        <x:f>IF(E183="","",IF(E183&gt;=0,"positive","negative"))</x:f>
        <x:v>negative</x:v>
      </x:c>
      <x:c r="H183" s="23" t="n">
        <x:f>IF(COUNTIFS('Raw IC'!$A$5:$A$546,$C183,'Raw IC'!$B$5:$B$546,1)=0,"",SUMIFS('Raw IC'!$C$5:$C$546,'Raw IC'!$A$5:$A$546,$C183,'Raw IC'!$B$5:$B$546,1))</x:f>
        <x:v>-0.0564643230896578</x:v>
      </x:c>
      <x:c r="I183" s="23" t="n">
        <x:f>IF(COUNTIFS('Raw IC'!$A$5:$A$546,$C183,'Raw IC'!$B$5:$B$546,5)=0,"",SUMIFS('Raw IC'!$C$5:$C$546,'Raw IC'!$A$5:$A$546,$C183,'Raw IC'!$B$5:$B$546,5))</x:f>
        <x:v>-0.07569628027837899</x:v>
      </x:c>
      <x:c r="J183" s="23" t="n">
        <x:f>IF(COUNTIFS('Raw IC'!$A$5:$A$546,$C183,'Raw IC'!$B$5:$B$546,10)=0,"",SUMIFS('Raw IC'!$C$5:$C$546,'Raw IC'!$A$5:$A$546,$C183,'Raw IC'!$B$5:$B$546,10))</x:f>
        <x:v>-0.08558369624505881</x:v>
      </x:c>
      <x:c r="K183" s="23" t="n">
        <x:f>IF(COUNTIFS('Raw IC'!$A$5:$A$546,$C183,'Raw IC'!$B$5:$B$546,20)=0,"",SUMIFS('Raw IC'!$C$5:$C$546,'Raw IC'!$A$5:$A$546,$C183,'Raw IC'!$B$5:$B$546,20))</x:f>
        <x:v>-0.09704336413748631</x:v>
      </x:c>
      <x:c r="L183" s="23" t="n">
        <x:f>IF(COUNT(H183:K183)=0,"",AVERAGE(H183:K183))</x:f>
        <x:v>-0.07869691593764548</x:v>
      </x:c>
      <x:c r="M183" s="22" t="n">
        <x:f>COUNT(H183:K183)</x:f>
        <x:v>4</x:v>
      </x:c>
      <x:c r="N183" s="25" t="n">
        <x:v>46210.85484907407</x:v>
      </x:c>
      <x:c r="O183" s="24" t="n">
        <x:v>8902245</x:v>
      </x:c>
      <x:c r="P183" t="str">
        <x:v>legacy_common_sample_8902245</x:v>
      </x:c>
      <x:c r="Q183" t="str">
        <x:v>factor_report/gtja191_batch/gtja_159</x:v>
      </x:c>
    </x:row>
    <x:row r="184">
      <x:c r="A184" s="22" t="n">
        <x:f>IF($D184="ranked",1+COUNTIFS($D$5:$D$190,"ranked",$E$5:$E$190,"&gt;"&amp;$E184),"")</x:f>
        <x:v>180</x:v>
      </x:c>
      <x:c r="B184" s="22" t="n">
        <x:f>IF($D184="ranked",1+COUNTIFS($D$5:$D$190,"ranked",$F$5:$F$190,"&gt;"&amp;$F184),"")</x:f>
        <x:v>3</x:v>
      </x:c>
      <x:c r="C184" t="str">
        <x:v>gtja_095</x:v>
      </x:c>
      <x:c r="D184" t="str">
        <x:v>ranked</x:v>
      </x:c>
      <x:c r="E184" s="23" t="n">
        <x:f>IF(COUNT(J184,K184)&lt;2,"",AVERAGE(J184,K184))</x:f>
        <x:v>-0.09684129568725908</x:v>
      </x:c>
      <x:c r="F184" s="23" t="n">
        <x:f>IF(E184="","",ABS(E184))</x:f>
        <x:v>0.09684129568725908</x:v>
      </x:c>
      <x:c r="G184" s="23" t="str">
        <x:f>IF(E184="","",IF(E184&gt;=0,"positive","negative"))</x:f>
        <x:v>negative</x:v>
      </x:c>
      <x:c r="H184" s="23" t="n">
        <x:f>IF(COUNTIFS('Raw IC'!$A$5:$A$546,$C184,'Raw IC'!$B$5:$B$546,1)=0,"",SUMIFS('Raw IC'!$C$5:$C$546,'Raw IC'!$A$5:$A$546,$C184,'Raw IC'!$B$5:$B$546,1))</x:f>
        <x:v>-0.04753124147951448</x:v>
      </x:c>
      <x:c r="I184" s="23" t="n">
        <x:f>IF(COUNTIFS('Raw IC'!$A$5:$A$546,$C184,'Raw IC'!$B$5:$B$546,5)=0,"",SUMIFS('Raw IC'!$C$5:$C$546,'Raw IC'!$A$5:$A$546,$C184,'Raw IC'!$B$5:$B$546,5))</x:f>
        <x:v>-0.07331536821708363</x:v>
      </x:c>
      <x:c r="J184" s="23" t="n">
        <x:f>IF(COUNTIFS('Raw IC'!$A$5:$A$546,$C184,'Raw IC'!$B$5:$B$546,10)=0,"",SUMIFS('Raw IC'!$C$5:$C$546,'Raw IC'!$A$5:$A$546,$C184,'Raw IC'!$B$5:$B$546,10))</x:f>
        <x:v>-0.08771344028321716</x:v>
      </x:c>
      <x:c r="K184" s="23" t="n">
        <x:f>IF(COUNTIFS('Raw IC'!$A$5:$A$546,$C184,'Raw IC'!$B$5:$B$546,20)=0,"",SUMIFS('Raw IC'!$C$5:$C$546,'Raw IC'!$A$5:$A$546,$C184,'Raw IC'!$B$5:$B$546,20))</x:f>
        <x:v>-0.105969151091301</x:v>
      </x:c>
      <x:c r="L184" s="23" t="n">
        <x:f>IF(COUNT(H184:K184)=0,"",AVERAGE(H184:K184))</x:f>
        <x:v>-0.07863230026777907</x:v>
      </x:c>
      <x:c r="M184" s="22" t="n">
        <x:f>COUNT(H184:K184)</x:f>
        <x:v>4</x:v>
      </x:c>
      <x:c r="N184" s="25" t="n">
        <x:v>46210.552701967594</x:v>
      </x:c>
      <x:c r="O184" s="24" t="n">
        <x:v>8902245</x:v>
      </x:c>
      <x:c r="P184" t="str">
        <x:v>legacy_common_sample_8902245</x:v>
      </x:c>
      <x:c r="Q184" t="str">
        <x:v>factor_report/gtja191_batch/gtja_095</x:v>
      </x:c>
    </x:row>
    <x:row r="185">
      <x:c r="A185" s="22" t="n">
        <x:f>IF($D185="ranked",1+COUNTIFS($D$5:$D$190,"ranked",$E$5:$E$190,"&gt;"&amp;$E185),"")</x:f>
        <x:v>181</x:v>
      </x:c>
      <x:c r="B185" s="22" t="n">
        <x:f>IF($D185="ranked",1+COUNTIFS($D$5:$D$190,"ranked",$F$5:$F$190,"&gt;"&amp;$F185),"")</x:f>
        <x:v>2</x:v>
      </x:c>
      <x:c r="C185" t="str">
        <x:v>gtja_070</x:v>
      </x:c>
      <x:c r="D185" t="str">
        <x:v>ranked</x:v>
      </x:c>
      <x:c r="E185" s="23" t="n">
        <x:f>IF(COUNT(J185,K185)&lt;2,"",AVERAGE(J185,K185))</x:f>
        <x:v>-0.10038569235508742</x:v>
      </x:c>
      <x:c r="F185" s="23" t="n">
        <x:f>IF(E185="","",ABS(E185))</x:f>
        <x:v>0.10038569235508742</x:v>
      </x:c>
      <x:c r="G185" s="23" t="str">
        <x:f>IF(E185="","",IF(E185&gt;=0,"positive","negative"))</x:f>
        <x:v>negative</x:v>
      </x:c>
      <x:c r="H185" s="23" t="n">
        <x:f>IF(COUNTIFS('Raw IC'!$A$5:$A$546,$C185,'Raw IC'!$B$5:$B$546,1)=0,"",SUMIFS('Raw IC'!$C$5:$C$546,'Raw IC'!$A$5:$A$546,$C185,'Raw IC'!$B$5:$B$546,1))</x:f>
        <x:v>-0.053577432783182125</x:v>
      </x:c>
      <x:c r="I185" s="23" t="n">
        <x:f>IF(COUNTIFS('Raw IC'!$A$5:$A$546,$C185,'Raw IC'!$B$5:$B$546,5)=0,"",SUMIFS('Raw IC'!$C$5:$C$546,'Raw IC'!$A$5:$A$546,$C185,'Raw IC'!$B$5:$B$546,5))</x:f>
        <x:v>-0.07833974128786508</x:v>
      </x:c>
      <x:c r="J185" s="23" t="n">
        <x:f>IF(COUNTIFS('Raw IC'!$A$5:$A$546,$C185,'Raw IC'!$B$5:$B$546,10)=0,"",SUMIFS('Raw IC'!$C$5:$C$546,'Raw IC'!$A$5:$A$546,$C185,'Raw IC'!$B$5:$B$546,10))</x:f>
        <x:v>-0.09200568839452039</x:v>
      </x:c>
      <x:c r="K185" s="23" t="n">
        <x:f>IF(COUNTIFS('Raw IC'!$A$5:$A$546,$C185,'Raw IC'!$B$5:$B$546,20)=0,"",SUMIFS('Raw IC'!$C$5:$C$546,'Raw IC'!$A$5:$A$546,$C185,'Raw IC'!$B$5:$B$546,20))</x:f>
        <x:v>-0.10876569631565444</x:v>
      </x:c>
      <x:c r="L185" s="23" t="n">
        <x:f>IF(COUNT(H185:K185)=0,"",AVERAGE(H185:K185))</x:f>
        <x:v>-0.08317213969530551</x:v>
      </x:c>
      <x:c r="M185" s="22" t="n">
        <x:f>COUNT(H185:K185)</x:f>
        <x:v>4</x:v>
      </x:c>
      <x:c r="N185" s="25" t="n">
        <x:v>46210.41622457176</x:v>
      </x:c>
      <x:c r="O185" s="24" t="n">
        <x:v>8902245</x:v>
      </x:c>
      <x:c r="P185" t="str">
        <x:v>legacy_common_sample_8902245</x:v>
      </x:c>
      <x:c r="Q185" t="str">
        <x:v>factor_report/gtja191_batch/gtja_070</x:v>
      </x:c>
    </x:row>
    <x:row r="186">
      <x:c r="A186" s="22" t="n">
        <x:f>IF($D186="ranked",1+COUNTIFS($D$5:$D$190,"ranked",$E$5:$E$190,"&gt;"&amp;$E186),"")</x:f>
        <x:v>182</x:v>
      </x:c>
      <x:c r="B186" s="22" t="n">
        <x:f>IF($D186="ranked",1+COUNTIFS($D$5:$D$190,"ranked",$F$5:$F$190,"&gt;"&amp;$F186),"")</x:f>
        <x:v>1</x:v>
      </x:c>
      <x:c r="C186" t="str">
        <x:v>gtja_150</x:v>
      </x:c>
      <x:c r="D186" t="str">
        <x:v>ranked</x:v>
      </x:c>
      <x:c r="E186" s="23" t="n">
        <x:f>IF(COUNT(J186,K186)&lt;2,"",AVERAGE(J186,K186))</x:f>
        <x:v>-0.1019064772079622</x:v>
      </x:c>
      <x:c r="F186" s="23" t="n">
        <x:f>IF(E186="","",ABS(E186))</x:f>
        <x:v>0.1019064772079622</x:v>
      </x:c>
      <x:c r="G186" s="23" t="str">
        <x:f>IF(E186="","",IF(E186&gt;=0,"positive","negative"))</x:f>
        <x:v>negative</x:v>
      </x:c>
      <x:c r="H186" s="23" t="n">
        <x:f>IF(COUNTIFS('Raw IC'!$A$5:$A$546,$C186,'Raw IC'!$B$5:$B$546,1)=0,"",SUMIFS('Raw IC'!$C$5:$C$546,'Raw IC'!$A$5:$A$546,$C186,'Raw IC'!$B$5:$B$546,1))</x:f>
        <x:v>-0.05336353246450551</x:v>
      </x:c>
      <x:c r="I186" s="23" t="n">
        <x:f>IF(COUNTIFS('Raw IC'!$A$5:$A$546,$C186,'Raw IC'!$B$5:$B$546,5)=0,"",SUMIFS('Raw IC'!$C$5:$C$546,'Raw IC'!$A$5:$A$546,$C186,'Raw IC'!$B$5:$B$546,5))</x:f>
        <x:v>-0.07784400675240061</x:v>
      </x:c>
      <x:c r="J186" s="23" t="n">
        <x:f>IF(COUNTIFS('Raw IC'!$A$5:$A$546,$C186,'Raw IC'!$B$5:$B$546,10)=0,"",SUMIFS('Raw IC'!$C$5:$C$546,'Raw IC'!$A$5:$A$546,$C186,'Raw IC'!$B$5:$B$546,10))</x:f>
        <x:v>-0.09224468197712768</x:v>
      </x:c>
      <x:c r="K186" s="23" t="n">
        <x:f>IF(COUNTIFS('Raw IC'!$A$5:$A$546,$C186,'Raw IC'!$B$5:$B$546,20)=0,"",SUMIFS('Raw IC'!$C$5:$C$546,'Raw IC'!$A$5:$A$546,$C186,'Raw IC'!$B$5:$B$546,20))</x:f>
        <x:v>-0.11156827243879673</x:v>
      </x:c>
      <x:c r="L186" s="23" t="n">
        <x:f>IF(COUNT(H186:K186)=0,"",AVERAGE(H186:K186))</x:f>
        <x:v>-0.08375512340820764</x:v>
      </x:c>
      <x:c r="M186" s="22" t="n">
        <x:f>COUNT(H186:K186)</x:f>
        <x:v>4</x:v>
      </x:c>
      <x:c r="N186" s="25" t="n">
        <x:v>46210.81356047454</x:v>
      </x:c>
      <x:c r="O186" s="24" t="n">
        <x:v>8902245</x:v>
      </x:c>
      <x:c r="P186" t="str">
        <x:v>legacy_common_sample_8902245</x:v>
      </x:c>
      <x:c r="Q186" t="str">
        <x:v>factor_report/gtja191_batch/gtja_150</x:v>
      </x:c>
    </x:row>
    <x:row r="187">
      <x:c r="A187" s="28" t="str">
        <x:f>IF($D187="ranked",1+COUNTIFS($D$5:$D$190,"ranked",$E$5:$E$190,"&gt;"&amp;$E187),"")</x:f>
      </x:c>
      <x:c r="B187" s="28" t="str">
        <x:f>IF($D187="ranked",1+COUNTIFS($D$5:$D$190,"ranked",$F$5:$F$190,"&gt;"&amp;$F187),"")</x:f>
      </x:c>
      <x:c r="C187" s="29" t="str">
        <x:v>gtja_005</x:v>
      </x:c>
      <x:c r="D187" s="29" t="str">
        <x:v>not comparable</x:v>
      </x:c>
      <x:c r="E187" s="30" t="n">
        <x:f>IF(COUNT(J187,K187)&lt;2,"",AVERAGE(J187,K187))</x:f>
        <x:v>0.04200124063561778</x:v>
      </x:c>
      <x:c r="F187" s="30" t="n">
        <x:f>IF(E187="","",ABS(E187))</x:f>
        <x:v>0.04200124063561778</x:v>
      </x:c>
      <x:c r="G187" s="30" t="str">
        <x:f>IF(E187="","",IF(E187&gt;=0,"positive","negative"))</x:f>
        <x:v>positive</x:v>
      </x:c>
      <x:c r="H187" s="30" t="n">
        <x:f>IF(COUNTIFS('Raw IC'!$A$5:$A$546,$C187,'Raw IC'!$B$5:$B$546,1)=0,"",SUMIFS('Raw IC'!$C$5:$C$546,'Raw IC'!$A$5:$A$546,$C187,'Raw IC'!$B$5:$B$546,1))</x:f>
        <x:v>0.025079713667741598</x:v>
      </x:c>
      <x:c r="I187" s="30" t="n">
        <x:f>IF(COUNTIFS('Raw IC'!$A$5:$A$546,$C187,'Raw IC'!$B$5:$B$546,5)=0,"",SUMIFS('Raw IC'!$C$5:$C$546,'Raw IC'!$A$5:$A$546,$C187,'Raw IC'!$B$5:$B$546,5))</x:f>
        <x:v>0.034656028635606344</x:v>
      </x:c>
      <x:c r="J187" s="30" t="n">
        <x:f>IF(COUNTIFS('Raw IC'!$A$5:$A$546,$C187,'Raw IC'!$B$5:$B$546,10)=0,"",SUMIFS('Raw IC'!$C$5:$C$546,'Raw IC'!$A$5:$A$546,$C187,'Raw IC'!$B$5:$B$546,10))</x:f>
        <x:v>0.03902523523078319</x:v>
      </x:c>
      <x:c r="K187" s="30" t="n">
        <x:f>IF(COUNTIFS('Raw IC'!$A$5:$A$546,$C187,'Raw IC'!$B$5:$B$546,20)=0,"",SUMIFS('Raw IC'!$C$5:$C$546,'Raw IC'!$A$5:$A$546,$C187,'Raw IC'!$B$5:$B$546,20))</x:f>
        <x:v>0.044977246040452376</x:v>
      </x:c>
      <x:c r="L187" s="30" t="n">
        <x:f>IF(COUNT(H187:K187)=0,"",AVERAGE(H187:K187))</x:f>
        <x:v>0.03593455589364587</x:v>
      </x:c>
      <x:c r="M187" s="28" t="n">
        <x:f>COUNT(H187:K187)</x:f>
        <x:v>4</x:v>
      </x:c>
      <x:c r="N187" s="31" t="n">
        <x:v>46230.276212083336</x:v>
      </x:c>
      <x:c r="O187" s="32" t="n">
        <x:v>13231952</x:v>
      </x:c>
      <x:c r="P187" s="29" t="str">
        <x:v>latest_context_sample_13231952</x:v>
      </x:c>
      <x:c r="Q187" s="29" t="str">
        <x:v>factor_report/gtja191_batch/gtja_005</x:v>
      </x:c>
    </x:row>
    <x:row r="188">
      <x:c r="A188" s="28" t="str">
        <x:f>IF($D188="ranked",1+COUNTIFS($D$5:$D$190,"ranked",$E$5:$E$190,"&gt;"&amp;$E188),"")</x:f>
      </x:c>
      <x:c r="B188" s="28" t="str">
        <x:f>IF($D188="ranked",1+COUNTIFS($D$5:$D$190,"ranked",$F$5:$F$190,"&gt;"&amp;$F188),"")</x:f>
      </x:c>
      <x:c r="C188" s="29" t="str">
        <x:v>gtja_007</x:v>
      </x:c>
      <x:c r="D188" s="29" t="str">
        <x:v>not comparable</x:v>
      </x:c>
      <x:c r="E188" s="30" t="n">
        <x:f>IF(COUNT(J188,K188)&lt;2,"",AVERAGE(J188,K188))</x:f>
        <x:v>0.024265391842225786</x:v>
      </x:c>
      <x:c r="F188" s="30" t="n">
        <x:f>IF(E188="","",ABS(E188))</x:f>
        <x:v>0.024265391842225786</x:v>
      </x:c>
      <x:c r="G188" s="30" t="str">
        <x:f>IF(E188="","",IF(E188&gt;=0,"positive","negative"))</x:f>
        <x:v>positive</x:v>
      </x:c>
      <x:c r="H188" s="30" t="n">
        <x:f>IF(COUNTIFS('Raw IC'!$A$5:$A$546,$C188,'Raw IC'!$B$5:$B$546,1)=0,"",SUMIFS('Raw IC'!$C$5:$C$546,'Raw IC'!$A$5:$A$546,$C188,'Raw IC'!$B$5:$B$546,1))</x:f>
        <x:v>0.015733085135450964</x:v>
      </x:c>
      <x:c r="I188" s="30" t="n">
        <x:f>IF(COUNTIFS('Raw IC'!$A$5:$A$546,$C188,'Raw IC'!$B$5:$B$546,5)=0,"",SUMIFS('Raw IC'!$C$5:$C$546,'Raw IC'!$A$5:$A$546,$C188,'Raw IC'!$B$5:$B$546,5))</x:f>
        <x:v>0.018668235177516715</x:v>
      </x:c>
      <x:c r="J188" s="30" t="n">
        <x:f>IF(COUNTIFS('Raw IC'!$A$5:$A$546,$C188,'Raw IC'!$B$5:$B$546,10)=0,"",SUMIFS('Raw IC'!$C$5:$C$546,'Raw IC'!$A$5:$A$546,$C188,'Raw IC'!$B$5:$B$546,10))</x:f>
        <x:v>0.02179431632463765</x:v>
      </x:c>
      <x:c r="K188" s="30" t="n">
        <x:f>IF(COUNTIFS('Raw IC'!$A$5:$A$546,$C188,'Raw IC'!$B$5:$B$546,20)=0,"",SUMIFS('Raw IC'!$C$5:$C$546,'Raw IC'!$A$5:$A$546,$C188,'Raw IC'!$B$5:$B$546,20))</x:f>
        <x:v>0.02673646735981392</x:v>
      </x:c>
      <x:c r="L188" s="30" t="n">
        <x:f>IF(COUNT(H188:K188)=0,"",AVERAGE(H188:K188))</x:f>
        <x:v>0.020733025999354813</x:v>
      </x:c>
      <x:c r="M188" s="28" t="n">
        <x:f>COUNT(H188:K188)</x:f>
        <x:v>4</x:v>
      </x:c>
      <x:c r="N188" s="31" t="n">
        <x:v>46230.29278930555</x:v>
      </x:c>
      <x:c r="O188" s="32" t="n">
        <x:v>13231952</x:v>
      </x:c>
      <x:c r="P188" s="29" t="str">
        <x:v>latest_context_sample_13231952</x:v>
      </x:c>
      <x:c r="Q188" s="29" t="str">
        <x:v>factor_report/gtja191_batch/gtja_007</x:v>
      </x:c>
    </x:row>
    <x:row r="189">
      <x:c r="A189" s="28" t="str">
        <x:f>IF($D189="ranked",1+COUNTIFS($D$5:$D$190,"ranked",$E$5:$E$190,"&gt;"&amp;$E189),"")</x:f>
      </x:c>
      <x:c r="B189" s="28" t="str">
        <x:f>IF($D189="ranked",1+COUNTIFS($D$5:$D$190,"ranked",$F$5:$F$190,"&gt;"&amp;$F189),"")</x:f>
      </x:c>
      <x:c r="C189" s="29" t="str">
        <x:v>gtja_012</x:v>
      </x:c>
      <x:c r="D189" s="29" t="str">
        <x:v>not comparable</x:v>
      </x:c>
      <x:c r="E189" s="30" t="n">
        <x:f>IF(COUNT(J189,K189)&lt;2,"",AVERAGE(J189,K189))</x:f>
        <x:v>0.03591016250112423</x:v>
      </x:c>
      <x:c r="F189" s="30" t="n">
        <x:f>IF(E189="","",ABS(E189))</x:f>
        <x:v>0.03591016250112423</x:v>
      </x:c>
      <x:c r="G189" s="30" t="str">
        <x:f>IF(E189="","",IF(E189&gt;=0,"positive","negative"))</x:f>
        <x:v>positive</x:v>
      </x:c>
      <x:c r="H189" s="30" t="n">
        <x:f>IF(COUNTIFS('Raw IC'!$A$5:$A$546,$C189,'Raw IC'!$B$5:$B$546,1)=0,"",SUMIFS('Raw IC'!$C$5:$C$546,'Raw IC'!$A$5:$A$546,$C189,'Raw IC'!$B$5:$B$546,1))</x:f>
        <x:v>0.028202410278958145</x:v>
      </x:c>
      <x:c r="I189" s="30" t="n">
        <x:f>IF(COUNTIFS('Raw IC'!$A$5:$A$546,$C189,'Raw IC'!$B$5:$B$546,5)=0,"",SUMIFS('Raw IC'!$C$5:$C$546,'Raw IC'!$A$5:$A$546,$C189,'Raw IC'!$B$5:$B$546,5))</x:f>
        <x:v>0.030794620141745433</x:v>
      </x:c>
      <x:c r="J189" s="30" t="n">
        <x:f>IF(COUNTIFS('Raw IC'!$A$5:$A$546,$C189,'Raw IC'!$B$5:$B$546,10)=0,"",SUMIFS('Raw IC'!$C$5:$C$546,'Raw IC'!$A$5:$A$546,$C189,'Raw IC'!$B$5:$B$546,10))</x:f>
        <x:v>0.031925398033713505</x:v>
      </x:c>
      <x:c r="K189" s="30" t="n">
        <x:f>IF(COUNTIFS('Raw IC'!$A$5:$A$546,$C189,'Raw IC'!$B$5:$B$546,20)=0,"",SUMIFS('Raw IC'!$C$5:$C$546,'Raw IC'!$A$5:$A$546,$C189,'Raw IC'!$B$5:$B$546,20))</x:f>
        <x:v>0.03989492696853495</x:v>
      </x:c>
      <x:c r="L189" s="30" t="n">
        <x:f>IF(COUNT(H189:K189)=0,"",AVERAGE(H189:K189))</x:f>
        <x:v>0.03270433885573801</x:v>
      </x:c>
      <x:c r="M189" s="28" t="n">
        <x:f>COUNT(H189:K189)</x:f>
        <x:v>4</x:v>
      </x:c>
      <x:c r="N189" s="31" t="n">
        <x:v>46230.30990840278</x:v>
      </x:c>
      <x:c r="O189" s="32" t="n">
        <x:v>13231952</x:v>
      </x:c>
      <x:c r="P189" s="29" t="str">
        <x:v>latest_context_sample_13231952</x:v>
      </x:c>
      <x:c r="Q189" s="29" t="str">
        <x:v>factor_report/gtja191_batch/gtja_012</x:v>
      </x:c>
    </x:row>
    <x:row r="190">
      <x:c r="A190" s="28" t="str">
        <x:f>IF($D190="ranked",1+COUNTIFS($D$5:$D$190,"ranked",$E$5:$E$190,"&gt;"&amp;$E190),"")</x:f>
      </x:c>
      <x:c r="B190" s="28" t="str">
        <x:f>IF($D190="ranked",1+COUNTIFS($D$5:$D$190,"ranked",$F$5:$F$190,"&gt;"&amp;$F190),"")</x:f>
      </x:c>
      <x:c r="C190" s="29" t="str">
        <x:v>gtja_015</x:v>
      </x:c>
      <x:c r="D190" s="29" t="str">
        <x:v>not comparable</x:v>
      </x:c>
      <x:c r="E190" s="30" t="n">
        <x:f>IF(COUNT(J190,K190)&lt;2,"",AVERAGE(J190,K190))</x:f>
        <x:v>0.01796200283216856</x:v>
      </x:c>
      <x:c r="F190" s="30" t="n">
        <x:f>IF(E190="","",ABS(E190))</x:f>
        <x:v>0.01796200283216856</x:v>
      </x:c>
      <x:c r="G190" s="30" t="str">
        <x:f>IF(E190="","",IF(E190&gt;=0,"positive","negative"))</x:f>
        <x:v>positive</x:v>
      </x:c>
      <x:c r="H190" s="30" t="n">
        <x:f>IF(COUNTIFS('Raw IC'!$A$5:$A$546,$C190,'Raw IC'!$B$5:$B$546,1)=0,"",SUMIFS('Raw IC'!$C$5:$C$546,'Raw IC'!$A$5:$A$546,$C190,'Raw IC'!$B$5:$B$546,1))</x:f>
        <x:v>0.010154917297053636</x:v>
      </x:c>
      <x:c r="I190" s="30" t="n">
        <x:f>IF(COUNTIFS('Raw IC'!$A$5:$A$546,$C190,'Raw IC'!$B$5:$B$546,5)=0,"",SUMIFS('Raw IC'!$C$5:$C$546,'Raw IC'!$A$5:$A$546,$C190,'Raw IC'!$B$5:$B$546,5))</x:f>
        <x:v>0.013217935937819593</x:v>
      </x:c>
      <x:c r="J190" s="30" t="n">
        <x:f>IF(COUNTIFS('Raw IC'!$A$5:$A$546,$C190,'Raw IC'!$B$5:$B$546,10)=0,"",SUMIFS('Raw IC'!$C$5:$C$546,'Raw IC'!$A$5:$A$546,$C190,'Raw IC'!$B$5:$B$546,10))</x:f>
        <x:v>0.016707428436345515</x:v>
      </x:c>
      <x:c r="K190" s="30" t="n">
        <x:f>IF(COUNTIFS('Raw IC'!$A$5:$A$546,$C190,'Raw IC'!$B$5:$B$546,20)=0,"",SUMIFS('Raw IC'!$C$5:$C$546,'Raw IC'!$A$5:$A$546,$C190,'Raw IC'!$B$5:$B$546,20))</x:f>
        <x:v>0.019216577227991607</x:v>
      </x:c>
      <x:c r="L190" s="30" t="n">
        <x:f>IF(COUNT(H190:K190)=0,"",AVERAGE(H190:K190))</x:f>
        <x:v>0.014824214724802588</x:v>
      </x:c>
      <x:c r="M190" s="28" t="n">
        <x:f>COUNT(H190:K190)</x:f>
        <x:v>4</x:v>
      </x:c>
      <x:c r="N190" s="31" t="n">
        <x:v>46230.32700612269</x:v>
      </x:c>
      <x:c r="O190" s="32" t="n">
        <x:v>13231952</x:v>
      </x:c>
      <x:c r="P190" s="29" t="str">
        <x:v>latest_context_sample_13231952</x:v>
      </x:c>
      <x:c r="Q190" s="29" t="str">
        <x:v>factor_report/gtja191_batch/gtja_015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7b21c33bee64d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2" hidden="0" customWidth="1"/>
    <x:col min="5" max="5" width="18" hidden="0" customWidth="1"/>
    <x:col min="6" max="6" width="16" hidden="0" customWidth="1"/>
    <x:col min="7" max="7" width="18" hidden="0" customWidth="1"/>
    <x:col min="8" max="8" width="13" hidden="0" customWidth="1"/>
    <x:col min="9" max="9" width="14" hidden="0" customWidth="1"/>
    <x:col min="10" max="10" width="13" hidden="0" customWidth="1"/>
    <x:col min="11" max="11" width="17" hidden="0" customWidth="1"/>
    <x:col min="12" max="12" width="17" hidden="0" customWidth="1"/>
    <x:col min="13" max="13" width="31" hidden="0" customWidth="1"/>
    <x:col min="14" max="14" width="20" hidden="0" customWidth="1"/>
    <x:col min="15" max="15" width="18" hidden="0" customWidth="1"/>
    <x:col min="16" max="16" width="48" hidden="0" customWidth="1"/>
  </x:cols>
  <x:sheetData>
    <x:row r="1" ht="30" customHeight="1">
      <x:c r="A1" s="3" t="str">
        <x:v>Complete Rank IC Mean Ranking by Window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All 542 available factor-window observations. Signed and strength ranks are calculated inside each horizon for the comparable cohort only.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19" t="str">
        <x:v>Signed Rank</x:v>
      </x:c>
      <x:c r="B4" s="20" t="str">
        <x:v>Strength Rank</x:v>
      </x:c>
      <x:c r="C4" s="20" t="str">
        <x:v>Factor</x:v>
      </x:c>
      <x:c r="D4" s="20" t="str">
        <x:v>Window Days</x:v>
      </x:c>
      <x:c r="E4" s="20" t="str">
        <x:v>Comparison Status</x:v>
      </x:c>
      <x:c r="F4" s="20" t="str">
        <x:v>Rank IC Mean</x:v>
      </x:c>
      <x:c r="G4" s="20" t="str">
        <x:v>Abs Rank IC Mean</x:v>
      </x:c>
      <x:c r="H4" s="20" t="str">
        <x:v>Direction</x:v>
      </x:c>
      <x:c r="I4" s="20" t="str">
        <x:v>Rank IC Std</x:v>
      </x:c>
      <x:c r="J4" s="20" t="str">
        <x:v>Rank ICIR</x:v>
      </x:c>
      <x:c r="K4" s="20" t="str">
        <x:v>Rank IC Win Rate</x:v>
      </x:c>
      <x:c r="L4" s="20" t="str">
        <x:v>Observation Count</x:v>
      </x:c>
      <x:c r="M4" s="20" t="str">
        <x:v>Comparison Cohort</x:v>
      </x:c>
      <x:c r="N4" s="20" t="str">
        <x:v>Completed At</x:v>
      </x:c>
      <x:c r="O4" s="20" t="str">
        <x:v>Source Row Count</x:v>
      </x:c>
      <x:c r="P4" s="21" t="str">
        <x:v>Source File</x:v>
      </x:c>
    </x:row>
    <x:row r="5">
      <x:c r="A5" s="22" t="n">
        <x:f>IF($E5="ranked",1+COUNTIFS($D$5:$D$546,$D5,$E$5:$E$546,"ranked",$F$5:$F$546,"&gt;"&amp;$F5),"")</x:f>
        <x:v>1</x:v>
      </x:c>
      <x:c r="B5" s="22" t="n">
        <x:f>IF($E5="ranked",1+COUNTIFS($D$5:$D$546,$D5,$E$5:$E$546,"ranked",$G$5:$G$546,"&gt;"&amp;$G5),"")</x:f>
        <x:v>81</x:v>
      </x:c>
      <x:c r="C5" t="str">
        <x:v>gtja_107</x:v>
      </x:c>
      <x:c r="D5" s="22" t="n">
        <x:v>1</x:v>
      </x:c>
      <x:c r="E5" t="str">
        <x:v>ranked</x:v>
      </x:c>
      <x:c r="F5" s="23" t="n">
        <x:v>-0.009023508854960031</x:v>
      </x:c>
      <x:c r="G5" s="23" t="n">
        <x:f>ABS(F5)</x:f>
        <x:v>0.009023508854960031</x:v>
      </x:c>
      <x:c r="H5" s="23" t="str">
        <x:f>IF(F5&gt;=0,"positive","negative")</x:f>
        <x:v>negative</x:v>
      </x:c>
      <x:c r="I5" s="23" t="n">
        <x:v>0.09409368196588189</x:v>
      </x:c>
      <x:c r="J5" s="23" t="n">
        <x:v>-0.09589920031221577</x:v>
      </x:c>
      <x:c r="K5" s="23" t="n">
        <x:v>0.4345</x:v>
      </x:c>
      <x:c r="L5" s="24" t="n">
        <x:v>2000</x:v>
      </x:c>
      <x:c r="M5" t="str">
        <x:v>legacy_common_sample_8902245</x:v>
      </x:c>
      <x:c r="N5" s="25" t="n">
        <x:v>46210.60368208333</x:v>
      </x:c>
      <x:c r="O5" s="24" t="n">
        <x:v>8902245</x:v>
      </x:c>
      <x:c r="P5" t="str">
        <x:v>factor_report/gtja191_batch/gtja_107/ic_summary.csv</x:v>
      </x:c>
    </x:row>
    <x:row r="6">
      <x:c r="A6" s="22" t="n">
        <x:f>IF($E6="ranked",1+COUNTIFS($D$5:$D$546,$D6,$E$5:$E$546,"ranked",$F$5:$F$546,"&gt;"&amp;$F6),"")</x:f>
        <x:v>2</x:v>
      </x:c>
      <x:c r="B6" s="22" t="n">
        <x:f>IF($E6="ranked",1+COUNTIFS($D$5:$D$546,$D6,$E$5:$E$546,"ranked",$G$5:$G$546,"&gt;"&amp;$G6),"")</x:f>
        <x:v>80</x:v>
      </x:c>
      <x:c r="C6" t="str">
        <x:v>gtja_060</x:v>
      </x:c>
      <x:c r="D6" s="22" t="n">
        <x:v>1</x:v>
      </x:c>
      <x:c r="E6" t="str">
        <x:v>ranked</x:v>
      </x:c>
      <x:c r="F6" s="23" t="n">
        <x:v>-0.011815777105240049</x:v>
      </x:c>
      <x:c r="G6" s="23" t="n">
        <x:f>ABS(F6)</x:f>
        <x:v>0.011815777105240049</x:v>
      </x:c>
      <x:c r="H6" s="23" t="str">
        <x:f>IF(F6&gt;=0,"positive","negative")</x:f>
        <x:v>negative</x:v>
      </x:c>
      <x:c r="I6" s="23" t="n">
        <x:v>0.10228609687148074</x:v>
      </x:c>
      <x:c r="J6" s="23" t="n">
        <x:v>-0.11551694185854212</x:v>
      </x:c>
      <x:c r="K6" s="23" t="n">
        <x:v>0.4545</x:v>
      </x:c>
      <x:c r="L6" s="24" t="n">
        <x:v>2000</x:v>
      </x:c>
      <x:c r="M6" t="str">
        <x:v>legacy_common_sample_8902245</x:v>
      </x:c>
      <x:c r="N6" s="25" t="n">
        <x:v>46210.37184259259</x:v>
      </x:c>
      <x:c r="O6" s="24" t="n">
        <x:v>8902245</x:v>
      </x:c>
      <x:c r="P6" t="str">
        <x:v>factor_report/gtja191_batch/gtja_060/ic_summary.csv</x:v>
      </x:c>
    </x:row>
    <x:row r="7">
      <x:c r="A7" s="22" t="n">
        <x:f>IF($E7="ranked",1+COUNTIFS($D$5:$D$546,$D7,$E$5:$E$546,"ranked",$F$5:$F$546,"&gt;"&amp;$F7),"")</x:f>
        <x:v>3</x:v>
      </x:c>
      <x:c r="B7" s="22" t="n">
        <x:f>IF($E7="ranked",1+COUNTIFS($D$5:$D$546,$D7,$E$5:$E$546,"ranked",$G$5:$G$546,"&gt;"&amp;$G7),"")</x:f>
        <x:v>79</x:v>
      </x:c>
      <x:c r="C7" t="str">
        <x:v>gtja_143</x:v>
      </x:c>
      <x:c r="D7" s="22" t="n">
        <x:v>1</x:v>
      </x:c>
      <x:c r="E7" t="str">
        <x:v>ranked</x:v>
      </x:c>
      <x:c r="F7" s="23" t="n">
        <x:v>-0.012789547134223096</x:v>
      </x:c>
      <x:c r="G7" s="23" t="n">
        <x:f>ABS(F7)</x:f>
        <x:v>0.012789547134223096</x:v>
      </x:c>
      <x:c r="H7" s="23" t="str">
        <x:f>IF(F7&gt;=0,"positive","negative")</x:f>
        <x:v>negative</x:v>
      </x:c>
      <x:c r="I7" s="23" t="n">
        <x:v>0.11586609837595793</x:v>
      </x:c>
      <x:c r="J7" s="23" t="n">
        <x:v>-0.11038213345826195</x:v>
      </x:c>
      <x:c r="K7" s="23" t="n">
        <x:v>0.444</x:v>
      </x:c>
      <x:c r="L7" s="24" t="n">
        <x:v>2000</x:v>
      </x:c>
      <x:c r="M7" t="str">
        <x:v>legacy_common_sample_8902245</x:v>
      </x:c>
      <x:c r="N7" s="25" t="n">
        <x:v>46210.787863425925</x:v>
      </x:c>
      <x:c r="O7" s="24" t="n">
        <x:v>8902245</x:v>
      </x:c>
      <x:c r="P7" t="str">
        <x:v>factor_report/gtja191_batch/gtja_143/ic_summary.csv</x:v>
      </x:c>
    </x:row>
    <x:row r="8">
      <x:c r="A8" s="22" t="n">
        <x:f>IF($E8="ranked",1+COUNTIFS($D$5:$D$546,$D8,$E$5:$E$546,"ranked",$F$5:$F$546,"&gt;"&amp;$F8),"")</x:f>
        <x:v>4</x:v>
      </x:c>
      <x:c r="B8" s="22" t="n">
        <x:f>IF($E8="ranked",1+COUNTIFS($D$5:$D$546,$D8,$E$5:$E$546,"ranked",$G$5:$G$546,"&gt;"&amp;$G8),"")</x:f>
        <x:v>78</x:v>
      </x:c>
      <x:c r="C8" t="str">
        <x:v>gtja_023</x:v>
      </x:c>
      <x:c r="D8" s="22" t="n">
        <x:v>1</x:v>
      </x:c>
      <x:c r="E8" t="str">
        <x:v>ranked</x:v>
      </x:c>
      <x:c r="F8" s="23" t="n">
        <x:v>-0.014368128371761667</x:v>
      </x:c>
      <x:c r="G8" s="23" t="n">
        <x:f>ABS(F8)</x:f>
        <x:v>0.014368128371761667</x:v>
      </x:c>
      <x:c r="H8" s="23" t="str">
        <x:f>IF(F8&gt;=0,"positive","negative")</x:f>
        <x:v>negative</x:v>
      </x:c>
      <x:c r="I8" s="23" t="n">
        <x:v>0.10702011820031729</x:v>
      </x:c>
      <x:c r="J8" s="23" t="n">
        <x:v>-0.13425633061690143</x:v>
      </x:c>
      <x:c r="K8" s="23" t="n">
        <x:v>0.4495</x:v>
      </x:c>
      <x:c r="L8" s="24" t="n">
        <x:v>2000</x:v>
      </x:c>
      <x:c r="M8" t="str">
        <x:v>legacy_common_sample_8902245</x:v>
      </x:c>
      <x:c r="N8" s="25" t="n">
        <x:v>46210.20966594907</x:v>
      </x:c>
      <x:c r="O8" s="24" t="n">
        <x:v>8902245</x:v>
      </x:c>
      <x:c r="P8" t="str">
        <x:v>factor_report/gtja191_batch/gtja_023/ic_summary.csv</x:v>
      </x:c>
    </x:row>
    <x:row r="9">
      <x:c r="A9" s="22" t="n">
        <x:f>IF($E9="ranked",1+COUNTIFS($D$5:$D$546,$D9,$E$5:$E$546,"ranked",$F$5:$F$546,"&gt;"&amp;$F9),"")</x:f>
        <x:v>5</x:v>
      </x:c>
      <x:c r="B9" s="22" t="n">
        <x:f>IF($E9="ranked",1+COUNTIFS($D$5:$D$546,$D9,$E$5:$E$546,"ranked",$G$5:$G$546,"&gt;"&amp;$G9),"")</x:f>
        <x:v>77</x:v>
      </x:c>
      <x:c r="C9" t="str">
        <x:v>gtja_152</x:v>
      </x:c>
      <x:c r="D9" s="22" t="n">
        <x:v>1</x:v>
      </x:c>
      <x:c r="E9" t="str">
        <x:v>ranked</x:v>
      </x:c>
      <x:c r="F9" s="23" t="n">
        <x:v>-0.01459540524139156</x:v>
      </x:c>
      <x:c r="G9" s="23" t="n">
        <x:f>ABS(F9)</x:f>
        <x:v>0.01459540524139156</x:v>
      </x:c>
      <x:c r="H9" s="23" t="str">
        <x:f>IF(F9&gt;=0,"positive","negative")</x:f>
        <x:v>negative</x:v>
      </x:c>
      <x:c r="I9" s="23" t="n">
        <x:v>0.12663285539332156</x:v>
      </x:c>
      <x:c r="J9" s="23" t="n">
        <x:v>-0.11525764933640832</x:v>
      </x:c>
      <x:c r="K9" s="23" t="n">
        <x:v>0.4465</x:v>
      </x:c>
      <x:c r="L9" s="24" t="n">
        <x:v>2000</x:v>
      </x:c>
      <x:c r="M9" t="str">
        <x:v>legacy_common_sample_8902245</x:v>
      </x:c>
      <x:c r="N9" s="25" t="n">
        <x:v>46210.823093680556</x:v>
      </x:c>
      <x:c r="O9" s="24" t="n">
        <x:v>8902245</x:v>
      </x:c>
      <x:c r="P9" t="str">
        <x:v>factor_report/gtja191_batch/gtja_152/ic_summary.csv</x:v>
      </x:c>
    </x:row>
    <x:row r="10">
      <x:c r="A10" s="22" t="n">
        <x:f>IF($E10="ranked",1+COUNTIFS($D$5:$D$546,$D10,$E$5:$E$546,"ranked",$F$5:$F$546,"&gt;"&amp;$F10),"")</x:f>
        <x:v>6</x:v>
      </x:c>
      <x:c r="B10" s="22" t="n">
        <x:f>IF($E10="ranked",1+COUNTIFS($D$5:$D$546,$D10,$E$5:$E$546,"ranked",$G$5:$G$546,"&gt;"&amp;$G10),"")</x:f>
        <x:v>76</x:v>
      </x:c>
      <x:c r="C10" t="str">
        <x:v>gtja_053</x:v>
      </x:c>
      <x:c r="D10" s="22" t="n">
        <x:v>1</x:v>
      </x:c>
      <x:c r="E10" t="str">
        <x:v>ranked</x:v>
      </x:c>
      <x:c r="F10" s="23" t="n">
        <x:v>-0.016102839965405964</x:v>
      </x:c>
      <x:c r="G10" s="23" t="n">
        <x:f>ABS(F10)</x:f>
        <x:v>0.016102839965405964</x:v>
      </x:c>
      <x:c r="H10" s="23" t="str">
        <x:f>IF(F10&gt;=0,"positive","negative")</x:f>
        <x:v>negative</x:v>
      </x:c>
      <x:c r="I10" s="23" t="n">
        <x:v>0.10446396850624658</x:v>
      </x:c>
      <x:c r="J10" s="23" t="n">
        <x:v>-0.1541473121849001</x:v>
      </x:c>
      <x:c r="K10" s="23" t="n">
        <x:v>0.4415</x:v>
      </x:c>
      <x:c r="L10" s="24" t="n">
        <x:v>2000</x:v>
      </x:c>
      <x:c r="M10" t="str">
        <x:v>legacy_common_sample_8902245</x:v>
      </x:c>
      <x:c r="N10" s="25" t="n">
        <x:v>46210.33939799768</x:v>
      </x:c>
      <x:c r="O10" s="24" t="n">
        <x:v>8902245</x:v>
      </x:c>
      <x:c r="P10" t="str">
        <x:v>factor_report/gtja191_batch/gtja_053/ic_summary.csv</x:v>
      </x:c>
    </x:row>
    <x:row r="11">
      <x:c r="A11" s="22" t="n">
        <x:f>IF($E11="ranked",1+COUNTIFS($D$5:$D$546,$D11,$E$5:$E$546,"ranked",$F$5:$F$546,"&gt;"&amp;$F11),"")</x:f>
        <x:v>7</x:v>
      </x:c>
      <x:c r="B11" s="22" t="n">
        <x:f>IF($E11="ranked",1+COUNTIFS($D$5:$D$546,$D11,$E$5:$E$546,"ranked",$G$5:$G$546,"&gt;"&amp;$G11),"")</x:f>
        <x:v>75</x:v>
      </x:c>
      <x:c r="C11" t="str">
        <x:v>gtja_058</x:v>
      </x:c>
      <x:c r="D11" s="22" t="n">
        <x:v>1</x:v>
      </x:c>
      <x:c r="E11" t="str">
        <x:v>ranked</x:v>
      </x:c>
      <x:c r="F11" s="23" t="n">
        <x:v>-0.016845757410535775</x:v>
      </x:c>
      <x:c r="G11" s="23" t="n">
        <x:f>ABS(F11)</x:f>
        <x:v>0.016845757410535775</x:v>
      </x:c>
      <x:c r="H11" s="23" t="str">
        <x:f>IF(F11&gt;=0,"positive","negative")</x:f>
        <x:v>negative</x:v>
      </x:c>
      <x:c r="I11" s="23" t="n">
        <x:v>0.10993387354475967</x:v>
      </x:c>
      <x:c r="J11" s="23" t="n">
        <x:v>-0.153235366564947</x:v>
      </x:c>
      <x:c r="K11" s="23" t="n">
        <x:v>0.4385</x:v>
      </x:c>
      <x:c r="L11" s="24" t="n">
        <x:v>2000</x:v>
      </x:c>
      <x:c r="M11" t="str">
        <x:v>legacy_common_sample_8902245</x:v>
      </x:c>
      <x:c r="N11" s="25" t="n">
        <x:v>46210.36385592593</x:v>
      </x:c>
      <x:c r="O11" s="24" t="n">
        <x:v>8902245</x:v>
      </x:c>
      <x:c r="P11" t="str">
        <x:v>factor_report/gtja191_batch/gtja_058/ic_summary.csv</x:v>
      </x:c>
    </x:row>
    <x:row r="12">
      <x:c r="A12" s="22" t="n">
        <x:f>IF($E12="ranked",1+COUNTIFS($D$5:$D$546,$D12,$E$5:$E$546,"ranked",$F$5:$F$546,"&gt;"&amp;$F12),"")</x:f>
        <x:v>8</x:v>
      </x:c>
      <x:c r="B12" s="22" t="n">
        <x:f>IF($E12="ranked",1+COUNTIFS($D$5:$D$546,$D12,$E$5:$E$546,"ranked",$G$5:$G$546,"&gt;"&amp;$G12),"")</x:f>
        <x:v>74</x:v>
      </x:c>
      <x:c r="C12" t="str">
        <x:v>gtja_169</x:v>
      </x:c>
      <x:c r="D12" s="22" t="n">
        <x:v>1</x:v>
      </x:c>
      <x:c r="E12" t="str">
        <x:v>ranked</x:v>
      </x:c>
      <x:c r="F12" s="23" t="n">
        <x:v>-0.019095546005785394</x:v>
      </x:c>
      <x:c r="G12" s="23" t="n">
        <x:f>ABS(F12)</x:f>
        <x:v>0.019095546005785394</x:v>
      </x:c>
      <x:c r="H12" s="23" t="str">
        <x:f>IF(F12&gt;=0,"positive","negative")</x:f>
        <x:v>negative</x:v>
      </x:c>
      <x:c r="I12" s="23" t="n">
        <x:v>0.12432931948453992</x:v>
      </x:c>
      <x:c r="J12" s="23" t="n">
        <x:v>-0.1535884382296477</x:v>
      </x:c>
      <x:c r="K12" s="23" t="n">
        <x:v>0.43</x:v>
      </x:c>
      <x:c r="L12" s="24" t="n">
        <x:v>2000</x:v>
      </x:c>
      <x:c r="M12" t="str">
        <x:v>legacy_common_sample_8902245</x:v>
      </x:c>
      <x:c r="N12" s="25" t="n">
        <x:v>46210.89785068287</x:v>
      </x:c>
      <x:c r="O12" s="24" t="n">
        <x:v>8902245</x:v>
      </x:c>
      <x:c r="P12" t="str">
        <x:v>factor_report/gtja191_batch/gtja_169/ic_summary.csv</x:v>
      </x:c>
    </x:row>
    <x:row r="13">
      <x:c r="A13" s="22" t="n">
        <x:f>IF($E13="ranked",1+COUNTIFS($D$5:$D$546,$D13,$E$5:$E$546,"ranked",$F$5:$F$546,"&gt;"&amp;$F13),"")</x:f>
        <x:v>9</x:v>
      </x:c>
      <x:c r="B13" s="22" t="n">
        <x:f>IF($E13="ranked",1+COUNTIFS($D$5:$D$546,$D13,$E$5:$E$546,"ranked",$G$5:$G$546,"&gt;"&amp;$G13),"")</x:f>
        <x:v>73</x:v>
      </x:c>
      <x:c r="C13" t="str">
        <x:v>gtja_093</x:v>
      </x:c>
      <x:c r="D13" s="22" t="n">
        <x:v>1</x:v>
      </x:c>
      <x:c r="E13" t="str">
        <x:v>ranked</x:v>
      </x:c>
      <x:c r="F13" s="23" t="n">
        <x:v>-0.019563766405308748</x:v>
      </x:c>
      <x:c r="G13" s="23" t="n">
        <x:f>ABS(F13)</x:f>
        <x:v>0.019563766405308748</x:v>
      </x:c>
      <x:c r="H13" s="23" t="str">
        <x:f>IF(F13&gt;=0,"positive","negative")</x:f>
        <x:v>negative</x:v>
      </x:c>
      <x:c r="I13" s="23" t="n">
        <x:v>0.17729481293906377</x:v>
      </x:c>
      <x:c r="J13" s="23" t="n">
        <x:v>-0.1103459603865163</x:v>
      </x:c>
      <x:c r="K13" s="23" t="n">
        <x:v>0.451</x:v>
      </x:c>
      <x:c r="L13" s="24" t="n">
        <x:v>2000</x:v>
      </x:c>
      <x:c r="M13" t="str">
        <x:v>legacy_common_sample_8902245</x:v>
      </x:c>
      <x:c r="N13" s="25" t="n">
        <x:v>46210.543900254626</x:v>
      </x:c>
      <x:c r="O13" s="24" t="n">
        <x:v>8902245</x:v>
      </x:c>
      <x:c r="P13" t="str">
        <x:v>factor_report/gtja191_batch/gtja_093/ic_summary.csv</x:v>
      </x:c>
    </x:row>
    <x:row r="14">
      <x:c r="A14" s="22" t="n">
        <x:f>IF($E14="ranked",1+COUNTIFS($D$5:$D$546,$D14,$E$5:$E$546,"ranked",$F$5:$F$546,"&gt;"&amp;$F14),"")</x:f>
        <x:v>10</x:v>
      </x:c>
      <x:c r="B14" s="22" t="n">
        <x:f>IF($E14="ranked",1+COUNTIFS($D$5:$D$546,$D14,$E$5:$E$546,"ranked",$G$5:$G$546,"&gt;"&amp;$G14),"")</x:f>
        <x:v>72</x:v>
      </x:c>
      <x:c r="C14" t="str">
        <x:v>gtja_153</x:v>
      </x:c>
      <x:c r="D14" s="22" t="n">
        <x:v>1</x:v>
      </x:c>
      <x:c r="E14" t="str">
        <x:v>ranked</x:v>
      </x:c>
      <x:c r="F14" s="23" t="n">
        <x:v>-0.019613177718020416</x:v>
      </x:c>
      <x:c r="G14" s="23" t="n">
        <x:f>ABS(F14)</x:f>
        <x:v>0.019613177718020416</x:v>
      </x:c>
      <x:c r="H14" s="23" t="str">
        <x:f>IF(F14&gt;=0,"positive","negative")</x:f>
        <x:v>negative</x:v>
      </x:c>
      <x:c r="I14" s="23" t="n">
        <x:v>0.16791184140411797</x:v>
      </x:c>
      <x:c r="J14" s="23" t="n">
        <x:v>-0.11680640003712932</x:v>
      </x:c>
      <x:c r="K14" s="23" t="n">
        <x:v>0.458</x:v>
      </x:c>
      <x:c r="L14" s="24" t="n">
        <x:v>2000</x:v>
      </x:c>
      <x:c r="M14" t="str">
        <x:v>legacy_common_sample_8902245</x:v>
      </x:c>
      <x:c r="N14" s="25" t="n">
        <x:v>46210.827101863426</x:v>
      </x:c>
      <x:c r="O14" s="24" t="n">
        <x:v>8902245</x:v>
      </x:c>
      <x:c r="P14" t="str">
        <x:v>factor_report/gtja191_batch/gtja_153/ic_summary.csv</x:v>
      </x:c>
    </x:row>
    <x:row r="15">
      <x:c r="A15" s="22" t="n">
        <x:f>IF($E15="ranked",1+COUNTIFS($D$5:$D$546,$D15,$E$5:$E$546,"ranked",$F$5:$F$546,"&gt;"&amp;$F15),"")</x:f>
        <x:v>11</x:v>
      </x:c>
      <x:c r="B15" s="22" t="n">
        <x:f>IF($E15="ranked",1+COUNTIFS($D$5:$D$546,$D15,$E$5:$E$546,"ranked",$G$5:$G$546,"&gt;"&amp;$G15),"")</x:f>
        <x:v>71</x:v>
      </x:c>
      <x:c r="C15" t="str">
        <x:v>gtja_126</x:v>
      </x:c>
      <x:c r="D15" s="22" t="n">
        <x:v>1</x:v>
      </x:c>
      <x:c r="E15" t="str">
        <x:v>ranked</x:v>
      </x:c>
      <x:c r="F15" s="23" t="n">
        <x:v>-0.021097965625745237</x:v>
      </x:c>
      <x:c r="G15" s="23" t="n">
        <x:f>ABS(F15)</x:f>
        <x:v>0.021097965625745237</x:v>
      </x:c>
      <x:c r="H15" s="23" t="str">
        <x:f>IF(F15&gt;=0,"positive","negative")</x:f>
        <x:v>negative</x:v>
      </x:c>
      <x:c r="I15" s="23" t="n">
        <x:v>0.16726477056914993</x:v>
      </x:c>
      <x:c r="J15" s="23" t="n">
        <x:v>-0.1261351422296245</x:v>
      </x:c>
      <x:c r="K15" s="23" t="n">
        <x:v>0.453</x:v>
      </x:c>
      <x:c r="L15" s="24" t="n">
        <x:v>2000</x:v>
      </x:c>
      <x:c r="M15" t="str">
        <x:v>legacy_common_sample_8902245</x:v>
      </x:c>
      <x:c r="N15" s="25" t="n">
        <x:v>46210.70792734954</x:v>
      </x:c>
      <x:c r="O15" s="24" t="n">
        <x:v>8902245</x:v>
      </x:c>
      <x:c r="P15" t="str">
        <x:v>factor_report/gtja191_batch/gtja_126/ic_summary.csv</x:v>
      </x:c>
    </x:row>
    <x:row r="16">
      <x:c r="A16" s="22" t="n">
        <x:f>IF($E16="ranked",1+COUNTIFS($D$5:$D$546,$D16,$E$5:$E$546,"ranked",$F$5:$F$546,"&gt;"&amp;$F16),"")</x:f>
        <x:v>12</x:v>
      </x:c>
      <x:c r="B16" s="22" t="n">
        <x:f>IF($E16="ranked",1+COUNTIFS($D$5:$D$546,$D16,$E$5:$E$546,"ranked",$G$5:$G$546,"&gt;"&amp;$G16),"")</x:f>
        <x:v>70</x:v>
      </x:c>
      <x:c r="C16" t="str">
        <x:v>gtja_173</x:v>
      </x:c>
      <x:c r="D16" s="22" t="n">
        <x:v>1</x:v>
      </x:c>
      <x:c r="E16" t="str">
        <x:v>ranked</x:v>
      </x:c>
      <x:c r="F16" s="23" t="n">
        <x:v>-0.021278486728351535</x:v>
      </x:c>
      <x:c r="G16" s="23" t="n">
        <x:f>ABS(F16)</x:f>
        <x:v>0.021278486728351535</x:v>
      </x:c>
      <x:c r="H16" s="23" t="str">
        <x:f>IF(F16&gt;=0,"positive","negative")</x:f>
        <x:v>negative</x:v>
      </x:c>
      <x:c r="I16" s="23" t="n">
        <x:v>0.1674400942772943</x:v>
      </x:c>
      <x:c r="J16" s="23" t="n">
        <x:v>-0.12708119175513985</x:v>
      </x:c>
      <x:c r="K16" s="23" t="n">
        <x:v>0.45</x:v>
      </x:c>
      <x:c r="L16" s="24" t="n">
        <x:v>2000</x:v>
      </x:c>
      <x:c r="M16" t="str">
        <x:v>legacy_common_sample_8902245</x:v>
      </x:c>
      <x:c r="N16" s="25" t="n">
        <x:v>46210.91649931713</x:v>
      </x:c>
      <x:c r="O16" s="24" t="n">
        <x:v>8902245</x:v>
      </x:c>
      <x:c r="P16" t="str">
        <x:v>factor_report/gtja191_batch/gtja_173/ic_summary.csv</x:v>
      </x:c>
    </x:row>
    <x:row r="17">
      <x:c r="A17" s="22" t="n">
        <x:f>IF($E17="ranked",1+COUNTIFS($D$5:$D$546,$D17,$E$5:$E$546,"ranked",$F$5:$F$546,"&gt;"&amp;$F17),"")</x:f>
        <x:v>13</x:v>
      </x:c>
      <x:c r="B17" s="22" t="n">
        <x:f>IF($E17="ranked",1+COUNTIFS($D$5:$D$546,$D17,$E$5:$E$546,"ranked",$G$5:$G$546,"&gt;"&amp;$G17),"")</x:f>
        <x:v>69</x:v>
      </x:c>
      <x:c r="C17" t="str">
        <x:v>gtja_043</x:v>
      </x:c>
      <x:c r="D17" s="22" t="n">
        <x:v>1</x:v>
      </x:c>
      <x:c r="E17" t="str">
        <x:v>ranked</x:v>
      </x:c>
      <x:c r="F17" s="23" t="n">
        <x:v>-0.02166618342519954</x:v>
      </x:c>
      <x:c r="G17" s="23" t="n">
        <x:f>ABS(F17)</x:f>
        <x:v>0.02166618342519954</x:v>
      </x:c>
      <x:c r="H17" s="23" t="str">
        <x:f>IF(F17&gt;=0,"positive","negative")</x:f>
        <x:v>negative</x:v>
      </x:c>
      <x:c r="I17" s="23" t="n">
        <x:v>0.10211711171542187</x:v>
      </x:c>
      <x:c r="J17" s="23" t="n">
        <x:v>-0.21216995918939102</x:v>
      </x:c>
      <x:c r="K17" s="23" t="n">
        <x:v>0.3975</x:v>
      </x:c>
      <x:c r="L17" s="24" t="n">
        <x:v>2000</x:v>
      </x:c>
      <x:c r="M17" t="str">
        <x:v>legacy_common_sample_8902245</x:v>
      </x:c>
      <x:c r="N17" s="25" t="n">
        <x:v>46210.29250166666</x:v>
      </x:c>
      <x:c r="O17" s="24" t="n">
        <x:v>8902245</x:v>
      </x:c>
      <x:c r="P17" t="str">
        <x:v>factor_report/gtja191_batch/gtja_043/ic_summary.csv</x:v>
      </x:c>
    </x:row>
    <x:row r="18">
      <x:c r="A18" s="22" t="n">
        <x:f>IF($E18="ranked",1+COUNTIFS($D$5:$D$546,$D18,$E$5:$E$546,"ranked",$F$5:$F$546,"&gt;"&amp;$F18),"")</x:f>
        <x:v>14</x:v>
      </x:c>
      <x:c r="B18" s="22" t="n">
        <x:f>IF($E18="ranked",1+COUNTIFS($D$5:$D$546,$D18,$E$5:$E$546,"ranked",$G$5:$G$546,"&gt;"&amp;$G18),"")</x:f>
        <x:v>68</x:v>
      </x:c>
      <x:c r="C18" t="str">
        <x:v>gtja_010</x:v>
      </x:c>
      <x:c r="D18" s="22" t="n">
        <x:v>1</x:v>
      </x:c>
      <x:c r="E18" t="str">
        <x:v>ranked</x:v>
      </x:c>
      <x:c r="F18" s="23" t="n">
        <x:v>-0.02171232407919523</x:v>
      </x:c>
      <x:c r="G18" s="23" t="n">
        <x:f>ABS(F18)</x:f>
        <x:v>0.02171232407919523</x:v>
      </x:c>
      <x:c r="H18" s="23" t="str">
        <x:f>IF(F18&gt;=0,"positive","negative")</x:f>
        <x:v>negative</x:v>
      </x:c>
      <x:c r="I18" s="23" t="n">
        <x:v>0.16111767438633043</x:v>
      </x:c>
      <x:c r="J18" s="23" t="n">
        <x:v>-0.13476065963522466</x:v>
      </x:c>
      <x:c r="K18" s="23" t="n">
        <x:v>0.453</x:v>
      </x:c>
      <x:c r="L18" s="24" t="n">
        <x:v>2000</x:v>
      </x:c>
      <x:c r="M18" t="str">
        <x:v>legacy_common_sample_8902245</x:v>
      </x:c>
      <x:c r="N18" s="25" t="n">
        <x:v>46210.15392069444</x:v>
      </x:c>
      <x:c r="O18" s="24" t="n">
        <x:v>8902245</x:v>
      </x:c>
      <x:c r="P18" t="str">
        <x:v>factor_report/gtja191_batch/gtja_010/ic_summary.csv</x:v>
      </x:c>
    </x:row>
    <x:row r="19">
      <x:c r="A19" s="22" t="n">
        <x:f>IF($E19="ranked",1+COUNTIFS($D$5:$D$546,$D19,$E$5:$E$546,"ranked",$F$5:$F$546,"&gt;"&amp;$F19),"")</x:f>
        <x:v>15</x:v>
      </x:c>
      <x:c r="B19" s="22" t="n">
        <x:f>IF($E19="ranked",1+COUNTIFS($D$5:$D$546,$D19,$E$5:$E$546,"ranked",$G$5:$G$546,"&gt;"&amp;$G19),"")</x:f>
        <x:v>67</x:v>
      </x:c>
      <x:c r="C19" t="str">
        <x:v>gtja_151</x:v>
      </x:c>
      <x:c r="D19" s="22" t="n">
        <x:v>1</x:v>
      </x:c>
      <x:c r="E19" t="str">
        <x:v>ranked</x:v>
      </x:c>
      <x:c r="F19" s="23" t="n">
        <x:v>-0.02290847888460326</x:v>
      </x:c>
      <x:c r="G19" s="23" t="n">
        <x:f>ABS(F19)</x:f>
        <x:v>0.02290847888460326</x:v>
      </x:c>
      <x:c r="H19" s="23" t="str">
        <x:f>IF(F19&gt;=0,"positive","negative")</x:f>
        <x:v>negative</x:v>
      </x:c>
      <x:c r="I19" s="23" t="n">
        <x:v>0.15655081749666494</x:v>
      </x:c>
      <x:c r="J19" s="23" t="n">
        <x:v>-0.146332540774444</x:v>
      </x:c>
      <x:c r="K19" s="23" t="n">
        <x:v>0.441</x:v>
      </x:c>
      <x:c r="L19" s="24" t="n">
        <x:v>2000</x:v>
      </x:c>
      <x:c r="M19" t="str">
        <x:v>legacy_common_sample_8902245</x:v>
      </x:c>
      <x:c r="N19" s="25" t="n">
        <x:v>46210.81806668981</x:v>
      </x:c>
      <x:c r="O19" s="24" t="n">
        <x:v>8902245</x:v>
      </x:c>
      <x:c r="P19" t="str">
        <x:v>factor_report/gtja191_batch/gtja_151/ic_summary.csv</x:v>
      </x:c>
    </x:row>
    <x:row r="20">
      <x:c r="A20" s="22" t="n">
        <x:f>IF($E20="ranked",1+COUNTIFS($D$5:$D$546,$D20,$E$5:$E$546,"ranked",$F$5:$F$546,"&gt;"&amp;$F20),"")</x:f>
        <x:v>16</x:v>
      </x:c>
      <x:c r="B20" s="22" t="n">
        <x:f>IF($E20="ranked",1+COUNTIFS($D$5:$D$546,$D20,$E$5:$E$546,"ranked",$G$5:$G$546,"&gt;"&amp;$G20),"")</x:f>
        <x:v>66</x:v>
      </x:c>
      <x:c r="C20" t="str">
        <x:v>gtja_137</x:v>
      </x:c>
      <x:c r="D20" s="22" t="n">
        <x:v>1</x:v>
      </x:c>
      <x:c r="E20" t="str">
        <x:v>ranked</x:v>
      </x:c>
      <x:c r="F20" s="23" t="n">
        <x:v>-0.023086031715358998</x:v>
      </x:c>
      <x:c r="G20" s="23" t="n">
        <x:f>ABS(F20)</x:f>
        <x:v>0.023086031715358998</x:v>
      </x:c>
      <x:c r="H20" s="23" t="str">
        <x:f>IF(F20&gt;=0,"positive","negative")</x:f>
        <x:v>negative</x:v>
      </x:c>
      <x:c r="I20" s="23" t="n">
        <x:v>0.13412611117621895</x:v>
      </x:c>
      <x:c r="J20" s="23" t="n">
        <x:v>-0.17212183006653992</x:v>
      </x:c>
      <x:c r="K20" s="23" t="n">
        <x:v>0.4185</x:v>
      </x:c>
      <x:c r="L20" s="24" t="n">
        <x:v>2000</x:v>
      </x:c>
      <x:c r="M20" t="str">
        <x:v>legacy_common_sample_8902245</x:v>
      </x:c>
      <x:c r="N20" s="25" t="n">
        <x:v>46210.75457434028</x:v>
      </x:c>
      <x:c r="O20" s="24" t="n">
        <x:v>8902245</x:v>
      </x:c>
      <x:c r="P20" t="str">
        <x:v>factor_report/gtja191_batch/gtja_137/ic_summary.csv</x:v>
      </x:c>
    </x:row>
    <x:row r="21">
      <x:c r="A21" s="22" t="n">
        <x:f>IF($E21="ranked",1+COUNTIFS($D$5:$D$546,$D21,$E$5:$E$546,"ranked",$F$5:$F$546,"&gt;"&amp;$F21),"")</x:f>
        <x:v>17</x:v>
      </x:c>
      <x:c r="B21" s="22" t="n">
        <x:f>IF($E21="ranked",1+COUNTIFS($D$5:$D$546,$D21,$E$5:$E$546,"ranked",$G$5:$G$546,"&gt;"&amp;$G21),"")</x:f>
        <x:v>65</x:v>
      </x:c>
      <x:c r="C21" t="str">
        <x:v>gtja_021</x:v>
      </x:c>
      <x:c r="D21" s="22" t="n">
        <x:v>1</x:v>
      </x:c>
      <x:c r="E21" t="str">
        <x:v>ranked</x:v>
      </x:c>
      <x:c r="F21" s="23" t="n">
        <x:v>-0.023086049652659483</x:v>
      </x:c>
      <x:c r="G21" s="23" t="n">
        <x:f>ABS(F21)</x:f>
        <x:v>0.023086049652659483</x:v>
      </x:c>
      <x:c r="H21" s="23" t="str">
        <x:f>IF(F21&gt;=0,"positive","negative")</x:f>
        <x:v>negative</x:v>
      </x:c>
      <x:c r="I21" s="23" t="n">
        <x:v>0.1371546388284735</x:v>
      </x:c>
      <x:c r="J21" s="23" t="n">
        <x:v>-0.16832131854855487</x:v>
      </x:c>
      <x:c r="K21" s="23" t="n">
        <x:v>0.4235</x:v>
      </x:c>
      <x:c r="L21" s="24" t="n">
        <x:v>2000</x:v>
      </x:c>
      <x:c r="M21" t="str">
        <x:v>legacy_common_sample_8902245</x:v>
      </x:c>
      <x:c r="N21" s="25" t="n">
        <x:v>46210.1997081713</x:v>
      </x:c>
      <x:c r="O21" s="24" t="n">
        <x:v>8902245</x:v>
      </x:c>
      <x:c r="P21" t="str">
        <x:v>factor_report/gtja191_batch/gtja_021/ic_summary.csv</x:v>
      </x:c>
    </x:row>
    <x:row r="22">
      <x:c r="A22" s="22" t="n">
        <x:f>IF($E22="ranked",1+COUNTIFS($D$5:$D$546,$D22,$E$5:$E$546,"ranked",$F$5:$F$546,"&gt;"&amp;$F22),"")</x:f>
        <x:v>18</x:v>
      </x:c>
      <x:c r="B22" s="22" t="n">
        <x:f>IF($E22="ranked",1+COUNTIFS($D$5:$D$546,$D22,$E$5:$E$546,"ranked",$G$5:$G$546,"&gt;"&amp;$G22),"")</x:f>
        <x:v>64</x:v>
      </x:c>
      <x:c r="C22" t="str">
        <x:v>gtja_089</x:v>
      </x:c>
      <x:c r="D22" s="22" t="n">
        <x:v>1</x:v>
      </x:c>
      <x:c r="E22" t="str">
        <x:v>ranked</x:v>
      </x:c>
      <x:c r="F22" s="23" t="n">
        <x:v>-0.023661438522447634</x:v>
      </x:c>
      <x:c r="G22" s="23" t="n">
        <x:f>ABS(F22)</x:f>
        <x:v>0.023661438522447634</x:v>
      </x:c>
      <x:c r="H22" s="23" t="str">
        <x:f>IF(F22&gt;=0,"positive","negative")</x:f>
        <x:v>negative</x:v>
      </x:c>
      <x:c r="I22" s="23" t="n">
        <x:v>0.13354054267280258</x:v>
      </x:c>
      <x:c r="J22" s="23" t="n">
        <x:v>-0.17718543034846165</x:v>
      </x:c>
      <x:c r="K22" s="23" t="n">
        <x:v>0.429</x:v>
      </x:c>
      <x:c r="L22" s="24" t="n">
        <x:v>2000</x:v>
      </x:c>
      <x:c r="M22" t="str">
        <x:v>legacy_common_sample_8902245</x:v>
      </x:c>
      <x:c r="N22" s="25" t="n">
        <x:v>46210.52408989584</x:v>
      </x:c>
      <x:c r="O22" s="24" t="n">
        <x:v>8902245</x:v>
      </x:c>
      <x:c r="P22" t="str">
        <x:v>factor_report/gtja191_batch/gtja_089/ic_summary.csv</x:v>
      </x:c>
    </x:row>
    <x:row r="23">
      <x:c r="A23" s="22" t="n">
        <x:f>IF($E23="ranked",1+COUNTIFS($D$5:$D$546,$D23,$E$5:$E$546,"ranked",$F$5:$F$546,"&gt;"&amp;$F23),"")</x:f>
        <x:v>19</x:v>
      </x:c>
      <x:c r="B23" s="22" t="n">
        <x:f>IF($E23="ranked",1+COUNTIFS($D$5:$D$546,$D23,$E$5:$E$546,"ranked",$G$5:$G$546,"&gt;"&amp;$G23),"")</x:f>
        <x:v>63</x:v>
      </x:c>
      <x:c r="C23" t="str">
        <x:v>gtja_176</x:v>
      </x:c>
      <x:c r="D23" s="22" t="n">
        <x:v>1</x:v>
      </x:c>
      <x:c r="E23" t="str">
        <x:v>ranked</x:v>
      </x:c>
      <x:c r="F23" s="23" t="n">
        <x:v>-0.024133419582179818</x:v>
      </x:c>
      <x:c r="G23" s="23" t="n">
        <x:f>ABS(F23)</x:f>
        <x:v>0.024133419582179818</x:v>
      </x:c>
      <x:c r="H23" s="23" t="str">
        <x:f>IF(F23&gt;=0,"positive","negative")</x:f>
        <x:v>negative</x:v>
      </x:c>
      <x:c r="I23" s="23" t="n">
        <x:v>0.05368903981017534</x:v>
      </x:c>
      <x:c r="J23" s="23" t="n">
        <x:v>-0.4495036541444343</x:v>
      </x:c>
      <x:c r="K23" s="23" t="n">
        <x:v>0.32</x:v>
      </x:c>
      <x:c r="L23" s="24" t="n">
        <x:v>2000</x:v>
      </x:c>
      <x:c r="M23" t="str">
        <x:v>legacy_common_sample_8902245</x:v>
      </x:c>
      <x:c r="N23" s="25" t="n">
        <x:v>46210.92925570602</x:v>
      </x:c>
      <x:c r="O23" s="24" t="n">
        <x:v>8902245</x:v>
      </x:c>
      <x:c r="P23" t="str">
        <x:v>factor_report/gtja191_batch/gtja_176/ic_summary.csv</x:v>
      </x:c>
    </x:row>
    <x:row r="24">
      <x:c r="A24" s="22" t="n">
        <x:f>IF($E24="ranked",1+COUNTIFS($D$5:$D$546,$D24,$E$5:$E$546,"ranked",$F$5:$F$546,"&gt;"&amp;$F24),"")</x:f>
        <x:v>20</x:v>
      </x:c>
      <x:c r="B24" s="22" t="n">
        <x:f>IF($E24="ranked",1+COUNTIFS($D$5:$D$546,$D24,$E$5:$E$546,"ranked",$G$5:$G$546,"&gt;"&amp;$G24),"")</x:f>
        <x:v>62</x:v>
      </x:c>
      <x:c r="C24" t="str">
        <x:v>gtja_160</x:v>
      </x:c>
      <x:c r="D24" s="22" t="n">
        <x:v>1</x:v>
      </x:c>
      <x:c r="E24" t="str">
        <x:v>ranked</x:v>
      </x:c>
      <x:c r="F24" s="23" t="n">
        <x:v>-0.02416931820708422</x:v>
      </x:c>
      <x:c r="G24" s="23" t="n">
        <x:f>ABS(F24)</x:f>
        <x:v>0.02416931820708422</x:v>
      </x:c>
      <x:c r="H24" s="23" t="str">
        <x:f>IF(F24&gt;=0,"positive","negative")</x:f>
        <x:v>negative</x:v>
      </x:c>
      <x:c r="I24" s="23" t="n">
        <x:v>0.1851482061683731</x:v>
      </x:c>
      <x:c r="J24" s="23" t="n">
        <x:v>-0.1305403854958483</x:v>
      </x:c>
      <x:c r="K24" s="23" t="n">
        <x:v>0.4445</x:v>
      </x:c>
      <x:c r="L24" s="24" t="n">
        <x:v>2000</x:v>
      </x:c>
      <x:c r="M24" t="str">
        <x:v>legacy_common_sample_8902245</x:v>
      </x:c>
      <x:c r="N24" s="25" t="n">
        <x:v>46210.859459722225</x:v>
      </x:c>
      <x:c r="O24" s="24" t="n">
        <x:v>8902245</x:v>
      </x:c>
      <x:c r="P24" t="str">
        <x:v>factor_report/gtja191_batch/gtja_160/ic_summary.csv</x:v>
      </x:c>
    </x:row>
    <x:row r="25">
      <x:c r="A25" s="22" t="n">
        <x:f>IF($E25="ranked",1+COUNTIFS($D$5:$D$546,$D25,$E$5:$E$546,"ranked",$F$5:$F$546,"&gt;"&amp;$F25),"")</x:f>
        <x:v>21</x:v>
      </x:c>
      <x:c r="B25" s="22" t="n">
        <x:f>IF($E25="ranked",1+COUNTIFS($D$5:$D$546,$D25,$E$5:$E$546,"ranked",$G$5:$G$546,"&gt;"&amp;$G25),"")</x:f>
        <x:v>61</x:v>
      </x:c>
      <x:c r="C25" t="str">
        <x:v>gtja_147</x:v>
      </x:c>
      <x:c r="D25" s="22" t="n">
        <x:v>1</x:v>
      </x:c>
      <x:c r="E25" t="str">
        <x:v>ranked</x:v>
      </x:c>
      <x:c r="F25" s="23" t="n">
        <x:v>-0.024348611738280894</x:v>
      </x:c>
      <x:c r="G25" s="23" t="n">
        <x:f>ABS(F25)</x:f>
        <x:v>0.024348611738280894</x:v>
      </x:c>
      <x:c r="H25" s="23" t="str">
        <x:f>IF(F25&gt;=0,"positive","negative")</x:f>
        <x:v>negative</x:v>
      </x:c>
      <x:c r="I25" s="23" t="n">
        <x:v>0.14271405510978744</x:v>
      </x:c>
      <x:c r="J25" s="23" t="n">
        <x:v>-0.17061116874262966</x:v>
      </x:c>
      <x:c r="K25" s="23" t="n">
        <x:v>0.421</x:v>
      </x:c>
      <x:c r="L25" s="24" t="n">
        <x:v>2000</x:v>
      </x:c>
      <x:c r="M25" t="str">
        <x:v>legacy_common_sample_8902245</x:v>
      </x:c>
      <x:c r="N25" s="25" t="n">
        <x:v>46210.805681736114</x:v>
      </x:c>
      <x:c r="O25" s="24" t="n">
        <x:v>8902245</x:v>
      </x:c>
      <x:c r="P25" t="str">
        <x:v>factor_report/gtja191_batch/gtja_147/ic_summary.csv</x:v>
      </x:c>
    </x:row>
    <x:row r="26">
      <x:c r="A26" s="22" t="n">
        <x:f>IF($E26="ranked",1+COUNTIFS($D$5:$D$546,$D26,$E$5:$E$546,"ranked",$F$5:$F$546,"&gt;"&amp;$F26),"")</x:f>
        <x:v>22</x:v>
      </x:c>
      <x:c r="B26" s="22" t="n">
        <x:f>IF($E26="ranked",1+COUNTIFS($D$5:$D$546,$D26,$E$5:$E$546,"ranked",$G$5:$G$546,"&gt;"&amp;$G26),"")</x:f>
        <x:v>60</x:v>
      </x:c>
      <x:c r="C26" t="str">
        <x:v>gtja_094</x:v>
      </x:c>
      <x:c r="D26" s="22" t="n">
        <x:v>1</x:v>
      </x:c>
      <x:c r="E26" t="str">
        <x:v>ranked</x:v>
      </x:c>
      <x:c r="F26" s="23" t="n">
        <x:v>-0.02474907693028828</x:v>
      </x:c>
      <x:c r="G26" s="23" t="n">
        <x:f>ABS(F26)</x:f>
        <x:v>0.02474907693028828</x:v>
      </x:c>
      <x:c r="H26" s="23" t="str">
        <x:f>IF(F26&gt;=0,"positive","negative")</x:f>
        <x:v>negative</x:v>
      </x:c>
      <x:c r="I26" s="23" t="n">
        <x:v>0.10761217584525566</x:v>
      </x:c>
      <x:c r="J26" s="23" t="n">
        <x:v>-0.22998398402311834</x:v>
      </x:c>
      <x:c r="K26" s="23" t="n">
        <x:v>0.4005</x:v>
      </x:c>
      <x:c r="L26" s="24" t="n">
        <x:v>2000</x:v>
      </x:c>
      <x:c r="M26" t="str">
        <x:v>legacy_common_sample_8902245</x:v>
      </x:c>
      <x:c r="N26" s="25" t="n">
        <x:v>46210.54834915509</x:v>
      </x:c>
      <x:c r="O26" s="24" t="n">
        <x:v>8902245</x:v>
      </x:c>
      <x:c r="P26" t="str">
        <x:v>factor_report/gtja191_batch/gtja_094/ic_summary.csv</x:v>
      </x:c>
    </x:row>
    <x:row r="27">
      <x:c r="A27" s="22" t="n">
        <x:f>IF($E27="ranked",1+COUNTIFS($D$5:$D$546,$D27,$E$5:$E$546,"ranked",$F$5:$F$546,"&gt;"&amp;$F27),"")</x:f>
        <x:v>23</x:v>
      </x:c>
      <x:c r="B27" s="22" t="n">
        <x:f>IF($E27="ranked",1+COUNTIFS($D$5:$D$546,$D27,$E$5:$E$546,"ranked",$G$5:$G$546,"&gt;"&amp;$G27),"")</x:f>
        <x:v>59</x:v>
      </x:c>
      <x:c r="C27" t="str">
        <x:v>gtja_084</x:v>
      </x:c>
      <x:c r="D27" s="22" t="n">
        <x:v>1</x:v>
      </x:c>
      <x:c r="E27" t="str">
        <x:v>ranked</x:v>
      </x:c>
      <x:c r="F27" s="23" t="n">
        <x:v>-0.024888335831821887</x:v>
      </x:c>
      <x:c r="G27" s="23" t="n">
        <x:f>ABS(F27)</x:f>
        <x:v>0.024888335831821887</x:v>
      </x:c>
      <x:c r="H27" s="23" t="str">
        <x:f>IF(F27&gt;=0,"positive","negative")</x:f>
        <x:v>negative</x:v>
      </x:c>
      <x:c r="I27" s="23" t="n">
        <x:v>0.10509856385351185</x:v>
      </x:c>
      <x:c r="J27" s="23" t="n">
        <x:v>-0.23680947597449256</x:v>
      </x:c>
      <x:c r="K27" s="23" t="n">
        <x:v>0.397</x:v>
      </x:c>
      <x:c r="L27" s="24" t="n">
        <x:v>2000</x:v>
      </x:c>
      <x:c r="M27" t="str">
        <x:v>legacy_common_sample_8902245</x:v>
      </x:c>
      <x:c r="N27" s="25" t="n">
        <x:v>46210.493655</x:v>
      </x:c>
      <x:c r="O27" s="24" t="n">
        <x:v>8902245</x:v>
      </x:c>
      <x:c r="P27" t="str">
        <x:v>factor_report/gtja191_batch/gtja_084/ic_summary.csv</x:v>
      </x:c>
    </x:row>
    <x:row r="28">
      <x:c r="A28" s="22" t="n">
        <x:f>IF($E28="ranked",1+COUNTIFS($D$5:$D$546,$D28,$E$5:$E$546,"ranked",$F$5:$F$546,"&gt;"&amp;$F28),"")</x:f>
        <x:v>24</x:v>
      </x:c>
      <x:c r="B28" s="22" t="n">
        <x:f>IF($E28="ranked",1+COUNTIFS($D$5:$D$546,$D28,$E$5:$E$546,"ranked",$G$5:$G$546,"&gt;"&amp;$G28),"")</x:f>
        <x:v>58</x:v>
      </x:c>
      <x:c r="C28" t="str">
        <x:v>gtja_179</x:v>
      </x:c>
      <x:c r="D28" s="22" t="n">
        <x:v>1</x:v>
      </x:c>
      <x:c r="E28" t="str">
        <x:v>ranked</x:v>
      </x:c>
      <x:c r="F28" s="23" t="n">
        <x:v>-0.025089057116048225</x:v>
      </x:c>
      <x:c r="G28" s="23" t="n">
        <x:f>ABS(F28)</x:f>
        <x:v>0.025089057116048225</x:v>
      </x:c>
      <x:c r="H28" s="23" t="str">
        <x:f>IF(F28&gt;=0,"positive","negative")</x:f>
        <x:v>negative</x:v>
      </x:c>
      <x:c r="I28" s="23" t="n">
        <x:v>0.06365497793423676</x:v>
      </x:c>
      <x:c r="J28" s="23" t="n">
        <x:v>-0.3941413213899506</x:v>
      </x:c>
      <x:c r="K28" s="23" t="n">
        <x:v>0.3283283283283283</x:v>
      </x:c>
      <x:c r="L28" s="24" t="n">
        <x:v>1998</x:v>
      </x:c>
      <x:c r="M28" t="str">
        <x:v>legacy_common_sample_8902245</x:v>
      </x:c>
      <x:c r="N28" s="25" t="n">
        <x:v>46210.941301631945</x:v>
      </x:c>
      <x:c r="O28" s="24" t="n">
        <x:v>8902245</x:v>
      </x:c>
      <x:c r="P28" t="str">
        <x:v>factor_report/gtja191_batch/gtja_179/ic_summary.csv</x:v>
      </x:c>
    </x:row>
    <x:row r="29">
      <x:c r="A29" s="22" t="n">
        <x:f>IF($E29="ranked",1+COUNTIFS($D$5:$D$546,$D29,$E$5:$E$546,"ranked",$F$5:$F$546,"&gt;"&amp;$F29),"")</x:f>
        <x:v>25</x:v>
      </x:c>
      <x:c r="B29" s="22" t="n">
        <x:f>IF($E29="ranked",1+COUNTIFS($D$5:$D$546,$D29,$E$5:$E$546,"ranked",$G$5:$G$546,"&gt;"&amp;$G29),"")</x:f>
        <x:v>57</x:v>
      </x:c>
      <x:c r="C29" t="str">
        <x:v>gtja_177</x:v>
      </x:c>
      <x:c r="D29" s="22" t="n">
        <x:v>1</x:v>
      </x:c>
      <x:c r="E29" t="str">
        <x:v>ranked</x:v>
      </x:c>
      <x:c r="F29" s="23" t="n">
        <x:v>-0.025157689246815995</x:v>
      </x:c>
      <x:c r="G29" s="23" t="n">
        <x:f>ABS(F29)</x:f>
        <x:v>0.025157689246815995</x:v>
      </x:c>
      <x:c r="H29" s="23" t="str">
        <x:f>IF(F29&gt;=0,"positive","negative")</x:f>
        <x:v>negative</x:v>
      </x:c>
      <x:c r="I29" s="23" t="n">
        <x:v>0.11006671475413533</x:v>
      </x:c>
      <x:c r="J29" s="23" t="n">
        <x:v>-0.2285676401172934</x:v>
      </x:c>
      <x:c r="K29" s="23" t="n">
        <x:v>0.395</x:v>
      </x:c>
      <x:c r="L29" s="24" t="n">
        <x:v>2000</x:v>
      </x:c>
      <x:c r="M29" t="str">
        <x:v>legacy_common_sample_8902245</x:v>
      </x:c>
      <x:c r="N29" s="25" t="n">
        <x:v>46210.93332200232</x:v>
      </x:c>
      <x:c r="O29" s="24" t="n">
        <x:v>8902245</x:v>
      </x:c>
      <x:c r="P29" t="str">
        <x:v>factor_report/gtja191_batch/gtja_177/ic_summary.csv</x:v>
      </x:c>
    </x:row>
    <x:row r="30">
      <x:c r="A30" s="22" t="n">
        <x:f>IF($E30="ranked",1+COUNTIFS($D$5:$D$546,$D30,$E$5:$E$546,"ranked",$F$5:$F$546,"&gt;"&amp;$F30),"")</x:f>
        <x:v>26</x:v>
      </x:c>
      <x:c r="B30" s="22" t="n">
        <x:f>IF($E30="ranked",1+COUNTIFS($D$5:$D$546,$D30,$E$5:$E$546,"ranked",$G$5:$G$546,"&gt;"&amp;$G30),"")</x:f>
        <x:v>56</x:v>
      </x:c>
      <x:c r="C30" t="str">
        <x:v>gtja_009</x:v>
      </x:c>
      <x:c r="D30" s="22" t="n">
        <x:v>1</x:v>
      </x:c>
      <x:c r="E30" t="str">
        <x:v>ranked</x:v>
      </x:c>
      <x:c r="F30" s="23" t="n">
        <x:v>-0.02543813541677694</x:v>
      </x:c>
      <x:c r="G30" s="23" t="n">
        <x:f>ABS(F30)</x:f>
        <x:v>0.02543813541677694</x:v>
      </x:c>
      <x:c r="H30" s="23" t="str">
        <x:f>IF(F30&gt;=0,"positive","negative")</x:f>
        <x:v>negative</x:v>
      </x:c>
      <x:c r="I30" s="23" t="n">
        <x:v>0.1306003261465541</x:v>
      </x:c>
      <x:c r="J30" s="23" t="n">
        <x:v>-0.19477849839541253</x:v>
      </x:c>
      <x:c r="K30" s="23" t="n">
        <x:v>0.413</x:v>
      </x:c>
      <x:c r="L30" s="24" t="n">
        <x:v>2000</x:v>
      </x:c>
      <x:c r="M30" t="str">
        <x:v>legacy_common_sample_8902245</x:v>
      </x:c>
      <x:c r="N30" s="25" t="n">
        <x:v>46210.14960534722</x:v>
      </x:c>
      <x:c r="O30" s="24" t="n">
        <x:v>8902245</x:v>
      </x:c>
      <x:c r="P30" t="str">
        <x:v>factor_report/gtja191_batch/gtja_009/ic_summary.csv</x:v>
      </x:c>
    </x:row>
    <x:row r="31">
      <x:c r="A31" s="22" t="n">
        <x:f>IF($E31="ranked",1+COUNTIFS($D$5:$D$546,$D31,$E$5:$E$546,"ranked",$F$5:$F$546,"&gt;"&amp;$F31),"")</x:f>
        <x:v>27</x:v>
      </x:c>
      <x:c r="B31" s="22" t="n">
        <x:f>IF($E31="ranked",1+COUNTIFS($D$5:$D$546,$D31,$E$5:$E$546,"ranked",$G$5:$G$546,"&gt;"&amp;$G31),"")</x:f>
        <x:v>55</x:v>
      </x:c>
      <x:c r="C31" t="str">
        <x:v>gtja_081</x:v>
      </x:c>
      <x:c r="D31" s="22" t="n">
        <x:v>1</x:v>
      </x:c>
      <x:c r="E31" t="str">
        <x:v>ranked</x:v>
      </x:c>
      <x:c r="F31" s="23" t="n">
        <x:v>-0.025489884293183298</x:v>
      </x:c>
      <x:c r="G31" s="23" t="n">
        <x:f>ABS(F31)</x:f>
        <x:v>0.025489884293183298</x:v>
      </x:c>
      <x:c r="H31" s="23" t="str">
        <x:f>IF(F31&gt;=0,"positive","negative")</x:f>
        <x:v>negative</x:v>
      </x:c>
      <x:c r="I31" s="23" t="n">
        <x:v>0.11596689355114129</x:v>
      </x:c>
      <x:c r="J31" s="23" t="n">
        <x:v>-0.2198031137390283</x:v>
      </x:c>
      <x:c r="K31" s="23" t="n">
        <x:v>0.391</x:v>
      </x:c>
      <x:c r="L31" s="24" t="n">
        <x:v>2000</x:v>
      </x:c>
      <x:c r="M31" t="str">
        <x:v>legacy_common_sample_8902245</x:v>
      </x:c>
      <x:c r="N31" s="25" t="n">
        <x:v>46210.48091090278</x:v>
      </x:c>
      <x:c r="O31" s="24" t="n">
        <x:v>8902245</x:v>
      </x:c>
      <x:c r="P31" t="str">
        <x:v>factor_report/gtja191_batch/gtja_081/ic_summary.csv</x:v>
      </x:c>
    </x:row>
    <x:row r="32">
      <x:c r="A32" s="22" t="n">
        <x:f>IF($E32="ranked",1+COUNTIFS($D$5:$D$546,$D32,$E$5:$E$546,"ranked",$F$5:$F$546,"&gt;"&amp;$F32),"")</x:f>
        <x:v>28</x:v>
      </x:c>
      <x:c r="B32" s="22" t="n">
        <x:f>IF($E32="ranked",1+COUNTIFS($D$5:$D$546,$D32,$E$5:$E$546,"ranked",$G$5:$G$546,"&gt;"&amp;$G32),"")</x:f>
        <x:v>54</x:v>
      </x:c>
      <x:c r="C32" t="str">
        <x:v>gtja_133</x:v>
      </x:c>
      <x:c r="D32" s="22" t="n">
        <x:v>1</x:v>
      </x:c>
      <x:c r="E32" t="str">
        <x:v>ranked</x:v>
      </x:c>
      <x:c r="F32" s="23" t="n">
        <x:v>-0.025732485756695758</x:v>
      </x:c>
      <x:c r="G32" s="23" t="n">
        <x:f>ABS(F32)</x:f>
        <x:v>0.025732485756695758</x:v>
      </x:c>
      <x:c r="H32" s="23" t="str">
        <x:f>IF(F32&gt;=0,"positive","negative")</x:f>
        <x:v>negative</x:v>
      </x:c>
      <x:c r="I32" s="23" t="n">
        <x:v>0.12275446187229097</x:v>
      </x:c>
      <x:c r="J32" s="23" t="n">
        <x:v>-0.20962566544804578</x:v>
      </x:c>
      <x:c r="K32" s="23" t="n">
        <x:v>0.4025</x:v>
      </x:c>
      <x:c r="L32" s="24" t="n">
        <x:v>2000</x:v>
      </x:c>
      <x:c r="M32" t="str">
        <x:v>legacy_common_sample_8902245</x:v>
      </x:c>
      <x:c r="N32" s="25" t="n">
        <x:v>46210.73796425926</x:v>
      </x:c>
      <x:c r="O32" s="24" t="n">
        <x:v>8902245</x:v>
      </x:c>
      <x:c r="P32" t="str">
        <x:v>factor_report/gtja191_batch/gtja_133/ic_summary.csv</x:v>
      </x:c>
    </x:row>
    <x:row r="33">
      <x:c r="A33" s="22" t="n">
        <x:f>IF($E33="ranked",1+COUNTIFS($D$5:$D$546,$D33,$E$5:$E$546,"ranked",$F$5:$F$546,"&gt;"&amp;$F33),"")</x:f>
        <x:v>29</x:v>
      </x:c>
      <x:c r="B33" s="22" t="n">
        <x:f>IF($E33="ranked",1+COUNTIFS($D$5:$D$546,$D33,$E$5:$E$546,"ranked",$G$5:$G$546,"&gt;"&amp;$G33),"")</x:f>
        <x:v>53</x:v>
      </x:c>
      <x:c r="C33" t="str">
        <x:v>gtja_129</x:v>
      </x:c>
      <x:c r="D33" s="22" t="n">
        <x:v>1</x:v>
      </x:c>
      <x:c r="E33" t="str">
        <x:v>ranked</x:v>
      </x:c>
      <x:c r="F33" s="23" t="n">
        <x:v>-0.026014001026110307</x:v>
      </x:c>
      <x:c r="G33" s="23" t="n">
        <x:f>ABS(F33)</x:f>
        <x:v>0.026014001026110307</x:v>
      </x:c>
      <x:c r="H33" s="23" t="str">
        <x:f>IF(F33&gt;=0,"positive","negative")</x:f>
        <x:v>negative</x:v>
      </x:c>
      <x:c r="I33" s="23" t="n">
        <x:v>0.18433374390009888</x:v>
      </x:c>
      <x:c r="J33" s="23" t="n">
        <x:v>-0.14112446519943087</x:v>
      </x:c>
      <x:c r="K33" s="23" t="n">
        <x:v>0.4445</x:v>
      </x:c>
      <x:c r="L33" s="24" t="n">
        <x:v>2000</x:v>
      </x:c>
      <x:c r="M33" t="str">
        <x:v>legacy_common_sample_8902245</x:v>
      </x:c>
      <x:c r="N33" s="25" t="n">
        <x:v>46210.71993697916</x:v>
      </x:c>
      <x:c r="O33" s="24" t="n">
        <x:v>8902245</x:v>
      </x:c>
      <x:c r="P33" t="str">
        <x:v>factor_report/gtja191_batch/gtja_129/ic_summary.csv</x:v>
      </x:c>
    </x:row>
    <x:row r="34">
      <x:c r="A34" s="22" t="n">
        <x:f>IF($E34="ranked",1+COUNTIFS($D$5:$D$546,$D34,$E$5:$E$546,"ranked",$F$5:$F$546,"&gt;"&amp;$F34),"")</x:f>
        <x:v>30</x:v>
      </x:c>
      <x:c r="B34" s="22" t="n">
        <x:f>IF($E34="ranked",1+COUNTIFS($D$5:$D$546,$D34,$E$5:$E$546,"ranked",$G$5:$G$546,"&gt;"&amp;$G34),"")</x:f>
        <x:v>52</x:v>
      </x:c>
      <x:c r="C34" t="str">
        <x:v>gtja_066</x:v>
      </x:c>
      <x:c r="D34" s="22" t="n">
        <x:v>1</x:v>
      </x:c>
      <x:c r="E34" t="str">
        <x:v>ranked</x:v>
      </x:c>
      <x:c r="F34" s="23" t="n">
        <x:v>-0.026107823787031158</x:v>
      </x:c>
      <x:c r="G34" s="23" t="n">
        <x:f>ABS(F34)</x:f>
        <x:v>0.026107823787031158</x:v>
      </x:c>
      <x:c r="H34" s="23" t="str">
        <x:f>IF(F34&gt;=0,"positive","negative")</x:f>
        <x:v>negative</x:v>
      </x:c>
      <x:c r="I34" s="23" t="n">
        <x:v>0.1500755418417888</x:v>
      </x:c>
      <x:c r="J34" s="23" t="n">
        <x:v>-0.17396454789784666</x:v>
      </x:c>
      <x:c r="K34" s="23" t="n">
        <x:v>0.4245</x:v>
      </x:c>
      <x:c r="L34" s="24" t="n">
        <x:v>2000</x:v>
      </x:c>
      <x:c r="M34" t="str">
        <x:v>legacy_common_sample_8902245</x:v>
      </x:c>
      <x:c r="N34" s="25" t="n">
        <x:v>46210.39822400463</x:v>
      </x:c>
      <x:c r="O34" s="24" t="n">
        <x:v>8902245</x:v>
      </x:c>
      <x:c r="P34" t="str">
        <x:v>factor_report/gtja191_batch/gtja_066/ic_summary.csv</x:v>
      </x:c>
    </x:row>
    <x:row r="35">
      <x:c r="A35" s="22" t="n">
        <x:f>IF($E35="ranked",1+COUNTIFS($D$5:$D$546,$D35,$E$5:$E$546,"ranked",$F$5:$F$546,"&gt;"&amp;$F35),"")</x:f>
        <x:v>31</x:v>
      </x:c>
      <x:c r="B35" s="22" t="n">
        <x:f>IF($E35="ranked",1+COUNTIFS($D$5:$D$546,$D35,$E$5:$E$546,"ranked",$G$5:$G$546,"&gt;"&amp;$G35),"")</x:f>
        <x:v>51</x:v>
      </x:c>
      <x:c r="C35" t="str">
        <x:v>gtja_128</x:v>
      </x:c>
      <x:c r="D35" s="22" t="n">
        <x:v>1</x:v>
      </x:c>
      <x:c r="E35" t="str">
        <x:v>ranked</x:v>
      </x:c>
      <x:c r="F35" s="23" t="n">
        <x:v>-0.02612050290307155</x:v>
      </x:c>
      <x:c r="G35" s="23" t="n">
        <x:f>ABS(F35)</x:f>
        <x:v>0.02612050290307155</x:v>
      </x:c>
      <x:c r="H35" s="23" t="str">
        <x:f>IF(F35&gt;=0,"positive","negative")</x:f>
        <x:v>negative</x:v>
      </x:c>
      <x:c r="I35" s="23" t="n">
        <x:v>0.11913881159965799</x:v>
      </x:c>
      <x:c r="J35" s="23" t="n">
        <x:v>-0.21924427944475597</x:v>
      </x:c>
      <x:c r="K35" s="23" t="n">
        <x:v>0.4125</x:v>
      </x:c>
      <x:c r="L35" s="24" t="n">
        <x:v>2000</x:v>
      </x:c>
      <x:c r="M35" t="str">
        <x:v>legacy_common_sample_8902245</x:v>
      </x:c>
      <x:c r="N35" s="25" t="n">
        <x:v>46210.71593150463</x:v>
      </x:c>
      <x:c r="O35" s="24" t="n">
        <x:v>8902245</x:v>
      </x:c>
      <x:c r="P35" t="str">
        <x:v>factor_report/gtja191_batch/gtja_128/ic_summary.csv</x:v>
      </x:c>
    </x:row>
    <x:row r="36">
      <x:c r="A36" s="22" t="n">
        <x:f>IF($E36="ranked",1+COUNTIFS($D$5:$D$546,$D36,$E$5:$E$546,"ranked",$F$5:$F$546,"&gt;"&amp;$F36),"")</x:f>
        <x:v>32</x:v>
      </x:c>
      <x:c r="B36" s="22" t="n">
        <x:f>IF($E36="ranked",1+COUNTIFS($D$5:$D$546,$D36,$E$5:$E$546,"ranked",$G$5:$G$546,"&gt;"&amp;$G36),"")</x:f>
        <x:v>50</x:v>
      </x:c>
      <x:c r="C36" t="str">
        <x:v>gtja_102</x:v>
      </x:c>
      <x:c r="D36" s="22" t="n">
        <x:v>1</x:v>
      </x:c>
      <x:c r="E36" t="str">
        <x:v>ranked</x:v>
      </x:c>
      <x:c r="F36" s="23" t="n">
        <x:v>-0.026220389903831815</x:v>
      </x:c>
      <x:c r="G36" s="23" t="n">
        <x:f>ABS(F36)</x:f>
        <x:v>0.026220389903831815</x:v>
      </x:c>
      <x:c r="H36" s="23" t="str">
        <x:f>IF(F36&gt;=0,"positive","negative")</x:f>
        <x:v>negative</x:v>
      </x:c>
      <x:c r="I36" s="23" t="n">
        <x:v>0.09115886649878942</x:v>
      </x:c>
      <x:c r="J36" s="23" t="n">
        <x:v>-0.28763400545552</x:v>
      </x:c>
      <x:c r="K36" s="23" t="n">
        <x:v>0.3715</x:v>
      </x:c>
      <x:c r="L36" s="24" t="n">
        <x:v>2000</x:v>
      </x:c>
      <x:c r="M36" t="str">
        <x:v>legacy_common_sample_8902245</x:v>
      </x:c>
      <x:c r="N36" s="25" t="n">
        <x:v>46210.58357934028</x:v>
      </x:c>
      <x:c r="O36" s="24" t="n">
        <x:v>8902245</x:v>
      </x:c>
      <x:c r="P36" t="str">
        <x:v>factor_report/gtja191_batch/gtja_102/ic_summary.csv</x:v>
      </x:c>
    </x:row>
    <x:row r="37">
      <x:c r="A37" s="22" t="n">
        <x:f>IF($E37="ranked",1+COUNTIFS($D$5:$D$546,$D37,$E$5:$E$546,"ranked",$F$5:$F$546,"&gt;"&amp;$F37),"")</x:f>
        <x:v>33</x:v>
      </x:c>
      <x:c r="B37" s="22" t="n">
        <x:f>IF($E37="ranked",1+COUNTIFS($D$5:$D$546,$D37,$E$5:$E$546,"ranked",$G$5:$G$546,"&gt;"&amp;$G37),"")</x:f>
        <x:v>49</x:v>
      </x:c>
      <x:c r="C37" t="str">
        <x:v>gtja_040</x:v>
      </x:c>
      <x:c r="D37" s="22" t="n">
        <x:v>1</x:v>
      </x:c>
      <x:c r="E37" t="str">
        <x:v>ranked</x:v>
      </x:c>
      <x:c r="F37" s="23" t="n">
        <x:v>-0.02654794058961285</x:v>
      </x:c>
      <x:c r="G37" s="23" t="n">
        <x:f>ABS(F37)</x:f>
        <x:v>0.02654794058961285</x:v>
      </x:c>
      <x:c r="H37" s="23" t="str">
        <x:f>IF(F37&gt;=0,"positive","negative")</x:f>
        <x:v>negative</x:v>
      </x:c>
      <x:c r="I37" s="23" t="n">
        <x:v>0.11509597492556027</x:v>
      </x:c>
      <x:c r="J37" s="23" t="n">
        <x:v>-0.23065915734049827</x:v>
      </x:c>
      <x:c r="K37" s="23" t="n">
        <x:v>0.4045</x:v>
      </x:c>
      <x:c r="L37" s="24" t="n">
        <x:v>2000</x:v>
      </x:c>
      <x:c r="M37" t="str">
        <x:v>legacy_common_sample_8902245</x:v>
      </x:c>
      <x:c r="N37" s="25" t="n">
        <x:v>46210.279919872686</x:v>
      </x:c>
      <x:c r="O37" s="24" t="n">
        <x:v>8902245</x:v>
      </x:c>
      <x:c r="P37" t="str">
        <x:v>factor_report/gtja191_batch/gtja_040/ic_summary.csv</x:v>
      </x:c>
    </x:row>
    <x:row r="38">
      <x:c r="A38" s="22" t="n">
        <x:f>IF($E38="ranked",1+COUNTIFS($D$5:$D$546,$D38,$E$5:$E$546,"ranked",$F$5:$F$546,"&gt;"&amp;$F38),"")</x:f>
        <x:v>34</x:v>
      </x:c>
      <x:c r="B38" s="22" t="n">
        <x:f>IF($E38="ranked",1+COUNTIFS($D$5:$D$546,$D38,$E$5:$E$546,"ranked",$G$5:$G$546,"&gt;"&amp;$G38),"")</x:f>
        <x:v>48</x:v>
      </x:c>
      <x:c r="C38" t="str">
        <x:v>gtja_145</x:v>
      </x:c>
      <x:c r="D38" s="22" t="n">
        <x:v>1</x:v>
      </x:c>
      <x:c r="E38" t="str">
        <x:v>ranked</x:v>
      </x:c>
      <x:c r="F38" s="23" t="n">
        <x:v>-0.026752473392600208</x:v>
      </x:c>
      <x:c r="G38" s="23" t="n">
        <x:f>ABS(F38)</x:f>
        <x:v>0.026752473392600208</x:v>
      </x:c>
      <x:c r="H38" s="23" t="str">
        <x:f>IF(F38&gt;=0,"positive","negative")</x:f>
        <x:v>negative</x:v>
      </x:c>
      <x:c r="I38" s="23" t="n">
        <x:v>0.09598785734933771</x:v>
      </x:c>
      <x:c r="J38" s="23" t="n">
        <x:v>-0.278706850338761</x:v>
      </x:c>
      <x:c r="K38" s="23" t="n">
        <x:v>0.3695</x:v>
      </x:c>
      <x:c r="L38" s="24" t="n">
        <x:v>2000</x:v>
      </x:c>
      <x:c r="M38" t="str">
        <x:v>legacy_common_sample_8902245</x:v>
      </x:c>
      <x:c r="N38" s="25" t="n">
        <x:v>46210.79587657408</x:v>
      </x:c>
      <x:c r="O38" s="24" t="n">
        <x:v>8902245</x:v>
      </x:c>
      <x:c r="P38" t="str">
        <x:v>factor_report/gtja191_batch/gtja_145/ic_summary.csv</x:v>
      </x:c>
    </x:row>
    <x:row r="39">
      <x:c r="A39" s="22" t="n">
        <x:f>IF($E39="ranked",1+COUNTIFS($D$5:$D$546,$D39,$E$5:$E$546,"ranked",$F$5:$F$546,"&gt;"&amp;$F39),"")</x:f>
        <x:v>35</x:v>
      </x:c>
      <x:c r="B39" s="22" t="n">
        <x:f>IF($E39="ranked",1+COUNTIFS($D$5:$D$546,$D39,$E$5:$E$546,"ranked",$G$5:$G$546,"&gt;"&amp;$G39),"")</x:f>
        <x:v>47</x:v>
      </x:c>
      <x:c r="C39" t="str">
        <x:v>gtja_135</x:v>
      </x:c>
      <x:c r="D39" s="22" t="n">
        <x:v>1</x:v>
      </x:c>
      <x:c r="E39" t="str">
        <x:v>ranked</x:v>
      </x:c>
      <x:c r="F39" s="23" t="n">
        <x:v>-0.0271013404194672</x:v>
      </x:c>
      <x:c r="G39" s="23" t="n">
        <x:f>ABS(F39)</x:f>
        <x:v>0.0271013404194672</x:v>
      </x:c>
      <x:c r="H39" s="23" t="str">
        <x:f>IF(F39&gt;=0,"positive","negative")</x:f>
        <x:v>negative</x:v>
      </x:c>
      <x:c r="I39" s="23" t="n">
        <x:v>0.1602785053973359</x:v>
      </x:c>
      <x:c r="J39" s="23" t="n">
        <x:v>-0.16908905128783205</x:v>
      </x:c>
      <x:c r="K39" s="23" t="n">
        <x:v>0.4275</x:v>
      </x:c>
      <x:c r="L39" s="24" t="n">
        <x:v>2000</x:v>
      </x:c>
      <x:c r="M39" t="str">
        <x:v>legacy_common_sample_8902245</x:v>
      </x:c>
      <x:c r="N39" s="25" t="n">
        <x:v>46210.7465330787</x:v>
      </x:c>
      <x:c r="O39" s="24" t="n">
        <x:v>8902245</x:v>
      </x:c>
      <x:c r="P39" t="str">
        <x:v>factor_report/gtja191_batch/gtja_135/ic_summary.csv</x:v>
      </x:c>
    </x:row>
    <x:row r="40">
      <x:c r="A40" s="22" t="n">
        <x:f>IF($E40="ranked",1+COUNTIFS($D$5:$D$546,$D40,$E$5:$E$546,"ranked",$F$5:$F$546,"&gt;"&amp;$F40),"")</x:f>
        <x:v>36</x:v>
      </x:c>
      <x:c r="B40" s="22" t="n">
        <x:f>IF($E40="ranked",1+COUNTIFS($D$5:$D$546,$D40,$E$5:$E$546,"ranked",$G$5:$G$546,"&gt;"&amp;$G40),"")</x:f>
        <x:v>46</x:v>
      </x:c>
      <x:c r="C40" t="str">
        <x:v>gtja_029</x:v>
      </x:c>
      <x:c r="D40" s="22" t="n">
        <x:v>1</x:v>
      </x:c>
      <x:c r="E40" t="str">
        <x:v>ranked</x:v>
      </x:c>
      <x:c r="F40" s="23" t="n">
        <x:v>-0.027130118862266767</x:v>
      </x:c>
      <x:c r="G40" s="23" t="n">
        <x:f>ABS(F40)</x:f>
        <x:v>0.027130118862266767</x:v>
      </x:c>
      <x:c r="H40" s="23" t="str">
        <x:f>IF(F40&gt;=0,"positive","negative")</x:f>
        <x:v>negative</x:v>
      </x:c>
      <x:c r="I40" s="23" t="n">
        <x:v>0.1242844145931604</x:v>
      </x:c>
      <x:c r="J40" s="23" t="n">
        <x:v>-0.2182905954143649</x:v>
      </x:c>
      <x:c r="K40" s="23" t="n">
        <x:v>0.412</x:v>
      </x:c>
      <x:c r="L40" s="24" t="n">
        <x:v>2000</x:v>
      </x:c>
      <x:c r="M40" t="str">
        <x:v>legacy_common_sample_8902245</x:v>
      </x:c>
      <x:c r="N40" s="25" t="n">
        <x:v>46210.234402939815</x:v>
      </x:c>
      <x:c r="O40" s="24" t="n">
        <x:v>8902245</x:v>
      </x:c>
      <x:c r="P40" t="str">
        <x:v>factor_report/gtja191_batch/gtja_029/ic_summary.csv</x:v>
      </x:c>
    </x:row>
    <x:row r="41">
      <x:c r="A41" s="22" t="n">
        <x:f>IF($E41="ranked",1+COUNTIFS($D$5:$D$546,$D41,$E$5:$E$546,"ranked",$F$5:$F$546,"&gt;"&amp;$F41),"")</x:f>
        <x:v>37</x:v>
      </x:c>
      <x:c r="B41" s="22" t="n">
        <x:f>IF($E41="ranked",1+COUNTIFS($D$5:$D$546,$D41,$E$5:$E$546,"ranked",$G$5:$G$546,"&gt;"&amp;$G41),"")</x:f>
        <x:v>45</x:v>
      </x:c>
      <x:c r="C41" t="str">
        <x:v>gtja_074</x:v>
      </x:c>
      <x:c r="D41" s="22" t="n">
        <x:v>1</x:v>
      </x:c>
      <x:c r="E41" t="str">
        <x:v>ranked</x:v>
      </x:c>
      <x:c r="F41" s="23" t="n">
        <x:v>-0.027244210725221606</x:v>
      </x:c>
      <x:c r="G41" s="23" t="n">
        <x:f>ABS(F41)</x:f>
        <x:v>0.027244210725221606</x:v>
      </x:c>
      <x:c r="H41" s="23" t="str">
        <x:f>IF(F41&gt;=0,"positive","negative")</x:f>
        <x:v>negative</x:v>
      </x:c>
      <x:c r="I41" s="23" t="n">
        <x:v>0.07249841263289945</x:v>
      </x:c>
      <x:c r="J41" s="23" t="n">
        <x:v>-0.3757904447256588</x:v>
      </x:c>
      <x:c r="K41" s="23" t="n">
        <x:v>0.34453360080240725</x:v>
      </x:c>
      <x:c r="L41" s="24" t="n">
        <x:v>1994</x:v>
      </x:c>
      <x:c r="M41" t="str">
        <x:v>legacy_common_sample_8902245</x:v>
      </x:c>
      <x:c r="N41" s="25" t="n">
        <x:v>46210.45096833333</x:v>
      </x:c>
      <x:c r="O41" s="24" t="n">
        <x:v>8902245</x:v>
      </x:c>
      <x:c r="P41" t="str">
        <x:v>factor_report/gtja191_batch/gtja_074/ic_summary.csv</x:v>
      </x:c>
    </x:row>
    <x:row r="42">
      <x:c r="A42" s="22" t="n">
        <x:f>IF($E42="ranked",1+COUNTIFS($D$5:$D$546,$D42,$E$5:$E$546,"ranked",$F$5:$F$546,"&gt;"&amp;$F42),"")</x:f>
        <x:v>38</x:v>
      </x:c>
      <x:c r="B42" s="22" t="n">
        <x:f>IF($E42="ranked",1+COUNTIFS($D$5:$D$546,$D42,$E$5:$E$546,"ranked",$G$5:$G$546,"&gt;"&amp;$G42),"")</x:f>
        <x:v>44</x:v>
      </x:c>
      <x:c r="C42" t="str">
        <x:v>gtja_068</x:v>
      </x:c>
      <x:c r="D42" s="22" t="n">
        <x:v>1</x:v>
      </x:c>
      <x:c r="E42" t="str">
        <x:v>ranked</x:v>
      </x:c>
      <x:c r="F42" s="23" t="n">
        <x:v>-0.027386691033633535</x:v>
      </x:c>
      <x:c r="G42" s="23" t="n">
        <x:f>ABS(F42)</x:f>
        <x:v>0.027386691033633535</x:v>
      </x:c>
      <x:c r="H42" s="23" t="str">
        <x:f>IF(F42&gt;=0,"positive","negative")</x:f>
        <x:v>negative</x:v>
      </x:c>
      <x:c r="I42" s="23" t="n">
        <x:v>0.13534298374103762</x:v>
      </x:c>
      <x:c r="J42" s="23" t="n">
        <x:v>-0.20235028278994238</x:v>
      </x:c>
      <x:c r="K42" s="23" t="n">
        <x:v>0.4095</x:v>
      </x:c>
      <x:c r="L42" s="24" t="n">
        <x:v>2000</x:v>
      </x:c>
      <x:c r="M42" t="str">
        <x:v>legacy_common_sample_8902245</x:v>
      </x:c>
      <x:c r="N42" s="25" t="n">
        <x:v>46210.407986018516</x:v>
      </x:c>
      <x:c r="O42" s="24" t="n">
        <x:v>8902245</x:v>
      </x:c>
      <x:c r="P42" t="str">
        <x:v>factor_report/gtja191_batch/gtja_068/ic_summary.csv</x:v>
      </x:c>
    </x:row>
    <x:row r="43">
      <x:c r="A43" s="22" t="n">
        <x:f>IF($E43="ranked",1+COUNTIFS($D$5:$D$546,$D43,$E$5:$E$546,"ranked",$F$5:$F$546,"&gt;"&amp;$F43),"")</x:f>
        <x:v>39</x:v>
      </x:c>
      <x:c r="B43" s="22" t="n">
        <x:f>IF($E43="ranked",1+COUNTIFS($D$5:$D$546,$D43,$E$5:$E$546,"ranked",$G$5:$G$546,"&gt;"&amp;$G43),"")</x:f>
        <x:v>43</x:v>
      </x:c>
      <x:c r="C43" t="str">
        <x:v>gtja_112</x:v>
      </x:c>
      <x:c r="D43" s="22" t="n">
        <x:v>1</x:v>
      </x:c>
      <x:c r="E43" t="str">
        <x:v>ranked</x:v>
      </x:c>
      <x:c r="F43" s="23" t="n">
        <x:v>-0.027561529749791445</x:v>
      </x:c>
      <x:c r="G43" s="23" t="n">
        <x:f>ABS(F43)</x:f>
        <x:v>0.027561529749791445</x:v>
      </x:c>
      <x:c r="H43" s="23" t="str">
        <x:f>IF(F43&gt;=0,"positive","negative")</x:f>
        <x:v>negative</x:v>
      </x:c>
      <x:c r="I43" s="23" t="n">
        <x:v>0.13690243834353577</x:v>
      </x:c>
      <x:c r="J43" s="23" t="n">
        <x:v>-0.20132241677558727</x:v>
      </x:c>
      <x:c r="K43" s="23" t="n">
        <x:v>0.4125</x:v>
      </x:c>
      <x:c r="L43" s="24" t="n">
        <x:v>2000</x:v>
      </x:c>
      <x:c r="M43" t="str">
        <x:v>legacy_common_sample_8902245</x:v>
      </x:c>
      <x:c r="N43" s="25" t="n">
        <x:v>46210.62560251157</x:v>
      </x:c>
      <x:c r="O43" s="24" t="n">
        <x:v>8902245</x:v>
      </x:c>
      <x:c r="P43" t="str">
        <x:v>factor_report/gtja191_batch/gtja_112/ic_summary.csv</x:v>
      </x:c>
    </x:row>
    <x:row r="44">
      <x:c r="A44" s="22" t="n">
        <x:f>IF($E44="ranked",1+COUNTIFS($D$5:$D$546,$D44,$E$5:$E$546,"ranked",$F$5:$F$546,"&gt;"&amp;$F44),"")</x:f>
        <x:v>40</x:v>
      </x:c>
      <x:c r="B44" s="22" t="n">
        <x:f>IF($E44="ranked",1+COUNTIFS($D$5:$D$546,$D44,$E$5:$E$546,"ranked",$G$5:$G$546,"&gt;"&amp;$G44),"")</x:f>
        <x:v>42</x:v>
      </x:c>
      <x:c r="C44" t="str">
        <x:v>gtja_003</x:v>
      </x:c>
      <x:c r="D44" s="22" t="n">
        <x:v>1</x:v>
      </x:c>
      <x:c r="E44" t="str">
        <x:v>ranked</x:v>
      </x:c>
      <x:c r="F44" s="23" t="n">
        <x:v>-0.02780988007414572</x:v>
      </x:c>
      <x:c r="G44" s="23" t="n">
        <x:f>ABS(F44)</x:f>
        <x:v>0.02780988007414572</x:v>
      </x:c>
      <x:c r="H44" s="23" t="str">
        <x:f>IF(F44&gt;=0,"positive","negative")</x:f>
        <x:v>negative</x:v>
      </x:c>
      <x:c r="I44" s="23" t="n">
        <x:v>0.13233945057801774</x:v>
      </x:c>
      <x:c r="J44" s="23" t="n">
        <x:v>-0.2101405132987992</x:v>
      </x:c>
      <x:c r="K44" s="23" t="n">
        <x:v>0.4145</x:v>
      </x:c>
      <x:c r="L44" s="24" t="n">
        <x:v>2000</x:v>
      </x:c>
      <x:c r="M44" t="str">
        <x:v>legacy_common_sample_8902245</x:v>
      </x:c>
      <x:c r="N44" s="25" t="n">
        <x:v>46210.119879363425</x:v>
      </x:c>
      <x:c r="O44" s="24" t="n">
        <x:v>8902245</x:v>
      </x:c>
      <x:c r="P44" t="str">
        <x:v>factor_report/gtja191_batch/gtja_003/ic_summary.csv</x:v>
      </x:c>
    </x:row>
    <x:row r="45">
      <x:c r="A45" s="22" t="n">
        <x:f>IF($E45="ranked",1+COUNTIFS($D$5:$D$546,$D45,$E$5:$E$546,"ranked",$F$5:$F$546,"&gt;"&amp;$F45),"")</x:f>
        <x:v>41</x:v>
      </x:c>
      <x:c r="B45" s="22" t="n">
        <x:f>IF($E45="ranked",1+COUNTIFS($D$5:$D$546,$D45,$E$5:$E$546,"ranked",$G$5:$G$546,"&gt;"&amp;$G45),"")</x:f>
        <x:v>41</x:v>
      </x:c>
      <x:c r="C45" t="str">
        <x:v>gtja_174</x:v>
      </x:c>
      <x:c r="D45" s="22" t="n">
        <x:v>1</x:v>
      </x:c>
      <x:c r="E45" t="str">
        <x:v>ranked</x:v>
      </x:c>
      <x:c r="F45" s="23" t="n">
        <x:v>-0.02791735957948747</x:v>
      </x:c>
      <x:c r="G45" s="23" t="n">
        <x:f>ABS(F45)</x:f>
        <x:v>0.02791735957948747</x:v>
      </x:c>
      <x:c r="H45" s="23" t="str">
        <x:f>IF(F45&gt;=0,"positive","negative")</x:f>
        <x:v>negative</x:v>
      </x:c>
      <x:c r="I45" s="23" t="n">
        <x:v>0.1863135956841658</x:v>
      </x:c>
      <x:c r="J45" s="23" t="n">
        <x:v>-0.14984069990690474</x:v>
      </x:c>
      <x:c r="K45" s="23" t="n">
        <x:v>0.4355</x:v>
      </x:c>
      <x:c r="L45" s="24" t="n">
        <x:v>2000</x:v>
      </x:c>
      <x:c r="M45" t="str">
        <x:v>legacy_common_sample_8902245</x:v>
      </x:c>
      <x:c r="N45" s="25" t="n">
        <x:v>46210.92118445602</x:v>
      </x:c>
      <x:c r="O45" s="24" t="n">
        <x:v>8902245</x:v>
      </x:c>
      <x:c r="P45" t="str">
        <x:v>factor_report/gtja191_batch/gtja_174/ic_summary.csv</x:v>
      </x:c>
    </x:row>
    <x:row r="46">
      <x:c r="A46" s="22" t="n">
        <x:f>IF($E46="ranked",1+COUNTIFS($D$5:$D$546,$D46,$E$5:$E$546,"ranked",$F$5:$F$546,"&gt;"&amp;$F46),"")</x:f>
        <x:v>42</x:v>
      </x:c>
      <x:c r="B46" s="22" t="n">
        <x:f>IF($E46="ranked",1+COUNTIFS($D$5:$D$546,$D46,$E$5:$E$546,"ranked",$G$5:$G$546,"&gt;"&amp;$G46),"")</x:f>
        <x:v>40</x:v>
      </x:c>
      <x:c r="C46" t="str">
        <x:v>gtja_050</x:v>
      </x:c>
      <x:c r="D46" s="22" t="n">
        <x:v>1</x:v>
      </x:c>
      <x:c r="E46" t="str">
        <x:v>ranked</x:v>
      </x:c>
      <x:c r="F46" s="23" t="n">
        <x:v>-0.02803707925402884</x:v>
      </x:c>
      <x:c r="G46" s="23" t="n">
        <x:f>ABS(F46)</x:f>
        <x:v>0.02803707925402884</x:v>
      </x:c>
      <x:c r="H46" s="23" t="str">
        <x:f>IF(F46&gt;=0,"positive","negative")</x:f>
        <x:v>negative</x:v>
      </x:c>
      <x:c r="I46" s="23" t="n">
        <x:v>0.1316053935240275</x:v>
      </x:c>
      <x:c r="J46" s="23" t="n">
        <x:v>-0.2130389834586076</x:v>
      </x:c>
      <x:c r="K46" s="23" t="n">
        <x:v>0.413</x:v>
      </x:c>
      <x:c r="L46" s="24" t="n">
        <x:v>2000</x:v>
      </x:c>
      <x:c r="M46" t="str">
        <x:v>legacy_common_sample_8902245</x:v>
      </x:c>
      <x:c r="N46" s="25" t="n">
        <x:v>46210.32673208333</x:v>
      </x:c>
      <x:c r="O46" s="24" t="n">
        <x:v>8902245</x:v>
      </x:c>
      <x:c r="P46" t="str">
        <x:v>factor_report/gtja191_batch/gtja_050/ic_summary.csv</x:v>
      </x:c>
    </x:row>
    <x:row r="47">
      <x:c r="A47" s="22" t="n">
        <x:f>IF($E47="ranked",1+COUNTIFS($D$5:$D$546,$D47,$E$5:$E$546,"ranked",$F$5:$F$546,"&gt;"&amp;$F47),"")</x:f>
        <x:v>43</x:v>
      </x:c>
      <x:c r="B47" s="22" t="n">
        <x:f>IF($E47="ranked",1+COUNTIFS($D$5:$D$546,$D47,$E$5:$E$546,"ranked",$G$5:$G$546,"&gt;"&amp;$G47),"")</x:f>
        <x:v>39</x:v>
      </x:c>
      <x:c r="C47" t="str">
        <x:v>gtja_051</x:v>
      </x:c>
      <x:c r="D47" s="22" t="n">
        <x:v>1</x:v>
      </x:c>
      <x:c r="E47" t="str">
        <x:v>ranked</x:v>
      </x:c>
      <x:c r="F47" s="23" t="n">
        <x:v>-0.028037087515120757</x:v>
      </x:c>
      <x:c r="G47" s="23" t="n">
        <x:f>ABS(F47)</x:f>
        <x:v>0.028037087515120757</x:v>
      </x:c>
      <x:c r="H47" s="23" t="str">
        <x:f>IF(F47&gt;=0,"positive","negative")</x:f>
        <x:v>negative</x:v>
      </x:c>
      <x:c r="I47" s="23" t="n">
        <x:v>0.13160540462285888</x:v>
      </x:c>
      <x:c r="J47" s="23" t="n">
        <x:v>-0.21303902826382043</x:v>
      </x:c>
      <x:c r="K47" s="23" t="n">
        <x:v>0.413</x:v>
      </x:c>
      <x:c r="L47" s="24" t="n">
        <x:v>2000</x:v>
      </x:c>
      <x:c r="M47" t="str">
        <x:v>legacy_common_sample_8902245</x:v>
      </x:c>
      <x:c r="N47" s="25" t="n">
        <x:v>46210.33137918982</x:v>
      </x:c>
      <x:c r="O47" s="24" t="n">
        <x:v>8902245</x:v>
      </x:c>
      <x:c r="P47" t="str">
        <x:v>factor_report/gtja191_batch/gtja_051/ic_summary.csv</x:v>
      </x:c>
    </x:row>
    <x:row r="48">
      <x:c r="A48" s="22" t="n">
        <x:f>IF($E48="ranked",1+COUNTIFS($D$5:$D$546,$D48,$E$5:$E$546,"ranked",$F$5:$F$546,"&gt;"&amp;$F48),"")</x:f>
        <x:v>44</x:v>
      </x:c>
      <x:c r="B48" s="22" t="n">
        <x:f>IF($E48="ranked",1+COUNTIFS($D$5:$D$546,$D48,$E$5:$E$546,"ranked",$G$5:$G$546,"&gt;"&amp;$G48),"")</x:f>
        <x:v>38</x:v>
      </x:c>
      <x:c r="C48" t="str">
        <x:v>gtja_122</x:v>
      </x:c>
      <x:c r="D48" s="22" t="n">
        <x:v>1</x:v>
      </x:c>
      <x:c r="E48" t="str">
        <x:v>ranked</x:v>
      </x:c>
      <x:c r="F48" s="23" t="n">
        <x:v>-0.02822400894571206</x:v>
      </x:c>
      <x:c r="G48" s="23" t="n">
        <x:f>ABS(F48)</x:f>
        <x:v>0.02822400894571206</x:v>
      </x:c>
      <x:c r="H48" s="23" t="str">
        <x:f>IF(F48&gt;=0,"positive","negative")</x:f>
        <x:v>negative</x:v>
      </x:c>
      <x:c r="I48" s="23" t="n">
        <x:v>0.1507267404559917</x:v>
      </x:c>
      <x:c r="J48" s="23" t="n">
        <x:v>-0.18725283158334297</x:v>
      </x:c>
      <x:c r="K48" s="23" t="n">
        <x:v>0.417</x:v>
      </x:c>
      <x:c r="L48" s="24" t="n">
        <x:v>2000</x:v>
      </x:c>
      <x:c r="M48" t="str">
        <x:v>legacy_common_sample_8902245</x:v>
      </x:c>
      <x:c r="N48" s="25" t="n">
        <x:v>46210.69213701389</x:v>
      </x:c>
      <x:c r="O48" s="24" t="n">
        <x:v>8902245</x:v>
      </x:c>
      <x:c r="P48" t="str">
        <x:v>factor_report/gtja191_batch/gtja_122/ic_summary.csv</x:v>
      </x:c>
    </x:row>
    <x:row r="49">
      <x:c r="A49" s="22" t="n">
        <x:f>IF($E49="ranked",1+COUNTIFS($D$5:$D$546,$D49,$E$5:$E$546,"ranked",$F$5:$F$546,"&gt;"&amp;$F49),"")</x:f>
        <x:v>45</x:v>
      </x:c>
      <x:c r="B49" s="22" t="n">
        <x:f>IF($E49="ranked",1+COUNTIFS($D$5:$D$546,$D49,$E$5:$E$546,"ranked",$G$5:$G$546,"&gt;"&amp;$G49),"")</x:f>
        <x:v>37</x:v>
      </x:c>
      <x:c r="C49" t="str">
        <x:v>gtja_116</x:v>
      </x:c>
      <x:c r="D49" s="22" t="n">
        <x:v>1</x:v>
      </x:c>
      <x:c r="E49" t="str">
        <x:v>ranked</x:v>
      </x:c>
      <x:c r="F49" s="23" t="n">
        <x:v>-0.02825792301025803</x:v>
      </x:c>
      <x:c r="G49" s="23" t="n">
        <x:f>ABS(F49)</x:f>
        <x:v>0.02825792301025803</x:v>
      </x:c>
      <x:c r="H49" s="23" t="str">
        <x:f>IF(F49&gt;=0,"positive","negative")</x:f>
        <x:v>negative</x:v>
      </x:c>
      <x:c r="I49" s="23" t="n">
        <x:v>0.14494862761653346</x:v>
      </x:c>
      <x:c r="J49" s="23" t="n">
        <x:v>-0.19495129740045095</x:v>
      </x:c>
      <x:c r="K49" s="23" t="n">
        <x:v>0.4065</x:v>
      </x:c>
      <x:c r="L49" s="24" t="n">
        <x:v>2000</x:v>
      </x:c>
      <x:c r="M49" t="str">
        <x:v>legacy_common_sample_8902245</x:v>
      </x:c>
      <x:c r="N49" s="25" t="n">
        <x:v>46210.64638673611</x:v>
      </x:c>
      <x:c r="O49" s="24" t="n">
        <x:v>8902245</x:v>
      </x:c>
      <x:c r="P49" t="str">
        <x:v>factor_report/gtja191_batch/gtja_116/ic_summary.csv</x:v>
      </x:c>
    </x:row>
    <x:row r="50">
      <x:c r="A50" s="22" t="n">
        <x:f>IF($E50="ranked",1+COUNTIFS($D$5:$D$546,$D50,$E$5:$E$546,"ranked",$F$5:$F$546,"&gt;"&amp;$F50),"")</x:f>
        <x:v>46</x:v>
      </x:c>
      <x:c r="B50" s="22" t="n">
        <x:f>IF($E50="ranked",1+COUNTIFS($D$5:$D$546,$D50,$E$5:$E$546,"ranked",$G$5:$G$546,"&gt;"&amp;$G50),"")</x:f>
        <x:v>36</x:v>
      </x:c>
      <x:c r="C50" t="str">
        <x:v>gtja_014</x:v>
      </x:c>
      <x:c r="D50" s="22" t="n">
        <x:v>1</x:v>
      </x:c>
      <x:c r="E50" t="str">
        <x:v>ranked</x:v>
      </x:c>
      <x:c r="F50" s="23" t="n">
        <x:v>-0.02842733048255993</x:v>
      </x:c>
      <x:c r="G50" s="23" t="n">
        <x:f>ABS(F50)</x:f>
        <x:v>0.02842733048255993</x:v>
      </x:c>
      <x:c r="H50" s="23" t="str">
        <x:f>IF(F50&gt;=0,"positive","negative")</x:f>
        <x:v>negative</x:v>
      </x:c>
      <x:c r="I50" s="23" t="n">
        <x:v>0.14180221028418635</x:v>
      </x:c>
      <x:c r="J50" s="23" t="n">
        <x:v>-0.20047170227874875</x:v>
      </x:c>
      <x:c r="K50" s="23" t="n">
        <x:v>0.419</x:v>
      </x:c>
      <x:c r="L50" s="24" t="n">
        <x:v>2000</x:v>
      </x:c>
      <x:c r="M50" t="str">
        <x:v>legacy_common_sample_8902245</x:v>
      </x:c>
      <x:c r="N50" s="25" t="n">
        <x:v>46210.170149652775</x:v>
      </x:c>
      <x:c r="O50" s="24" t="n">
        <x:v>8902245</x:v>
      </x:c>
      <x:c r="P50" t="str">
        <x:v>factor_report/gtja191_batch/gtja_014/ic_summary.csv</x:v>
      </x:c>
    </x:row>
    <x:row r="51">
      <x:c r="A51" s="22" t="n">
        <x:f>IF($E51="ranked",1+COUNTIFS($D$5:$D$546,$D51,$E$5:$E$546,"ranked",$F$5:$F$546,"&gt;"&amp;$F51),"")</x:f>
        <x:v>47</x:v>
      </x:c>
      <x:c r="B51" s="22" t="n">
        <x:f>IF($E51="ranked",1+COUNTIFS($D$5:$D$546,$D51,$E$5:$E$546,"ranked",$G$5:$G$546,"&gt;"&amp;$G51),"")</x:f>
        <x:v>35</x:v>
      </x:c>
      <x:c r="C51" t="str">
        <x:v>gtja_024</x:v>
      </x:c>
      <x:c r="D51" s="22" t="n">
        <x:v>1</x:v>
      </x:c>
      <x:c r="E51" t="str">
        <x:v>ranked</x:v>
      </x:c>
      <x:c r="F51" s="23" t="n">
        <x:v>-0.028524501518100643</x:v>
      </x:c>
      <x:c r="G51" s="23" t="n">
        <x:f>ABS(F51)</x:f>
        <x:v>0.028524501518100643</x:v>
      </x:c>
      <x:c r="H51" s="23" t="str">
        <x:f>IF(F51&gt;=0,"positive","negative")</x:f>
        <x:v>negative</x:v>
      </x:c>
      <x:c r="I51" s="23" t="n">
        <x:v>0.14514093248034757</x:v>
      </x:c>
      <x:c r="J51" s="23" t="n">
        <x:v>-0.19652968346446947</x:v>
      </x:c>
      <x:c r="K51" s="23" t="n">
        <x:v>0.4185</x:v>
      </x:c>
      <x:c r="L51" s="24" t="n">
        <x:v>2000</x:v>
      </x:c>
      <x:c r="M51" t="str">
        <x:v>legacy_common_sample_8902245</x:v>
      </x:c>
      <x:c r="N51" s="25" t="n">
        <x:v>46210.21420491898</x:v>
      </x:c>
      <x:c r="O51" s="24" t="n">
        <x:v>8902245</x:v>
      </x:c>
      <x:c r="P51" t="str">
        <x:v>factor_report/gtja191_batch/gtja_024/ic_summary.csv</x:v>
      </x:c>
    </x:row>
    <x:row r="52">
      <x:c r="A52" s="22" t="n">
        <x:f>IF($E52="ranked",1+COUNTIFS($D$5:$D$546,$D52,$E$5:$E$546,"ranked",$F$5:$F$546,"&gt;"&amp;$F52),"")</x:f>
        <x:v>48</x:v>
      </x:c>
      <x:c r="B52" s="22" t="n">
        <x:f>IF($E52="ranked",1+COUNTIFS($D$5:$D$546,$D52,$E$5:$E$546,"ranked",$G$5:$G$546,"&gt;"&amp;$G52),"")</x:f>
        <x:v>34</x:v>
      </x:c>
      <x:c r="C52" t="str">
        <x:v>gtja_078</x:v>
      </x:c>
      <x:c r="D52" s="22" t="n">
        <x:v>1</x:v>
      </x:c>
      <x:c r="E52" t="str">
        <x:v>ranked</x:v>
      </x:c>
      <x:c r="F52" s="23" t="n">
        <x:v>-0.028550669992315335</x:v>
      </x:c>
      <x:c r="G52" s="23" t="n">
        <x:f>ABS(F52)</x:f>
        <x:v>0.028550669992315335</x:v>
      </x:c>
      <x:c r="H52" s="23" t="str">
        <x:f>IF(F52&gt;=0,"positive","negative")</x:f>
        <x:v>negative</x:v>
      </x:c>
      <x:c r="I52" s="23" t="n">
        <x:v>0.13576175175730265</x:v>
      </x:c>
      <x:c r="J52" s="23" t="n">
        <x:v>-0.2102998055251566</x:v>
      </x:c>
      <x:c r="K52" s="23" t="n">
        <x:v>0.4135</x:v>
      </x:c>
      <x:c r="L52" s="24" t="n">
        <x:v>2000</x:v>
      </x:c>
      <x:c r="M52" t="str">
        <x:v>legacy_common_sample_8902245</x:v>
      </x:c>
      <x:c r="N52" s="25" t="n">
        <x:v>46210.46714320602</x:v>
      </x:c>
      <x:c r="O52" s="24" t="n">
        <x:v>8902245</x:v>
      </x:c>
      <x:c r="P52" t="str">
        <x:v>factor_report/gtja191_batch/gtja_078/ic_summary.csv</x:v>
      </x:c>
    </x:row>
    <x:row r="53">
      <x:c r="A53" s="22" t="n">
        <x:f>IF($E53="ranked",1+COUNTIFS($D$5:$D$546,$D53,$E$5:$E$546,"ranked",$F$5:$F$546,"&gt;"&amp;$F53),"")</x:f>
        <x:v>49</x:v>
      </x:c>
      <x:c r="B53" s="22" t="n">
        <x:f>IF($E53="ranked",1+COUNTIFS($D$5:$D$546,$D53,$E$5:$E$546,"ranked",$G$5:$G$546,"&gt;"&amp;$G53),"")</x:f>
        <x:v>33</x:v>
      </x:c>
      <x:c r="C53" t="str">
        <x:v>gtja_036</x:v>
      </x:c>
      <x:c r="D53" s="22" t="n">
        <x:v>1</x:v>
      </x:c>
      <x:c r="E53" t="str">
        <x:v>ranked</x:v>
      </x:c>
      <x:c r="F53" s="23" t="n">
        <x:v>-0.028994801088092843</x:v>
      </x:c>
      <x:c r="G53" s="23" t="n">
        <x:f>ABS(F53)</x:f>
        <x:v>0.028994801088092843</x:v>
      </x:c>
      <x:c r="H53" s="23" t="str">
        <x:f>IF(F53&gt;=0,"positive","negative")</x:f>
        <x:v>negative</x:v>
      </x:c>
      <x:c r="I53" s="23" t="n">
        <x:v>0.07107259223332096</x:v>
      </x:c>
      <x:c r="J53" s="23" t="n">
        <x:v>-0.40796037089666204</x:v>
      </x:c>
      <x:c r="K53" s="23" t="n">
        <x:v>0.34</x:v>
      </x:c>
      <x:c r="L53" s="24" t="n">
        <x:v>2000</x:v>
      </x:c>
      <x:c r="M53" t="str">
        <x:v>legacy_common_sample_8902245</x:v>
      </x:c>
      <x:c r="N53" s="25" t="n">
        <x:v>46210.26318543981</x:v>
      </x:c>
      <x:c r="O53" s="24" t="n">
        <x:v>8902245</x:v>
      </x:c>
      <x:c r="P53" t="str">
        <x:v>factor_report/gtja191_batch/gtja_036/ic_summary.csv</x:v>
      </x:c>
    </x:row>
    <x:row r="54">
      <x:c r="A54" s="22" t="n">
        <x:f>IF($E54="ranked",1+COUNTIFS($D$5:$D$546,$D54,$E$5:$E$546,"ranked",$F$5:$F$546,"&gt;"&amp;$F54),"")</x:f>
        <x:v>50</x:v>
      </x:c>
      <x:c r="B54" s="22" t="n">
        <x:f>IF($E54="ranked",1+COUNTIFS($D$5:$D$546,$D54,$E$5:$E$546,"ranked",$G$5:$G$546,"&gt;"&amp;$G54),"")</x:f>
        <x:v>32</x:v>
      </x:c>
      <x:c r="C54" t="str">
        <x:v>gtja_020</x:v>
      </x:c>
      <x:c r="D54" s="22" t="n">
        <x:v>1</x:v>
      </x:c>
      <x:c r="E54" t="str">
        <x:v>ranked</x:v>
      </x:c>
      <x:c r="F54" s="23" t="n">
        <x:v>-0.029126869122610234</x:v>
      </x:c>
      <x:c r="G54" s="23" t="n">
        <x:f>ABS(F54)</x:f>
        <x:v>0.029126869122610234</x:v>
      </x:c>
      <x:c r="H54" s="23" t="str">
        <x:f>IF(F54&gt;=0,"positive","negative")</x:f>
        <x:v>negative</x:v>
      </x:c>
      <x:c r="I54" s="23" t="n">
        <x:v>0.14680106539780216</x:v>
      </x:c>
      <x:c r="J54" s="23" t="n">
        <x:v>-0.19841047504445639</x:v>
      </x:c>
      <x:c r="K54" s="23" t="n">
        <x:v>0.419</x:v>
      </x:c>
      <x:c r="L54" s="24" t="n">
        <x:v>2000</x:v>
      </x:c>
      <x:c r="M54" t="str">
        <x:v>legacy_common_sample_8902245</x:v>
      </x:c>
      <x:c r="N54" s="25" t="n">
        <x:v>46210.19493413194</x:v>
      </x:c>
      <x:c r="O54" s="24" t="n">
        <x:v>8902245</x:v>
      </x:c>
      <x:c r="P54" t="str">
        <x:v>factor_report/gtja191_batch/gtja_020/ic_summary.csv</x:v>
      </x:c>
    </x:row>
    <x:row r="55">
      <x:c r="A55" s="22" t="n">
        <x:f>IF($E55="ranked",1+COUNTIFS($D$5:$D$546,$D55,$E$5:$E$546,"ranked",$F$5:$F$546,"&gt;"&amp;$F55),"")</x:f>
        <x:v>51</x:v>
      </x:c>
      <x:c r="B55" s="22" t="n">
        <x:f>IF($E55="ranked",1+COUNTIFS($D$5:$D$546,$D55,$E$5:$E$546,"ranked",$G$5:$G$546,"&gt;"&amp;$G55),"")</x:f>
        <x:v>31</x:v>
      </x:c>
      <x:c r="C55" t="str">
        <x:v>gtja_019</x:v>
      </x:c>
      <x:c r="D55" s="22" t="n">
        <x:v>1</x:v>
      </x:c>
      <x:c r="E55" t="str">
        <x:v>ranked</x:v>
      </x:c>
      <x:c r="F55" s="23" t="n">
        <x:v>-0.029194853697055677</x:v>
      </x:c>
      <x:c r="G55" s="23" t="n">
        <x:f>ABS(F55)</x:f>
        <x:v>0.029194853697055677</x:v>
      </x:c>
      <x:c r="H55" s="23" t="str">
        <x:f>IF(F55&gt;=0,"positive","negative")</x:f>
        <x:v>negative</x:v>
      </x:c>
      <x:c r="I55" s="23" t="n">
        <x:v>0.14764933902538466</x:v>
      </x:c>
      <x:c r="J55" s="23" t="n">
        <x:v>-0.19773101518616581</x:v>
      </x:c>
      <x:c r="K55" s="23" t="n">
        <x:v>0.42</x:v>
      </x:c>
      <x:c r="L55" s="24" t="n">
        <x:v>2000</x:v>
      </x:c>
      <x:c r="M55" t="str">
        <x:v>legacy_common_sample_8902245</x:v>
      </x:c>
      <x:c r="N55" s="25" t="n">
        <x:v>46210.190837372684</x:v>
      </x:c>
      <x:c r="O55" s="24" t="n">
        <x:v>8902245</x:v>
      </x:c>
      <x:c r="P55" t="str">
        <x:v>factor_report/gtja191_batch/gtja_019/ic_summary.csv</x:v>
      </x:c>
    </x:row>
    <x:row r="56">
      <x:c r="A56" s="22" t="n">
        <x:f>IF($E56="ranked",1+COUNTIFS($D$5:$D$546,$D56,$E$5:$E$546,"ranked",$F$5:$F$546,"&gt;"&amp;$F56),"")</x:f>
        <x:v>52</x:v>
      </x:c>
      <x:c r="B56" s="22" t="n">
        <x:f>IF($E56="ranked",1+COUNTIFS($D$5:$D$546,$D56,$E$5:$E$546,"ranked",$G$5:$G$546,"&gt;"&amp;$G56),"")</x:f>
        <x:v>30</x:v>
      </x:c>
      <x:c r="C56" t="str">
        <x:v>gtja_018</x:v>
      </x:c>
      <x:c r="D56" s="22" t="n">
        <x:v>1</x:v>
      </x:c>
      <x:c r="E56" t="str">
        <x:v>ranked</x:v>
      </x:c>
      <x:c r="F56" s="23" t="n">
        <x:v>-0.029194867148294158</x:v>
      </x:c>
      <x:c r="G56" s="23" t="n">
        <x:f>ABS(F56)</x:f>
        <x:v>0.029194867148294158</x:v>
      </x:c>
      <x:c r="H56" s="23" t="str">
        <x:f>IF(F56&gt;=0,"positive","negative")</x:f>
        <x:v>negative</x:v>
      </x:c>
      <x:c r="I56" s="23" t="n">
        <x:v>0.14764934778629543</x:v>
      </x:c>
      <x:c r="J56" s="23" t="n">
        <x:v>-0.19773109455620622</x:v>
      </x:c>
      <x:c r="K56" s="23" t="n">
        <x:v>0.42</x:v>
      </x:c>
      <x:c r="L56" s="24" t="n">
        <x:v>2000</x:v>
      </x:c>
      <x:c r="M56" t="str">
        <x:v>legacy_common_sample_8902245</x:v>
      </x:c>
      <x:c r="N56" s="25" t="n">
        <x:v>46210.18674793981</x:v>
      </x:c>
      <x:c r="O56" s="24" t="n">
        <x:v>8902245</x:v>
      </x:c>
      <x:c r="P56" t="str">
        <x:v>factor_report/gtja191_batch/gtja_018/ic_summary.csv</x:v>
      </x:c>
    </x:row>
    <x:row r="57">
      <x:c r="A57" s="22" t="n">
        <x:f>IF($E57="ranked",1+COUNTIFS($D$5:$D$546,$D57,$E$5:$E$546,"ranked",$F$5:$F$546,"&gt;"&amp;$F57),"")</x:f>
        <x:v>53</x:v>
      </x:c>
      <x:c r="B57" s="22" t="n">
        <x:f>IF($E57="ranked",1+COUNTIFS($D$5:$D$546,$D57,$E$5:$E$546,"ranked",$G$5:$G$546,"&gt;"&amp;$G57),"")</x:f>
        <x:v>29</x:v>
      </x:c>
      <x:c r="C57" t="str">
        <x:v>gtja_134</x:v>
      </x:c>
      <x:c r="D57" s="22" t="n">
        <x:v>1</x:v>
      </x:c>
      <x:c r="E57" t="str">
        <x:v>ranked</x:v>
      </x:c>
      <x:c r="F57" s="23" t="n">
        <x:v>-0.029488529845635405</x:v>
      </x:c>
      <x:c r="G57" s="23" t="n">
        <x:f>ABS(F57)</x:f>
        <x:v>0.029488529845635405</x:v>
      </x:c>
      <x:c r="H57" s="23" t="str">
        <x:f>IF(F57&gt;=0,"positive","negative")</x:f>
        <x:v>negative</x:v>
      </x:c>
      <x:c r="I57" s="23" t="n">
        <x:v>0.1253878288436997</x:v>
      </x:c>
      <x:c r="J57" s="23" t="n">
        <x:v>-0.2351785665129738</x:v>
      </x:c>
      <x:c r="K57" s="23" t="n">
        <x:v>0.4075</x:v>
      </x:c>
      <x:c r="L57" s="24" t="n">
        <x:v>2000</x:v>
      </x:c>
      <x:c r="M57" t="str">
        <x:v>legacy_common_sample_8902245</x:v>
      </x:c>
      <x:c r="N57" s="25" t="n">
        <x:v>46210.74197935185</x:v>
      </x:c>
      <x:c r="O57" s="24" t="n">
        <x:v>8902245</x:v>
      </x:c>
      <x:c r="P57" t="str">
        <x:v>factor_report/gtja191_batch/gtja_134/ic_summary.csv</x:v>
      </x:c>
    </x:row>
    <x:row r="58">
      <x:c r="A58" s="22" t="n">
        <x:f>IF($E58="ranked",1+COUNTIFS($D$5:$D$546,$D58,$E$5:$E$546,"ranked",$F$5:$F$546,"&gt;"&amp;$F58),"")</x:f>
        <x:v>54</x:v>
      </x:c>
      <x:c r="B58" s="22" t="n">
        <x:f>IF($E58="ranked",1+COUNTIFS($D$5:$D$546,$D58,$E$5:$E$546,"ranked",$G$5:$G$546,"&gt;"&amp;$G58),"")</x:f>
        <x:v>28</x:v>
      </x:c>
      <x:c r="C58" t="str">
        <x:v>gtja_063</x:v>
      </x:c>
      <x:c r="D58" s="22" t="n">
        <x:v>1</x:v>
      </x:c>
      <x:c r="E58" t="str">
        <x:v>ranked</x:v>
      </x:c>
      <x:c r="F58" s="23" t="n">
        <x:v>-0.029626434173609568</x:v>
      </x:c>
      <x:c r="G58" s="23" t="n">
        <x:f>ABS(F58)</x:f>
        <x:v>0.029626434173609568</x:v>
      </x:c>
      <x:c r="H58" s="23" t="str">
        <x:f>IF(F58&gt;=0,"positive","negative")</x:f>
        <x:v>negative</x:v>
      </x:c>
      <x:c r="I58" s="23" t="n">
        <x:v>0.14490637499146805</x:v>
      </x:c>
      <x:c r="J58" s="23" t="n">
        <x:v>-0.2044522483938608</x:v>
      </x:c>
      <x:c r="K58" s="23" t="n">
        <x:v>0.417</x:v>
      </x:c>
      <x:c r="L58" s="24" t="n">
        <x:v>2000</x:v>
      </x:c>
      <x:c r="M58" t="str">
        <x:v>legacy_common_sample_8902245</x:v>
      </x:c>
      <x:c r="N58" s="25" t="n">
        <x:v>46210.385858483794</x:v>
      </x:c>
      <x:c r="O58" s="24" t="n">
        <x:v>8902245</x:v>
      </x:c>
      <x:c r="P58" t="str">
        <x:v>factor_report/gtja191_batch/gtja_063/ic_summary.csv</x:v>
      </x:c>
    </x:row>
    <x:row r="59">
      <x:c r="A59" s="22" t="n">
        <x:f>IF($E59="ranked",1+COUNTIFS($D$5:$D$546,$D59,$E$5:$E$546,"ranked",$F$5:$F$546,"&gt;"&amp;$F59),"")</x:f>
        <x:v>55</x:v>
      </x:c>
      <x:c r="B59" s="22" t="n">
        <x:f>IF($E59="ranked",1+COUNTIFS($D$5:$D$546,$D59,$E$5:$E$546,"ranked",$G$5:$G$546,"&gt;"&amp;$G59),"")</x:f>
        <x:v>27</x:v>
      </x:c>
      <x:c r="C59" t="str">
        <x:v>gtja_109</x:v>
      </x:c>
      <x:c r="D59" s="22" t="n">
        <x:v>1</x:v>
      </x:c>
      <x:c r="E59" t="str">
        <x:v>ranked</x:v>
      </x:c>
      <x:c r="F59" s="23" t="n">
        <x:v>-0.0301935078494394</x:v>
      </x:c>
      <x:c r="G59" s="23" t="n">
        <x:f>ABS(F59)</x:f>
        <x:v>0.0301935078494394</x:v>
      </x:c>
      <x:c r="H59" s="23" t="str">
        <x:f>IF(F59&gt;=0,"positive","negative")</x:f>
        <x:v>negative</x:v>
      </x:c>
      <x:c r="I59" s="23" t="n">
        <x:v>0.10088783360164288</x:v>
      </x:c>
      <x:c r="J59" s="23" t="n">
        <x:v>-0.29927798795500865</x:v>
      </x:c>
      <x:c r="K59" s="23" t="n">
        <x:v>0.366</x:v>
      </x:c>
      <x:c r="L59" s="24" t="n">
        <x:v>2000</x:v>
      </x:c>
      <x:c r="M59" t="str">
        <x:v>legacy_common_sample_8902245</x:v>
      </x:c>
      <x:c r="N59" s="25" t="n">
        <x:v>46210.612487280094</x:v>
      </x:c>
      <x:c r="O59" s="24" t="n">
        <x:v>8902245</x:v>
      </x:c>
      <x:c r="P59" t="str">
        <x:v>factor_report/gtja191_batch/gtja_109/ic_summary.csv</x:v>
      </x:c>
    </x:row>
    <x:row r="60">
      <x:c r="A60" s="22" t="n">
        <x:f>IF($E60="ranked",1+COUNTIFS($D$5:$D$546,$D60,$E$5:$E$546,"ranked",$F$5:$F$546,"&gt;"&amp;$F60),"")</x:f>
        <x:v>56</x:v>
      </x:c>
      <x:c r="B60" s="22" t="n">
        <x:f>IF($E60="ranked",1+COUNTIFS($D$5:$D$546,$D60,$E$5:$E$546,"ranked",$G$5:$G$546,"&gt;"&amp;$G60),"")</x:f>
        <x:v>26</x:v>
      </x:c>
      <x:c r="C60" t="str">
        <x:v>gtja_069</x:v>
      </x:c>
      <x:c r="D60" s="22" t="n">
        <x:v>1</x:v>
      </x:c>
      <x:c r="E60" t="str">
        <x:v>ranked</x:v>
      </x:c>
      <x:c r="F60" s="23" t="n">
        <x:v>-0.030441659233196375</x:v>
      </x:c>
      <x:c r="G60" s="23" t="n">
        <x:f>ABS(F60)</x:f>
        <x:v>0.030441659233196375</x:v>
      </x:c>
      <x:c r="H60" s="23" t="str">
        <x:f>IF(F60&gt;=0,"positive","negative")</x:f>
        <x:v>negative</x:v>
      </x:c>
      <x:c r="I60" s="23" t="n">
        <x:v>0.12512176049267262</x:v>
      </x:c>
      <x:c r="J60" s="23" t="n">
        <x:v>-0.24329628286343605</x:v>
      </x:c>
      <x:c r="K60" s="23" t="n">
        <x:v>0.396</x:v>
      </x:c>
      <x:c r="L60" s="24" t="n">
        <x:v>2000</x:v>
      </x:c>
      <x:c r="M60" t="str">
        <x:v>legacy_common_sample_8902245</x:v>
      </x:c>
      <x:c r="N60" s="25" t="n">
        <x:v>46210.41218387731</x:v>
      </x:c>
      <x:c r="O60" s="24" t="n">
        <x:v>8902245</x:v>
      </x:c>
      <x:c r="P60" t="str">
        <x:v>factor_report/gtja191_batch/gtja_069/ic_summary.csv</x:v>
      </x:c>
    </x:row>
    <x:row r="61">
      <x:c r="A61" s="22" t="n">
        <x:f>IF($E61="ranked",1+COUNTIFS($D$5:$D$546,$D61,$E$5:$E$546,"ranked",$F$5:$F$546,"&gt;"&amp;$F61),"")</x:f>
        <x:v>57</x:v>
      </x:c>
      <x:c r="B61" s="22" t="n">
        <x:f>IF($E61="ranked",1+COUNTIFS($D$5:$D$546,$D61,$E$5:$E$546,"ranked",$G$5:$G$546,"&gt;"&amp;$G61),"")</x:f>
        <x:v>25</x:v>
      </x:c>
      <x:c r="C61" t="str">
        <x:v>gtja_100</x:v>
      </x:c>
      <x:c r="D61" s="22" t="n">
        <x:v>1</x:v>
      </x:c>
      <x:c r="E61" t="str">
        <x:v>ranked</x:v>
      </x:c>
      <x:c r="F61" s="23" t="n">
        <x:v>-0.031128903404202553</x:v>
      </x:c>
      <x:c r="G61" s="23" t="n">
        <x:f>ABS(F61)</x:f>
        <x:v>0.031128903404202553</x:v>
      </x:c>
      <x:c r="H61" s="23" t="str">
        <x:f>IF(F61&gt;=0,"positive","negative")</x:f>
        <x:v>negative</x:v>
      </x:c>
      <x:c r="I61" s="23" t="n">
        <x:v>0.1131469466346593</x:v>
      </x:c>
      <x:c r="J61" s="23" t="n">
        <x:v>-0.27511925270696713</x:v>
      </x:c>
      <x:c r="K61" s="23" t="n">
        <x:v>0.3785</x:v>
      </x:c>
      <x:c r="L61" s="24" t="n">
        <x:v>2000</x:v>
      </x:c>
      <x:c r="M61" t="str">
        <x:v>legacy_common_sample_8902245</x:v>
      </x:c>
      <x:c r="N61" s="25" t="n">
        <x:v>46210.57471123843</x:v>
      </x:c>
      <x:c r="O61" s="24" t="n">
        <x:v>8902245</x:v>
      </x:c>
      <x:c r="P61" t="str">
        <x:v>factor_report/gtja191_batch/gtja_100/ic_summary.csv</x:v>
      </x:c>
    </x:row>
    <x:row r="62">
      <x:c r="A62" s="22" t="n">
        <x:f>IF($E62="ranked",1+COUNTIFS($D$5:$D$546,$D62,$E$5:$E$546,"ranked",$F$5:$F$546,"&gt;"&amp;$F62),"")</x:f>
        <x:v>58</x:v>
      </x:c>
      <x:c r="B62" s="22" t="n">
        <x:f>IF($E62="ranked",1+COUNTIFS($D$5:$D$546,$D62,$E$5:$E$546,"ranked",$G$5:$G$546,"&gt;"&amp;$G62),"")</x:f>
        <x:v>24</x:v>
      </x:c>
      <x:c r="C62" t="str">
        <x:v>gtja_110</x:v>
      </x:c>
      <x:c r="D62" s="22" t="n">
        <x:v>1</x:v>
      </x:c>
      <x:c r="E62" t="str">
        <x:v>ranked</x:v>
      </x:c>
      <x:c r="F62" s="23" t="n">
        <x:v>-0.031266266000029894</x:v>
      </x:c>
      <x:c r="G62" s="23" t="n">
        <x:f>ABS(F62)</x:f>
        <x:v>0.031266266000029894</x:v>
      </x:c>
      <x:c r="H62" s="23" t="str">
        <x:f>IF(F62&gt;=0,"positive","negative")</x:f>
        <x:v>negative</x:v>
      </x:c>
      <x:c r="I62" s="23" t="n">
        <x:v>0.12816456054666622</x:v>
      </x:c>
      <x:c r="J62" s="23" t="n">
        <x:v>-0.24395406863385982</x:v>
      </x:c>
      <x:c r="K62" s="23" t="n">
        <x:v>0.399</x:v>
      </x:c>
      <x:c r="L62" s="24" t="n">
        <x:v>2000</x:v>
      </x:c>
      <x:c r="M62" t="str">
        <x:v>legacy_common_sample_8902245</x:v>
      </x:c>
      <x:c r="N62" s="25" t="n">
        <x:v>46210.616483287034</x:v>
      </x:c>
      <x:c r="O62" s="24" t="n">
        <x:v>8902245</x:v>
      </x:c>
      <x:c r="P62" t="str">
        <x:v>factor_report/gtja191_batch/gtja_110/ic_summary.csv</x:v>
      </x:c>
    </x:row>
    <x:row r="63">
      <x:c r="A63" s="22" t="n">
        <x:f>IF($E63="ranked",1+COUNTIFS($D$5:$D$546,$D63,$E$5:$E$546,"ranked",$F$5:$F$546,"&gt;"&amp;$F63),"")</x:f>
        <x:v>59</x:v>
      </x:c>
      <x:c r="B63" s="22" t="n">
        <x:f>IF($E63="ranked",1+COUNTIFS($D$5:$D$546,$D63,$E$5:$E$546,"ranked",$G$5:$G$546,"&gt;"&amp;$G63),"")</x:f>
        <x:v>23</x:v>
      </x:c>
      <x:c r="C63" t="str">
        <x:v>gtja_055</x:v>
      </x:c>
      <x:c r="D63" s="22" t="n">
        <x:v>1</x:v>
      </x:c>
      <x:c r="E63" t="str">
        <x:v>ranked</x:v>
      </x:c>
      <x:c r="F63" s="23" t="n">
        <x:v>-0.031998616247062475</x:v>
      </x:c>
      <x:c r="G63" s="23" t="n">
        <x:f>ABS(F63)</x:f>
        <x:v>0.031998616247062475</x:v>
      </x:c>
      <x:c r="H63" s="23" t="str">
        <x:f>IF(F63&gt;=0,"positive","negative")</x:f>
        <x:v>negative</x:v>
      </x:c>
      <x:c r="I63" s="23" t="n">
        <x:v>0.14638556683580708</x:v>
      </x:c>
      <x:c r="J63" s="23" t="n">
        <x:v>-0.21859133341303807</x:v>
      </x:c>
      <x:c r="K63" s="23" t="n">
        <x:v>0.4005</x:v>
      </x:c>
      <x:c r="L63" s="24" t="n">
        <x:v>2000</x:v>
      </x:c>
      <x:c r="M63" t="str">
        <x:v>legacy_common_sample_8902245</x:v>
      </x:c>
      <x:c r="N63" s="25" t="n">
        <x:v>46210.34754746528</x:v>
      </x:c>
      <x:c r="O63" s="24" t="n">
        <x:v>8902245</x:v>
      </x:c>
      <x:c r="P63" t="str">
        <x:v>factor_report/gtja191_batch/gtja_055/ic_summary.csv</x:v>
      </x:c>
    </x:row>
    <x:row r="64">
      <x:c r="A64" s="22" t="n">
        <x:f>IF($E64="ranked",1+COUNTIFS($D$5:$D$546,$D64,$E$5:$E$546,"ranked",$F$5:$F$546,"&gt;"&amp;$F64),"")</x:f>
        <x:v>60</x:v>
      </x:c>
      <x:c r="B64" s="22" t="n">
        <x:f>IF($E64="ranked",1+COUNTIFS($D$5:$D$546,$D64,$E$5:$E$546,"ranked",$G$5:$G$546,"&gt;"&amp;$G64),"")</x:f>
        <x:v>22</x:v>
      </x:c>
      <x:c r="C64" t="str">
        <x:v>gtja_027</x:v>
      </x:c>
      <x:c r="D64" s="22" t="n">
        <x:v>1</x:v>
      </x:c>
      <x:c r="E64" t="str">
        <x:v>ranked</x:v>
      </x:c>
      <x:c r="F64" s="23" t="n">
        <x:v>-0.03227867179282106</x:v>
      </x:c>
      <x:c r="G64" s="23" t="n">
        <x:f>ABS(F64)</x:f>
        <x:v>0.03227867179282106</x:v>
      </x:c>
      <x:c r="H64" s="23" t="str">
        <x:f>IF(F64&gt;=0,"positive","negative")</x:f>
        <x:v>negative</x:v>
      </x:c>
      <x:c r="I64" s="23" t="n">
        <x:v>0.14999668735067814</x:v>
      </x:c>
      <x:c r="J64" s="23" t="n">
        <x:v>-0.21519589774243855</x:v>
      </x:c>
      <x:c r="K64" s="23" t="n">
        <x:v>0.407</x:v>
      </x:c>
      <x:c r="L64" s="24" t="n">
        <x:v>2000</x:v>
      </x:c>
      <x:c r="M64" t="str">
        <x:v>legacy_common_sample_8902245</x:v>
      </x:c>
      <x:c r="N64" s="25" t="n">
        <x:v>46210.22519262732</x:v>
      </x:c>
      <x:c r="O64" s="24" t="n">
        <x:v>8902245</x:v>
      </x:c>
      <x:c r="P64" t="str">
        <x:v>factor_report/gtja191_batch/gtja_027/ic_summary.csv</x:v>
      </x:c>
    </x:row>
    <x:row r="65">
      <x:c r="A65" s="22" t="n">
        <x:f>IF($E65="ranked",1+COUNTIFS($D$5:$D$546,$D65,$E$5:$E$546,"ranked",$F$5:$F$546,"&gt;"&amp;$F65),"")</x:f>
        <x:v>61</x:v>
      </x:c>
      <x:c r="B65" s="22" t="n">
        <x:f>IF($E65="ranked",1+COUNTIFS($D$5:$D$546,$D65,$E$5:$E$546,"ranked",$G$5:$G$546,"&gt;"&amp;$G65),"")</x:f>
        <x:v>21</x:v>
      </x:c>
      <x:c r="C65" t="str">
        <x:v>gtja_059</x:v>
      </x:c>
      <x:c r="D65" s="22" t="n">
        <x:v>1</x:v>
      </x:c>
      <x:c r="E65" t="str">
        <x:v>ranked</x:v>
      </x:c>
      <x:c r="F65" s="23" t="n">
        <x:v>-0.03241157048272622</x:v>
      </x:c>
      <x:c r="G65" s="23" t="n">
        <x:f>ABS(F65)</x:f>
        <x:v>0.03241157048272622</x:v>
      </x:c>
      <x:c r="H65" s="23" t="str">
        <x:f>IF(F65&gt;=0,"positive","negative")</x:f>
        <x:v>negative</x:v>
      </x:c>
      <x:c r="I65" s="23" t="n">
        <x:v>0.13972536845984782</x:v>
      </x:c>
      <x:c r="J65" s="23" t="n">
        <x:v>-0.2319662552333163</x:v>
      </x:c>
      <x:c r="K65" s="23" t="n">
        <x:v>0.39</x:v>
      </x:c>
      <x:c r="L65" s="24" t="n">
        <x:v>2000</x:v>
      </x:c>
      <x:c r="M65" t="str">
        <x:v>legacy_common_sample_8902245</x:v>
      </x:c>
      <x:c r="N65" s="25" t="n">
        <x:v>46210.36786096065</x:v>
      </x:c>
      <x:c r="O65" s="24" t="n">
        <x:v>8902245</x:v>
      </x:c>
      <x:c r="P65" t="str">
        <x:v>factor_report/gtja191_batch/gtja_059/ic_summary.csv</x:v>
      </x:c>
    </x:row>
    <x:row r="66">
      <x:c r="A66" s="22" t="n">
        <x:f>IF($E66="ranked",1+COUNTIFS($D$5:$D$546,$D66,$E$5:$E$546,"ranked",$F$5:$F$546,"&gt;"&amp;$F66),"")</x:f>
        <x:v>62</x:v>
      </x:c>
      <x:c r="B66" s="22" t="n">
        <x:f>IF($E66="ranked",1+COUNTIFS($D$5:$D$546,$D66,$E$5:$E$546,"ranked",$G$5:$G$546,"&gt;"&amp;$G66),"")</x:f>
        <x:v>20</x:v>
      </x:c>
      <x:c r="C66" t="str">
        <x:v>gtja_031</x:v>
      </x:c>
      <x:c r="D66" s="22" t="n">
        <x:v>1</x:v>
      </x:c>
      <x:c r="E66" t="str">
        <x:v>ranked</x:v>
      </x:c>
      <x:c r="F66" s="23" t="n">
        <x:v>-0.0325941446144204</x:v>
      </x:c>
      <x:c r="G66" s="23" t="n">
        <x:f>ABS(F66)</x:f>
        <x:v>0.0325941446144204</x:v>
      </x:c>
      <x:c r="H66" s="23" t="str">
        <x:f>IF(F66&gt;=0,"positive","negative")</x:f>
        <x:v>negative</x:v>
      </x:c>
      <x:c r="I66" s="23" t="n">
        <x:v>0.15404625245363318</x:v>
      </x:c>
      <x:c r="J66" s="23" t="n">
        <x:v>-0.21158674161340604</x:v>
      </x:c>
      <x:c r="K66" s="23" t="n">
        <x:v>0.412</x:v>
      </x:c>
      <x:c r="L66" s="24" t="n">
        <x:v>2000</x:v>
      </x:c>
      <x:c r="M66" t="str">
        <x:v>legacy_common_sample_8902245</x:v>
      </x:c>
      <x:c r="N66" s="25" t="n">
        <x:v>46210.23892871528</x:v>
      </x:c>
      <x:c r="O66" s="24" t="n">
        <x:v>8902245</x:v>
      </x:c>
      <x:c r="P66" t="str">
        <x:v>factor_report/gtja191_batch/gtja_031/ic_summary.csv</x:v>
      </x:c>
    </x:row>
    <x:row r="67">
      <x:c r="A67" s="22" t="n">
        <x:f>IF($E67="ranked",1+COUNTIFS($D$5:$D$546,$D67,$E$5:$E$546,"ranked",$F$5:$F$546,"&gt;"&amp;$F67),"")</x:f>
        <x:v>63</x:v>
      </x:c>
      <x:c r="B67" s="22" t="n">
        <x:f>IF($E67="ranked",1+COUNTIFS($D$5:$D$546,$D67,$E$5:$E$546,"ranked",$G$5:$G$546,"&gt;"&amp;$G67),"")</x:f>
        <x:v>19</x:v>
      </x:c>
      <x:c r="C67" t="str">
        <x:v>gtja_106</x:v>
      </x:c>
      <x:c r="D67" s="22" t="n">
        <x:v>1</x:v>
      </x:c>
      <x:c r="E67" t="str">
        <x:v>ranked</x:v>
      </x:c>
      <x:c r="F67" s="23" t="n">
        <x:v>-0.03326993748448418</x:v>
      </x:c>
      <x:c r="G67" s="23" t="n">
        <x:f>ABS(F67)</x:f>
        <x:v>0.03326993748448418</x:v>
      </x:c>
      <x:c r="H67" s="23" t="str">
        <x:f>IF(F67&gt;=0,"positive","negative")</x:f>
        <x:v>negative</x:v>
      </x:c>
      <x:c r="I67" s="23" t="n">
        <x:v>0.14904942953497802</x:v>
      </x:c>
      <x:c r="J67" s="23" t="n">
        <x:v>-0.2232141215721768</x:v>
      </x:c>
      <x:c r="K67" s="23" t="n">
        <x:v>0.397</x:v>
      </x:c>
      <x:c r="L67" s="24" t="n">
        <x:v>2000</x:v>
      </x:c>
      <x:c r="M67" t="str">
        <x:v>legacy_common_sample_8902245</x:v>
      </x:c>
      <x:c r="N67" s="25" t="n">
        <x:v>46210.59962833333</x:v>
      </x:c>
      <x:c r="O67" s="24" t="n">
        <x:v>8902245</x:v>
      </x:c>
      <x:c r="P67" t="str">
        <x:v>factor_report/gtja191_batch/gtja_106/ic_summary.csv</x:v>
      </x:c>
    </x:row>
    <x:row r="68">
      <x:c r="A68" s="22" t="n">
        <x:f>IF($E68="ranked",1+COUNTIFS($D$5:$D$546,$D68,$E$5:$E$546,"ranked",$F$5:$F$546,"&gt;"&amp;$F68),"")</x:f>
        <x:v>64</x:v>
      </x:c>
      <x:c r="B68" s="22" t="n">
        <x:f>IF($E68="ranked",1+COUNTIFS($D$5:$D$546,$D68,$E$5:$E$546,"ranked",$G$5:$G$546,"&gt;"&amp;$G68),"")</x:f>
        <x:v>18</x:v>
      </x:c>
      <x:c r="C68" t="str">
        <x:v>gtja_079</x:v>
      </x:c>
      <x:c r="D68" s="22" t="n">
        <x:v>1</x:v>
      </x:c>
      <x:c r="E68" t="str">
        <x:v>ranked</x:v>
      </x:c>
      <x:c r="F68" s="23" t="n">
        <x:v>-0.03433320624149432</x:v>
      </x:c>
      <x:c r="G68" s="23" t="n">
        <x:f>ABS(F68)</x:f>
        <x:v>0.03433320624149432</x:v>
      </x:c>
      <x:c r="H68" s="23" t="str">
        <x:f>IF(F68&gt;=0,"positive","negative")</x:f>
        <x:v>negative</x:v>
      </x:c>
      <x:c r="I68" s="23" t="n">
        <x:v>0.14938255095224742</x:v>
      </x:c>
      <x:c r="J68" s="23" t="n">
        <x:v>-0.2298341139753966</x:v>
      </x:c>
      <x:c r="K68" s="23" t="n">
        <x:v>0.398</x:v>
      </x:c>
      <x:c r="L68" s="24" t="n">
        <x:v>2000</x:v>
      </x:c>
      <x:c r="M68" t="str">
        <x:v>legacy_common_sample_8902245</x:v>
      </x:c>
      <x:c r="N68" s="25" t="n">
        <x:v>46210.47234655092</x:v>
      </x:c>
      <x:c r="O68" s="24" t="n">
        <x:v>8902245</x:v>
      </x:c>
      <x:c r="P68" t="str">
        <x:v>factor_report/gtja191_batch/gtja_079/ic_summary.csv</x:v>
      </x:c>
    </x:row>
    <x:row r="69">
      <x:c r="A69" s="22" t="n">
        <x:f>IF($E69="ranked",1+COUNTIFS($D$5:$D$546,$D69,$E$5:$E$546,"ranked",$F$5:$F$546,"&gt;"&amp;$F69),"")</x:f>
        <x:v>65</x:v>
      </x:c>
      <x:c r="B69" s="22" t="n">
        <x:f>IF($E69="ranked",1+COUNTIFS($D$5:$D$546,$D69,$E$5:$E$546,"ranked",$G$5:$G$546,"&gt;"&amp;$G69),"")</x:f>
        <x:v>17</x:v>
      </x:c>
      <x:c r="C69" t="str">
        <x:v>gtja_052</x:v>
      </x:c>
      <x:c r="D69" s="22" t="n">
        <x:v>1</x:v>
      </x:c>
      <x:c r="E69" t="str">
        <x:v>ranked</x:v>
      </x:c>
      <x:c r="F69" s="23" t="n">
        <x:v>-0.034557619492661715</x:v>
      </x:c>
      <x:c r="G69" s="23" t="n">
        <x:f>ABS(F69)</x:f>
        <x:v>0.034557619492661715</x:v>
      </x:c>
      <x:c r="H69" s="23" t="str">
        <x:f>IF(F69&gt;=0,"positive","negative")</x:f>
        <x:v>negative</x:v>
      </x:c>
      <x:c r="I69" s="23" t="n">
        <x:v>0.14582751862192847</x:v>
      </x:c>
      <x:c r="J69" s="23" t="n">
        <x:v>-0.2369759824430366</x:v>
      </x:c>
      <x:c r="K69" s="23" t="n">
        <x:v>0.3965</x:v>
      </x:c>
      <x:c r="L69" s="24" t="n">
        <x:v>2000</x:v>
      </x:c>
      <x:c r="M69" t="str">
        <x:v>legacy_common_sample_8902245</x:v>
      </x:c>
      <x:c r="N69" s="25" t="n">
        <x:v>46210.3353965162</x:v>
      </x:c>
      <x:c r="O69" s="24" t="n">
        <x:v>8902245</x:v>
      </x:c>
      <x:c r="P69" t="str">
        <x:v>factor_report/gtja191_batch/gtja_052/ic_summary.csv</x:v>
      </x:c>
    </x:row>
    <x:row r="70">
      <x:c r="A70" s="22" t="n">
        <x:f>IF($E70="ranked",1+COUNTIFS($D$5:$D$546,$D70,$E$5:$E$546,"ranked",$F$5:$F$546,"&gt;"&amp;$F70),"")</x:f>
        <x:v>66</x:v>
      </x:c>
      <x:c r="B70" s="22" t="n">
        <x:f>IF($E70="ranked",1+COUNTIFS($D$5:$D$546,$D70,$E$5:$E$546,"ranked",$G$5:$G$546,"&gt;"&amp;$G70),"")</x:f>
        <x:v>16</x:v>
      </x:c>
      <x:c r="C70" t="str">
        <x:v>gtja_189</x:v>
      </x:c>
      <x:c r="D70" s="22" t="n">
        <x:v>1</x:v>
      </x:c>
      <x:c r="E70" t="str">
        <x:v>ranked</x:v>
      </x:c>
      <x:c r="F70" s="23" t="n">
        <x:v>-0.03477872691911135</x:v>
      </x:c>
      <x:c r="G70" s="23" t="n">
        <x:f>ABS(F70)</x:f>
        <x:v>0.03477872691911135</x:v>
      </x:c>
      <x:c r="H70" s="23" t="str">
        <x:f>IF(F70&gt;=0,"positive","negative")</x:f>
        <x:v>negative</x:v>
      </x:c>
      <x:c r="I70" s="23" t="n">
        <x:v>0.1767087350490848</x:v>
      </x:c>
      <x:c r="J70" s="23" t="n">
        <x:v>-0.19681385252093386</x:v>
      </x:c>
      <x:c r="K70" s="23" t="n">
        <x:v>0.4235</x:v>
      </x:c>
      <x:c r="L70" s="24" t="n">
        <x:v>2000</x:v>
      </x:c>
      <x:c r="M70" t="str">
        <x:v>legacy_common_sample_8902245</x:v>
      </x:c>
      <x:c r="N70" s="25" t="n">
        <x:v>46210.9753753125</x:v>
      </x:c>
      <x:c r="O70" s="24" t="n">
        <x:v>8902245</x:v>
      </x:c>
      <x:c r="P70" t="str">
        <x:v>factor_report/gtja191_batch/gtja_189/ic_summary.csv</x:v>
      </x:c>
    </x:row>
    <x:row r="71">
      <x:c r="A71" s="22" t="n">
        <x:f>IF($E71="ranked",1+COUNTIFS($D$5:$D$546,$D71,$E$5:$E$546,"ranked",$F$5:$F$546,"&gt;"&amp;$F71),"")</x:f>
        <x:v>67</x:v>
      </x:c>
      <x:c r="B71" s="22" t="n">
        <x:f>IF($E71="ranked",1+COUNTIFS($D$5:$D$546,$D71,$E$5:$E$546,"ranked",$G$5:$G$546,"&gt;"&amp;$G71),"")</x:f>
        <x:v>15</x:v>
      </x:c>
      <x:c r="C71" t="str">
        <x:v>gtja_097</x:v>
      </x:c>
      <x:c r="D71" s="22" t="n">
        <x:v>1</x:v>
      </x:c>
      <x:c r="E71" t="str">
        <x:v>ranked</x:v>
      </x:c>
      <x:c r="F71" s="23" t="n">
        <x:v>-0.03532552806568151</x:v>
      </x:c>
      <x:c r="G71" s="23" t="n">
        <x:f>ABS(F71)</x:f>
        <x:v>0.03532552806568151</x:v>
      </x:c>
      <x:c r="H71" s="23" t="str">
        <x:f>IF(F71&gt;=0,"positive","negative")</x:f>
        <x:v>negative</x:v>
      </x:c>
      <x:c r="I71" s="23" t="n">
        <x:v>0.11300004558093152</x:v>
      </x:c>
      <x:c r="J71" s="23" t="n">
        <x:v>-0.31261516651673465</x:v>
      </x:c>
      <x:c r="K71" s="23" t="n">
        <x:v>0.3645</x:v>
      </x:c>
      <x:c r="L71" s="24" t="n">
        <x:v>2000</x:v>
      </x:c>
      <x:c r="M71" t="str">
        <x:v>legacy_common_sample_8902245</x:v>
      </x:c>
      <x:c r="N71" s="25" t="n">
        <x:v>46210.56247660879</x:v>
      </x:c>
      <x:c r="O71" s="24" t="n">
        <x:v>8902245</x:v>
      </x:c>
      <x:c r="P71" t="str">
        <x:v>factor_report/gtja191_batch/gtja_097/ic_summary.csv</x:v>
      </x:c>
    </x:row>
    <x:row r="72">
      <x:c r="A72" s="22" t="n">
        <x:f>IF($E72="ranked",1+COUNTIFS($D$5:$D$546,$D72,$E$5:$E$546,"ranked",$F$5:$F$546,"&gt;"&amp;$F72),"")</x:f>
        <x:v>68</x:v>
      </x:c>
      <x:c r="B72" s="22" t="n">
        <x:f>IF($E72="ranked",1+COUNTIFS($D$5:$D$546,$D72,$E$5:$E$546,"ranked",$G$5:$G$546,"&gt;"&amp;$G72),"")</x:f>
        <x:v>14</x:v>
      </x:c>
      <x:c r="C72" t="str">
        <x:v>gtja_067</x:v>
      </x:c>
      <x:c r="D72" s="22" t="n">
        <x:v>1</x:v>
      </x:c>
      <x:c r="E72" t="str">
        <x:v>ranked</x:v>
      </x:c>
      <x:c r="F72" s="23" t="n">
        <x:v>-0.035647739055671576</x:v>
      </x:c>
      <x:c r="G72" s="23" t="n">
        <x:f>ABS(F72)</x:f>
        <x:v>0.035647739055671576</x:v>
      </x:c>
      <x:c r="H72" s="23" t="str">
        <x:f>IF(F72&gt;=0,"positive","negative")</x:f>
        <x:v>negative</x:v>
      </x:c>
      <x:c r="I72" s="23" t="n">
        <x:v>0.14958333458616965</x:v>
      </x:c>
      <x:c r="J72" s="23" t="n">
        <x:v>-0.23831357386364574</x:v>
      </x:c>
      <x:c r="K72" s="23" t="n">
        <x:v>0.3945</x:v>
      </x:c>
      <x:c r="L72" s="24" t="n">
        <x:v>2000</x:v>
      </x:c>
      <x:c r="M72" t="str">
        <x:v>legacy_common_sample_8902245</x:v>
      </x:c>
      <x:c r="N72" s="25" t="n">
        <x:v>46210.40343721065</x:v>
      </x:c>
      <x:c r="O72" s="24" t="n">
        <x:v>8902245</x:v>
      </x:c>
      <x:c r="P72" t="str">
        <x:v>factor_report/gtja191_batch/gtja_067/ic_summary.csv</x:v>
      </x:c>
    </x:row>
    <x:row r="73">
      <x:c r="A73" s="22" t="n">
        <x:f>IF($E73="ranked",1+COUNTIFS($D$5:$D$546,$D73,$E$5:$E$546,"ranked",$F$5:$F$546,"&gt;"&amp;$F73),"")</x:f>
        <x:v>69</x:v>
      </x:c>
      <x:c r="B73" s="22" t="n">
        <x:f>IF($E73="ranked",1+COUNTIFS($D$5:$D$546,$D73,$E$5:$E$546,"ranked",$G$5:$G$546,"&gt;"&amp;$G73),"")</x:f>
        <x:v>13</x:v>
      </x:c>
      <x:c r="C73" t="str">
        <x:v>gtja_088</x:v>
      </x:c>
      <x:c r="D73" s="22" t="n">
        <x:v>1</x:v>
      </x:c>
      <x:c r="E73" t="str">
        <x:v>ranked</x:v>
      </x:c>
      <x:c r="F73" s="23" t="n">
        <x:v>-0.03630489752719529</x:v>
      </x:c>
      <x:c r="G73" s="23" t="n">
        <x:f>ABS(F73)</x:f>
        <x:v>0.03630489752719529</x:v>
      </x:c>
      <x:c r="H73" s="23" t="str">
        <x:f>IF(F73&gt;=0,"positive","negative")</x:f>
        <x:v>negative</x:v>
      </x:c>
      <x:c r="I73" s="23" t="n">
        <x:v>0.15507562969934033</x:v>
      </x:c>
      <x:c r="J73" s="23" t="n">
        <x:v>-0.23411091476838108</x:v>
      </x:c>
      <x:c r="K73" s="23" t="n">
        <x:v>0.385</x:v>
      </x:c>
      <x:c r="L73" s="24" t="n">
        <x:v>2000</x:v>
      </x:c>
      <x:c r="M73" t="str">
        <x:v>legacy_common_sample_8902245</x:v>
      </x:c>
      <x:c r="N73" s="25" t="n">
        <x:v>46210.51801505787</x:v>
      </x:c>
      <x:c r="O73" s="24" t="n">
        <x:v>8902245</x:v>
      </x:c>
      <x:c r="P73" t="str">
        <x:v>factor_report/gtja191_batch/gtja_088/ic_summary.csv</x:v>
      </x:c>
    </x:row>
    <x:row r="74">
      <x:c r="A74" s="22" t="n">
        <x:f>IF($E74="ranked",1+COUNTIFS($D$5:$D$546,$D74,$E$5:$E$546,"ranked",$F$5:$F$546,"&gt;"&amp;$F74),"")</x:f>
        <x:v>70</x:v>
      </x:c>
      <x:c r="B74" s="22" t="n">
        <x:f>IF($E74="ranked",1+COUNTIFS($D$5:$D$546,$D74,$E$5:$E$546,"ranked",$G$5:$G$546,"&gt;"&amp;$G74),"")</x:f>
        <x:v>12</x:v>
      </x:c>
      <x:c r="C74" t="str">
        <x:v>gtja_118</x:v>
      </x:c>
      <x:c r="D74" s="22" t="n">
        <x:v>1</x:v>
      </x:c>
      <x:c r="E74" t="str">
        <x:v>ranked</x:v>
      </x:c>
      <x:c r="F74" s="23" t="n">
        <x:v>-0.03659425054575604</x:v>
      </x:c>
      <x:c r="G74" s="23" t="n">
        <x:f>ABS(F74)</x:f>
        <x:v>0.03659425054575604</x:v>
      </x:c>
      <x:c r="H74" s="23" t="str">
        <x:f>IF(F74&gt;=0,"positive","negative")</x:f>
        <x:v>negative</x:v>
      </x:c>
      <x:c r="I74" s="23" t="n">
        <x:v>0.12263239759030531</x:v>
      </x:c>
      <x:c r="J74" s="23" t="n">
        <x:v>-0.29840605961249667</x:v>
      </x:c>
      <x:c r="K74" s="23" t="n">
        <x:v>0.3765</x:v>
      </x:c>
      <x:c r="L74" s="24" t="n">
        <x:v>2000</x:v>
      </x:c>
      <x:c r="M74" t="str">
        <x:v>legacy_common_sample_8902245</x:v>
      </x:c>
      <x:c r="N74" s="25" t="n">
        <x:v>46210.66222452546</x:v>
      </x:c>
      <x:c r="O74" s="24" t="n">
        <x:v>8902245</x:v>
      </x:c>
      <x:c r="P74" t="str">
        <x:v>factor_report/gtja191_batch/gtja_118/ic_summary.csv</x:v>
      </x:c>
    </x:row>
    <x:row r="75">
      <x:c r="A75" s="22" t="n">
        <x:f>IF($E75="ranked",1+COUNTIFS($D$5:$D$546,$D75,$E$5:$E$546,"ranked",$F$5:$F$546,"&gt;"&amp;$F75),"")</x:f>
        <x:v>71</x:v>
      </x:c>
      <x:c r="B75" s="22" t="n">
        <x:f>IF($E75="ranked",1+COUNTIFS($D$5:$D$546,$D75,$E$5:$E$546,"ranked",$G$5:$G$546,"&gt;"&amp;$G75),"")</x:f>
        <x:v>11</x:v>
      </x:c>
      <x:c r="C75" t="str">
        <x:v>gtja_161</x:v>
      </x:c>
      <x:c r="D75" s="22" t="n">
        <x:v>1</x:v>
      </x:c>
      <x:c r="E75" t="str">
        <x:v>ranked</x:v>
      </x:c>
      <x:c r="F75" s="23" t="n">
        <x:v>-0.03704604830156317</x:v>
      </x:c>
      <x:c r="G75" s="23" t="n">
        <x:f>ABS(F75)</x:f>
        <x:v>0.03704604830156317</x:v>
      </x:c>
      <x:c r="H75" s="23" t="str">
        <x:f>IF(F75&gt;=0,"positive","negative")</x:f>
        <x:v>negative</x:v>
      </x:c>
      <x:c r="I75" s="23" t="n">
        <x:v>0.18438145300643663</x:v>
      </x:c>
      <x:c r="J75" s="23" t="n">
        <x:v>-0.20092068750683897</x:v>
      </x:c>
      <x:c r="K75" s="23" t="n">
        <x:v>0.4235</x:v>
      </x:c>
      <x:c r="L75" s="24" t="n">
        <x:v>2000</x:v>
      </x:c>
      <x:c r="M75" t="str">
        <x:v>legacy_common_sample_8902245</x:v>
      </x:c>
      <x:c r="N75" s="25" t="n">
        <x:v>46210.86347449074</x:v>
      </x:c>
      <x:c r="O75" s="24" t="n">
        <x:v>8902245</x:v>
      </x:c>
      <x:c r="P75" t="str">
        <x:v>factor_report/gtja191_batch/gtja_161/ic_summary.csv</x:v>
      </x:c>
    </x:row>
    <x:row r="76">
      <x:c r="A76" s="22" t="n">
        <x:f>IF($E76="ranked",1+COUNTIFS($D$5:$D$546,$D76,$E$5:$E$546,"ranked",$F$5:$F$546,"&gt;"&amp;$F76),"")</x:f>
        <x:v>72</x:v>
      </x:c>
      <x:c r="B76" s="22" t="n">
        <x:f>IF($E76="ranked",1+COUNTIFS($D$5:$D$546,$D76,$E$5:$E$546,"ranked",$G$5:$G$546,"&gt;"&amp;$G76),"")</x:f>
        <x:v>10</x:v>
      </x:c>
      <x:c r="C76" t="str">
        <x:v>gtja_071</x:v>
      </x:c>
      <x:c r="D76" s="22" t="n">
        <x:v>1</x:v>
      </x:c>
      <x:c r="E76" t="str">
        <x:v>ranked</x:v>
      </x:c>
      <x:c r="F76" s="23" t="n">
        <x:v>-0.03785381980874199</x:v>
      </x:c>
      <x:c r="G76" s="23" t="n">
        <x:f>ABS(F76)</x:f>
        <x:v>0.03785381980874199</x:v>
      </x:c>
      <x:c r="H76" s="23" t="str">
        <x:f>IF(F76&gt;=0,"positive","negative")</x:f>
        <x:v>negative</x:v>
      </x:c>
      <x:c r="I76" s="23" t="n">
        <x:v>0.15973970365290074</x:v>
      </x:c>
      <x:c r="J76" s="23" t="n">
        <x:v>-0.23697189204128458</x:v>
      </x:c>
      <x:c r="K76" s="23" t="n">
        <x:v>0.3955</x:v>
      </x:c>
      <x:c r="L76" s="24" t="n">
        <x:v>2000</x:v>
      </x:c>
      <x:c r="M76" t="str">
        <x:v>legacy_common_sample_8902245</x:v>
      </x:c>
      <x:c r="N76" s="25" t="n">
        <x:v>46210.420358854164</x:v>
      </x:c>
      <x:c r="O76" s="24" t="n">
        <x:v>8902245</x:v>
      </x:c>
      <x:c r="P76" t="str">
        <x:v>factor_report/gtja191_batch/gtja_071/ic_summary.csv</x:v>
      </x:c>
    </x:row>
    <x:row r="77">
      <x:c r="A77" s="22" t="n">
        <x:f>IF($E77="ranked",1+COUNTIFS($D$5:$D$546,$D77,$E$5:$E$546,"ranked",$F$5:$F$546,"&gt;"&amp;$F77),"")</x:f>
        <x:v>73</x:v>
      </x:c>
      <x:c r="B77" s="22" t="n">
        <x:f>IF($E77="ranked",1+COUNTIFS($D$5:$D$546,$D77,$E$5:$E$546,"ranked",$G$5:$G$546,"&gt;"&amp;$G77),"")</x:f>
        <x:v>9</x:v>
      </x:c>
      <x:c r="C77" t="str">
        <x:v>gtja_187</x:v>
      </x:c>
      <x:c r="D77" s="22" t="n">
        <x:v>1</x:v>
      </x:c>
      <x:c r="E77" t="str">
        <x:v>ranked</x:v>
      </x:c>
      <x:c r="F77" s="23" t="n">
        <x:v>-0.04001399004176851</x:v>
      </x:c>
      <x:c r="G77" s="23" t="n">
        <x:f>ABS(F77)</x:f>
        <x:v>0.04001399004176851</x:v>
      </x:c>
      <x:c r="H77" s="23" t="str">
        <x:f>IF(F77&gt;=0,"positive","negative")</x:f>
        <x:v>negative</x:v>
      </x:c>
      <x:c r="I77" s="23" t="n">
        <x:v>0.1792688518476856</x:v>
      </x:c>
      <x:c r="J77" s="23" t="n">
        <x:v>-0.22320659517452643</x:v>
      </x:c>
      <x:c r="K77" s="23" t="n">
        <x:v>0.419</x:v>
      </x:c>
      <x:c r="L77" s="24" t="n">
        <x:v>2000</x:v>
      </x:c>
      <x:c r="M77" t="str">
        <x:v>legacy_common_sample_8902245</x:v>
      </x:c>
      <x:c r="N77" s="25" t="n">
        <x:v>46210.96675238426</x:v>
      </x:c>
      <x:c r="O77" s="24" t="n">
        <x:v>8902245</x:v>
      </x:c>
      <x:c r="P77" t="str">
        <x:v>factor_report/gtja191_batch/gtja_187/ic_summary.csv</x:v>
      </x:c>
    </x:row>
    <x:row r="78">
      <x:c r="A78" s="22" t="n">
        <x:f>IF($E78="ranked",1+COUNTIFS($D$5:$D$546,$D78,$E$5:$E$546,"ranked",$F$5:$F$546,"&gt;"&amp;$F78),"")</x:f>
        <x:v>74</x:v>
      </x:c>
      <x:c r="B78" s="22" t="n">
        <x:f>IF($E78="ranked",1+COUNTIFS($D$5:$D$546,$D78,$E$5:$E$546,"ranked",$G$5:$G$546,"&gt;"&amp;$G78),"")</x:f>
        <x:v>8</x:v>
      </x:c>
      <x:c r="C78" t="str">
        <x:v>gtja_132</x:v>
      </x:c>
      <x:c r="D78" s="22" t="n">
        <x:v>1</x:v>
      </x:c>
      <x:c r="E78" t="str">
        <x:v>ranked</x:v>
      </x:c>
      <x:c r="F78" s="23" t="n">
        <x:v>-0.0400158329627083</x:v>
      </x:c>
      <x:c r="G78" s="23" t="n">
        <x:f>ABS(F78)</x:f>
        <x:v>0.0400158329627083</x:v>
      </x:c>
      <x:c r="H78" s="23" t="str">
        <x:f>IF(F78&gt;=0,"positive","negative")</x:f>
        <x:v>negative</x:v>
      </x:c>
      <x:c r="I78" s="23" t="n">
        <x:v>0.15018213885727624</x:v>
      </x:c>
      <x:c r="J78" s="23" t="n">
        <x:v>-0.26644868202827277</x:v>
      </x:c>
      <x:c r="K78" s="23" t="n">
        <x:v>0.3785</x:v>
      </x:c>
      <x:c r="L78" s="24" t="n">
        <x:v>2000</x:v>
      </x:c>
      <x:c r="M78" t="str">
        <x:v>legacy_common_sample_8902245</x:v>
      </x:c>
      <x:c r="N78" s="25" t="n">
        <x:v>46210.73378372685</x:v>
      </x:c>
      <x:c r="O78" s="24" t="n">
        <x:v>8902245</x:v>
      </x:c>
      <x:c r="P78" t="str">
        <x:v>factor_report/gtja191_batch/gtja_132/ic_summary.csv</x:v>
      </x:c>
    </x:row>
    <x:row r="79">
      <x:c r="A79" s="22" t="n">
        <x:f>IF($E79="ranked",1+COUNTIFS($D$5:$D$546,$D79,$E$5:$E$546,"ranked",$F$5:$F$546,"&gt;"&amp;$F79),"")</x:f>
        <x:v>75</x:v>
      </x:c>
      <x:c r="B79" s="22" t="n">
        <x:f>IF($E79="ranked",1+COUNTIFS($D$5:$D$546,$D79,$E$5:$E$546,"ranked",$G$5:$G$546,"&gt;"&amp;$G79),"")</x:f>
        <x:v>7</x:v>
      </x:c>
      <x:c r="C79" t="str">
        <x:v>gtja_175</x:v>
      </x:c>
      <x:c r="D79" s="22" t="n">
        <x:v>1</x:v>
      </x:c>
      <x:c r="E79" t="str">
        <x:v>ranked</x:v>
      </x:c>
      <x:c r="F79" s="23" t="n">
        <x:v>-0.04022078430442937</x:v>
      </x:c>
      <x:c r="G79" s="23" t="n">
        <x:f>ABS(F79)</x:f>
        <x:v>0.04022078430442937</x:v>
      </x:c>
      <x:c r="H79" s="23" t="str">
        <x:f>IF(F79&gt;=0,"positive","negative")</x:f>
        <x:v>negative</x:v>
      </x:c>
      <x:c r="I79" s="23" t="n">
        <x:v>0.18180958226160174</x:v>
      </x:c>
      <x:c r="J79" s="23" t="n">
        <x:v>-0.22122477706679172</x:v>
      </x:c>
      <x:c r="K79" s="23" t="n">
        <x:v>0.417</x:v>
      </x:c>
      <x:c r="L79" s="24" t="n">
        <x:v>2000</x:v>
      </x:c>
      <x:c r="M79" t="str">
        <x:v>legacy_common_sample_8902245</x:v>
      </x:c>
      <x:c r="N79" s="25" t="n">
        <x:v>46210.925217731485</x:v>
      </x:c>
      <x:c r="O79" s="24" t="n">
        <x:v>8902245</x:v>
      </x:c>
      <x:c r="P79" t="str">
        <x:v>factor_report/gtja191_batch/gtja_175/ic_summary.csv</x:v>
      </x:c>
    </x:row>
    <x:row r="80">
      <x:c r="A80" s="22" t="n">
        <x:f>IF($E80="ranked",1+COUNTIFS($D$5:$D$546,$D80,$E$5:$E$546,"ranked",$F$5:$F$546,"&gt;"&amp;$F80),"")</x:f>
        <x:v>76</x:v>
      </x:c>
      <x:c r="B80" s="22" t="n">
        <x:f>IF($E80="ranked",1+COUNTIFS($D$5:$D$546,$D80,$E$5:$E$546,"ranked",$G$5:$G$546,"&gt;"&amp;$G80),"")</x:f>
        <x:v>6</x:v>
      </x:c>
      <x:c r="C80" t="str">
        <x:v>gtja_167</x:v>
      </x:c>
      <x:c r="D80" s="22" t="n">
        <x:v>1</x:v>
      </x:c>
      <x:c r="E80" t="str">
        <x:v>ranked</x:v>
      </x:c>
      <x:c r="F80" s="23" t="n">
        <x:v>-0.043729670941198354</x:v>
      </x:c>
      <x:c r="G80" s="23" t="n">
        <x:f>ABS(F80)</x:f>
        <x:v>0.043729670941198354</x:v>
      </x:c>
      <x:c r="H80" s="23" t="str">
        <x:f>IF(F80&gt;=0,"positive","negative")</x:f>
        <x:v>negative</x:v>
      </x:c>
      <x:c r="I80" s="23" t="n">
        <x:v>0.17407929196414548</x:v>
      </x:c>
      <x:c r="J80" s="23" t="n">
        <x:v>-0.25120547336672994</x:v>
      </x:c>
      <x:c r="K80" s="23" t="n">
        <x:v>0.402</x:v>
      </x:c>
      <x:c r="L80" s="24" t="n">
        <x:v>2000</x:v>
      </x:c>
      <x:c r="M80" t="str">
        <x:v>legacy_common_sample_8902245</x:v>
      </x:c>
      <x:c r="N80" s="25" t="n">
        <x:v>46210.888780636575</x:v>
      </x:c>
      <x:c r="O80" s="24" t="n">
        <x:v>8902245</x:v>
      </x:c>
      <x:c r="P80" t="str">
        <x:v>factor_report/gtja191_batch/gtja_167/ic_summary.csv</x:v>
      </x:c>
    </x:row>
    <x:row r="81">
      <x:c r="A81" s="22" t="n">
        <x:f>IF($E81="ranked",1+COUNTIFS($D$5:$D$546,$D81,$E$5:$E$546,"ranked",$F$5:$F$546,"&gt;"&amp;$F81),"")</x:f>
        <x:v>77</x:v>
      </x:c>
      <x:c r="B81" s="22" t="n">
        <x:f>IF($E81="ranked",1+COUNTIFS($D$5:$D$546,$D81,$E$5:$E$546,"ranked",$G$5:$G$546,"&gt;"&amp;$G81),"")</x:f>
        <x:v>5</x:v>
      </x:c>
      <x:c r="C81" t="str">
        <x:v>gtja_095</x:v>
      </x:c>
      <x:c r="D81" s="22" t="n">
        <x:v>1</x:v>
      </x:c>
      <x:c r="E81" t="str">
        <x:v>ranked</x:v>
      </x:c>
      <x:c r="F81" s="23" t="n">
        <x:v>-0.04753124147951448</x:v>
      </x:c>
      <x:c r="G81" s="23" t="n">
        <x:f>ABS(F81)</x:f>
        <x:v>0.04753124147951448</x:v>
      </x:c>
      <x:c r="H81" s="23" t="str">
        <x:f>IF(F81&gt;=0,"positive","negative")</x:f>
        <x:v>negative</x:v>
      </x:c>
      <x:c r="I81" s="23" t="n">
        <x:v>0.14113391326711552</x:v>
      </x:c>
      <x:c r="J81" s="23" t="n">
        <x:v>-0.3367811490464025</x:v>
      </x:c>
      <x:c r="K81" s="23" t="n">
        <x:v>0.3505</x:v>
      </x:c>
      <x:c r="L81" s="24" t="n">
        <x:v>2000</x:v>
      </x:c>
      <x:c r="M81" t="str">
        <x:v>legacy_common_sample_8902245</x:v>
      </x:c>
      <x:c r="N81" s="25" t="n">
        <x:v>46210.552701967594</x:v>
      </x:c>
      <x:c r="O81" s="24" t="n">
        <x:v>8902245</x:v>
      </x:c>
      <x:c r="P81" t="str">
        <x:v>factor_report/gtja191_batch/gtja_095/ic_summary.csv</x:v>
      </x:c>
    </x:row>
    <x:row r="82">
      <x:c r="A82" s="22" t="n">
        <x:f>IF($E82="ranked",1+COUNTIFS($D$5:$D$546,$D82,$E$5:$E$546,"ranked",$F$5:$F$546,"&gt;"&amp;$F82),"")</x:f>
        <x:v>78</x:v>
      </x:c>
      <x:c r="B82" s="22" t="n">
        <x:f>IF($E82="ranked",1+COUNTIFS($D$5:$D$546,$D82,$E$5:$E$546,"ranked",$G$5:$G$546,"&gt;"&amp;$G82),"")</x:f>
        <x:v>4</x:v>
      </x:c>
      <x:c r="C82" t="str">
        <x:v>gtja_158</x:v>
      </x:c>
      <x:c r="D82" s="22" t="n">
        <x:v>1</x:v>
      </x:c>
      <x:c r="E82" t="str">
        <x:v>ranked</x:v>
      </x:c>
      <x:c r="F82" s="23" t="n">
        <x:v>-0.05200081838059828</x:v>
      </x:c>
      <x:c r="G82" s="23" t="n">
        <x:f>ABS(F82)</x:f>
        <x:v>0.05200081838059828</x:v>
      </x:c>
      <x:c r="H82" s="23" t="str">
        <x:f>IF(F82&gt;=0,"positive","negative")</x:f>
        <x:v>negative</x:v>
      </x:c>
      <x:c r="I82" s="23" t="n">
        <x:v>0.15206881249090748</x:v>
      </x:c>
      <x:c r="J82" s="23" t="n">
        <x:v>-0.34195583912847033</x:v>
      </x:c>
      <x:c r="K82" s="23" t="n">
        <x:v>0.3535</x:v>
      </x:c>
      <x:c r="L82" s="24" t="n">
        <x:v>2000</x:v>
      </x:c>
      <x:c r="M82" t="str">
        <x:v>legacy_common_sample_8902245</x:v>
      </x:c>
      <x:c r="N82" s="25" t="n">
        <x:v>46210.85092011574</x:v>
      </x:c>
      <x:c r="O82" s="24" t="n">
        <x:v>8902245</x:v>
      </x:c>
      <x:c r="P82" t="str">
        <x:v>factor_report/gtja191_batch/gtja_158/ic_summary.csv</x:v>
      </x:c>
    </x:row>
    <x:row r="83">
      <x:c r="A83" s="22" t="n">
        <x:f>IF($E83="ranked",1+COUNTIFS($D$5:$D$546,$D83,$E$5:$E$546,"ranked",$F$5:$F$546,"&gt;"&amp;$F83),"")</x:f>
        <x:v>79</x:v>
      </x:c>
      <x:c r="B83" s="22" t="n">
        <x:f>IF($E83="ranked",1+COUNTIFS($D$5:$D$546,$D83,$E$5:$E$546,"ranked",$G$5:$G$546,"&gt;"&amp;$G83),"")</x:f>
        <x:v>3</x:v>
      </x:c>
      <x:c r="C83" t="str">
        <x:v>gtja_150</x:v>
      </x:c>
      <x:c r="D83" s="22" t="n">
        <x:v>1</x:v>
      </x:c>
      <x:c r="E83" t="str">
        <x:v>ranked</x:v>
      </x:c>
      <x:c r="F83" s="23" t="n">
        <x:v>-0.05336353246450551</x:v>
      </x:c>
      <x:c r="G83" s="23" t="n">
        <x:f>ABS(F83)</x:f>
        <x:v>0.05336353246450551</x:v>
      </x:c>
      <x:c r="H83" s="23" t="str">
        <x:f>IF(F83&gt;=0,"positive","negative")</x:f>
        <x:v>negative</x:v>
      </x:c>
      <x:c r="I83" s="23" t="n">
        <x:v>0.1388759728125712</x:v>
      </x:c>
      <x:c r="J83" s="23" t="n">
        <x:v>-0.38425316765575873</x:v>
      </x:c>
      <x:c r="K83" s="23" t="n">
        <x:v>0.3385</x:v>
      </x:c>
      <x:c r="L83" s="24" t="n">
        <x:v>2000</x:v>
      </x:c>
      <x:c r="M83" t="str">
        <x:v>legacy_common_sample_8902245</x:v>
      </x:c>
      <x:c r="N83" s="25" t="n">
        <x:v>46210.81356047454</x:v>
      </x:c>
      <x:c r="O83" s="24" t="n">
        <x:v>8902245</x:v>
      </x:c>
      <x:c r="P83" t="str">
        <x:v>factor_report/gtja191_batch/gtja_150/ic_summary.csv</x:v>
      </x:c>
    </x:row>
    <x:row r="84">
      <x:c r="A84" s="22" t="n">
        <x:f>IF($E84="ranked",1+COUNTIFS($D$5:$D$546,$D84,$E$5:$E$546,"ranked",$F$5:$F$546,"&gt;"&amp;$F84),"")</x:f>
        <x:v>80</x:v>
      </x:c>
      <x:c r="B84" s="22" t="n">
        <x:f>IF($E84="ranked",1+COUNTIFS($D$5:$D$546,$D84,$E$5:$E$546,"ranked",$G$5:$G$546,"&gt;"&amp;$G84),"")</x:f>
        <x:v>2</x:v>
      </x:c>
      <x:c r="C84" t="str">
        <x:v>gtja_070</x:v>
      </x:c>
      <x:c r="D84" s="22" t="n">
        <x:v>1</x:v>
      </x:c>
      <x:c r="E84" t="str">
        <x:v>ranked</x:v>
      </x:c>
      <x:c r="F84" s="23" t="n">
        <x:v>-0.053577432783182125</x:v>
      </x:c>
      <x:c r="G84" s="23" t="n">
        <x:f>ABS(F84)</x:f>
        <x:v>0.053577432783182125</x:v>
      </x:c>
      <x:c r="H84" s="23" t="str">
        <x:f>IF(F84&gt;=0,"positive","negative")</x:f>
        <x:v>negative</x:v>
      </x:c>
      <x:c r="I84" s="23" t="n">
        <x:v>0.13653086398955622</x:v>
      </x:c>
      <x:c r="J84" s="23" t="n">
        <x:v>-0.392419935079884</x:v>
      </x:c>
      <x:c r="K84" s="23" t="n">
        <x:v>0.3365</x:v>
      </x:c>
      <x:c r="L84" s="24" t="n">
        <x:v>2000</x:v>
      </x:c>
      <x:c r="M84" t="str">
        <x:v>legacy_common_sample_8902245</x:v>
      </x:c>
      <x:c r="N84" s="25" t="n">
        <x:v>46210.41622457176</x:v>
      </x:c>
      <x:c r="O84" s="24" t="n">
        <x:v>8902245</x:v>
      </x:c>
      <x:c r="P84" t="str">
        <x:v>factor_report/gtja191_batch/gtja_070/ic_summary.csv</x:v>
      </x:c>
    </x:row>
    <x:row r="85">
      <x:c r="A85" s="22" t="n">
        <x:f>IF($E85="ranked",1+COUNTIFS($D$5:$D$546,$D85,$E$5:$E$546,"ranked",$F$5:$F$546,"&gt;"&amp;$F85),"")</x:f>
        <x:v>81</x:v>
      </x:c>
      <x:c r="B85" s="22" t="n">
        <x:f>IF($E85="ranked",1+COUNTIFS($D$5:$D$546,$D85,$E$5:$E$546,"ranked",$G$5:$G$546,"&gt;"&amp;$G85),"")</x:f>
        <x:v>1</x:v>
      </x:c>
      <x:c r="C85" t="str">
        <x:v>gtja_159</x:v>
      </x:c>
      <x:c r="D85" s="22" t="n">
        <x:v>1</x:v>
      </x:c>
      <x:c r="E85" t="str">
        <x:v>ranked</x:v>
      </x:c>
      <x:c r="F85" s="23" t="n">
        <x:v>-0.0564643230896578</x:v>
      </x:c>
      <x:c r="G85" s="23" t="n">
        <x:f>ABS(F85)</x:f>
        <x:v>0.0564643230896578</x:v>
      </x:c>
      <x:c r="H85" s="23" t="str">
        <x:f>IF(F85&gt;=0,"positive","negative")</x:f>
        <x:v>negative</x:v>
      </x:c>
      <x:c r="I85" s="23" t="n">
        <x:v>0.18821758490001683</x:v>
      </x:c>
      <x:c r="J85" s="23" t="n">
        <x:v>-0.29999494000335963</x:v>
      </x:c>
      <x:c r="K85" s="23" t="n">
        <x:v>0.383</x:v>
      </x:c>
      <x:c r="L85" s="24" t="n">
        <x:v>2000</x:v>
      </x:c>
      <x:c r="M85" t="str">
        <x:v>legacy_common_sample_8902245</x:v>
      </x:c>
      <x:c r="N85" s="25" t="n">
        <x:v>46210.85484907407</x:v>
      </x:c>
      <x:c r="O85" s="24" t="n">
        <x:v>8902245</x:v>
      </x:c>
      <x:c r="P85" t="str">
        <x:v>factor_report/gtja191_batch/gtja_159/ic_summary.csv</x:v>
      </x:c>
    </x:row>
    <x:row r="86">
      <x:c r="A86" s="22" t="str">
        <x:f>IF($E86="ranked",1+COUNTIFS($D$5:$D$546,$D86,$E$5:$E$546,"ranked",$F$5:$F$546,"&gt;"&amp;$F86),"")</x:f>
      </x:c>
      <x:c r="B86" s="22" t="str">
        <x:f>IF($E86="ranked",1+COUNTIFS($D$5:$D$546,$D86,$E$5:$E$546,"ranked",$G$5:$G$546,"&gt;"&amp;$G86),"")</x:f>
      </x:c>
      <x:c r="C86" t="str">
        <x:v>gtja_012</x:v>
      </x:c>
      <x:c r="D86" s="22" t="n">
        <x:v>1</x:v>
      </x:c>
      <x:c r="E86" t="str">
        <x:v>not comparable</x:v>
      </x:c>
      <x:c r="F86" s="23" t="n">
        <x:v>0.028202410278958145</x:v>
      </x:c>
      <x:c r="G86" s="23" t="n">
        <x:f>ABS(F86)</x:f>
        <x:v>0.028202410278958145</x:v>
      </x:c>
      <x:c r="H86" s="23" t="str">
        <x:f>IF(F86&gt;=0,"positive","negative")</x:f>
        <x:v>positive</x:v>
      </x:c>
      <x:c r="I86" s="23" t="n">
        <x:v>0.11274159859213079</x:v>
      </x:c>
      <x:c r="J86" s="23" t="n">
        <x:v>0.25015088158353144</x:v>
      </x:c>
      <x:c r="K86" s="23" t="n">
        <x:v>0.6111111111111112</x:v>
      </x:c>
      <x:c r="L86" s="24" t="n">
        <x:v>3960</x:v>
      </x:c>
      <x:c r="M86" t="str">
        <x:v>latest_context_sample_13231952</x:v>
      </x:c>
      <x:c r="N86" s="25" t="n">
        <x:v>46230.30990840278</x:v>
      </x:c>
      <x:c r="O86" s="24" t="n">
        <x:v>13231952</x:v>
      </x:c>
      <x:c r="P86" t="str">
        <x:v>factor_report/gtja191_batch/gtja_012/ic_summary.csv</x:v>
      </x:c>
    </x:row>
    <x:row r="87">
      <x:c r="A87" s="22" t="str">
        <x:f>IF($E87="ranked",1+COUNTIFS($D$5:$D$546,$D87,$E$5:$E$546,"ranked",$F$5:$F$546,"&gt;"&amp;$F87),"")</x:f>
      </x:c>
      <x:c r="B87" s="22" t="str">
        <x:f>IF($E87="ranked",1+COUNTIFS($D$5:$D$546,$D87,$E$5:$E$546,"ranked",$G$5:$G$546,"&gt;"&amp;$G87),"")</x:f>
      </x:c>
      <x:c r="C87" t="str">
        <x:v>gtja_005</x:v>
      </x:c>
      <x:c r="D87" s="22" t="n">
        <x:v>1</x:v>
      </x:c>
      <x:c r="E87" t="str">
        <x:v>not comparable</x:v>
      </x:c>
      <x:c r="F87" s="23" t="n">
        <x:v>0.025079713667741598</x:v>
      </x:c>
      <x:c r="G87" s="23" t="n">
        <x:f>ABS(F87)</x:f>
        <x:v>0.025079713667741598</x:v>
      </x:c>
      <x:c r="H87" s="23" t="str">
        <x:f>IF(F87&gt;=0,"positive","negative")</x:f>
        <x:v>positive</x:v>
      </x:c>
      <x:c r="I87" s="23" t="n">
        <x:v>0.07180593483059108</x:v>
      </x:c>
      <x:c r="J87" s="23" t="n">
        <x:v>0.34927076329987455</x:v>
      </x:c>
      <x:c r="K87" s="23" t="n">
        <x:v>0.6464646464646465</x:v>
      </x:c>
      <x:c r="L87" s="24" t="n">
        <x:v>3960</x:v>
      </x:c>
      <x:c r="M87" t="str">
        <x:v>latest_context_sample_13231952</x:v>
      </x:c>
      <x:c r="N87" s="25" t="n">
        <x:v>46230.276212083336</x:v>
      </x:c>
      <x:c r="O87" s="24" t="n">
        <x:v>13231952</x:v>
      </x:c>
      <x:c r="P87" t="str">
        <x:v>factor_report/gtja191_batch/gtja_005/ic_summary.csv</x:v>
      </x:c>
    </x:row>
    <x:row r="88">
      <x:c r="A88" s="22" t="str">
        <x:f>IF($E88="ranked",1+COUNTIFS($D$5:$D$546,$D88,$E$5:$E$546,"ranked",$F$5:$F$546,"&gt;"&amp;$F88),"")</x:f>
      </x:c>
      <x:c r="B88" s="22" t="str">
        <x:f>IF($E88="ranked",1+COUNTIFS($D$5:$D$546,$D88,$E$5:$E$546,"ranked",$G$5:$G$546,"&gt;"&amp;$G88),"")</x:f>
      </x:c>
      <x:c r="C88" t="str">
        <x:v>gtja_007</x:v>
      </x:c>
      <x:c r="D88" s="22" t="n">
        <x:v>1</x:v>
      </x:c>
      <x:c r="E88" t="str">
        <x:v>not comparable</x:v>
      </x:c>
      <x:c r="F88" s="23" t="n">
        <x:v>0.015733085135450964</x:v>
      </x:c>
      <x:c r="G88" s="23" t="n">
        <x:f>ABS(F88)</x:f>
        <x:v>0.015733085135450964</x:v>
      </x:c>
      <x:c r="H88" s="23" t="str">
        <x:f>IF(F88&gt;=0,"positive","negative")</x:f>
        <x:v>positive</x:v>
      </x:c>
      <x:c r="I88" s="23" t="n">
        <x:v>0.07633627341466157</x:v>
      </x:c>
      <x:c r="J88" s="23" t="n">
        <x:v>0.2061023473072656</x:v>
      </x:c>
      <x:c r="K88" s="23" t="n">
        <x:v>0.5891414141414142</x:v>
      </x:c>
      <x:c r="L88" s="24" t="n">
        <x:v>3960</x:v>
      </x:c>
      <x:c r="M88" t="str">
        <x:v>latest_context_sample_13231952</x:v>
      </x:c>
      <x:c r="N88" s="25" t="n">
        <x:v>46230.29278930555</x:v>
      </x:c>
      <x:c r="O88" s="24" t="n">
        <x:v>13231952</x:v>
      </x:c>
      <x:c r="P88" t="str">
        <x:v>factor_report/gtja191_batch/gtja_007/ic_summary.csv</x:v>
      </x:c>
    </x:row>
    <x:row r="89">
      <x:c r="A89" s="22" t="str">
        <x:f>IF($E89="ranked",1+COUNTIFS($D$5:$D$546,$D89,$E$5:$E$546,"ranked",$F$5:$F$546,"&gt;"&amp;$F89),"")</x:f>
      </x:c>
      <x:c r="B89" s="22" t="str">
        <x:f>IF($E89="ranked",1+COUNTIFS($D$5:$D$546,$D89,$E$5:$E$546,"ranked",$G$5:$G$546,"&gt;"&amp;$G89),"")</x:f>
      </x:c>
      <x:c r="C89" t="str">
        <x:v>gtja_015</x:v>
      </x:c>
      <x:c r="D89" s="22" t="n">
        <x:v>1</x:v>
      </x:c>
      <x:c r="E89" t="str">
        <x:v>not comparable</x:v>
      </x:c>
      <x:c r="F89" s="23" t="n">
        <x:v>0.010154917297053636</x:v>
      </x:c>
      <x:c r="G89" s="23" t="n">
        <x:f>ABS(F89)</x:f>
        <x:v>0.010154917297053636</x:v>
      </x:c>
      <x:c r="H89" s="23" t="str">
        <x:f>IF(F89&gt;=0,"positive","negative")</x:f>
        <x:v>positive</x:v>
      </x:c>
      <x:c r="I89" s="23" t="n">
        <x:v>0.07170212890566337</x:v>
      </x:c>
      <x:c r="J89" s="23" t="n">
        <x:v>0.1416264405540064</x:v>
      </x:c>
      <x:c r="K89" s="23" t="n">
        <x:v>0.5752525252525252</x:v>
      </x:c>
      <x:c r="L89" s="24" t="n">
        <x:v>3960</x:v>
      </x:c>
      <x:c r="M89" t="str">
        <x:v>latest_context_sample_13231952</x:v>
      </x:c>
      <x:c r="N89" s="25" t="n">
        <x:v>46230.32700612269</x:v>
      </x:c>
      <x:c r="O89" s="24" t="n">
        <x:v>13231952</x:v>
      </x:c>
      <x:c r="P89" t="str">
        <x:v>factor_report/gtja191_batch/gtja_015/ic_summary.csv</x:v>
      </x:c>
    </x:row>
    <x:row r="90">
      <x:c r="A90" s="22" t="n">
        <x:f>IF($E90="ranked",1+COUNTIFS($D$5:$D$546,$D90,$E$5:$E$546,"ranked",$F$5:$F$546,"&gt;"&amp;$F90),"")</x:f>
        <x:v>1</x:v>
      </x:c>
      <x:c r="B90" s="22" t="n">
        <x:f>IF($E90="ranked",1+COUNTIFS($D$5:$D$546,$D90,$E$5:$E$546,"ranked",$G$5:$G$546,"&gt;"&amp;$G90),"")</x:f>
        <x:v>81</x:v>
      </x:c>
      <x:c r="C90" t="str">
        <x:v>gtja_060</x:v>
      </x:c>
      <x:c r="D90" s="22" t="n">
        <x:v>5</x:v>
      </x:c>
      <x:c r="E90" t="str">
        <x:v>ranked</x:v>
      </x:c>
      <x:c r="F90" s="23" t="n">
        <x:v>-0.015488033351198223</x:v>
      </x:c>
      <x:c r="G90" s="23" t="n">
        <x:f>ABS(F90)</x:f>
        <x:v>0.015488033351198223</x:v>
      </x:c>
      <x:c r="H90" s="23" t="str">
        <x:f>IF(F90&gt;=0,"positive","negative")</x:f>
        <x:v>negative</x:v>
      </x:c>
      <x:c r="I90" s="23" t="n">
        <x:v>0.0957444504327126</x:v>
      </x:c>
      <x:c r="J90" s="23" t="n">
        <x:v>-0.1617642931908928</x:v>
      </x:c>
      <x:c r="K90" s="23" t="n">
        <x:v>0.42935871743486975</x:v>
      </x:c>
      <x:c r="L90" s="24" t="n">
        <x:v>1996</x:v>
      </x:c>
      <x:c r="M90" t="str">
        <x:v>legacy_common_sample_8902245</x:v>
      </x:c>
      <x:c r="N90" s="25" t="n">
        <x:v>46210.37184259259</x:v>
      </x:c>
      <x:c r="O90" s="24" t="n">
        <x:v>8902245</x:v>
      </x:c>
      <x:c r="P90" t="str">
        <x:v>factor_report/gtja191_batch/gtja_060/ic_summary.csv</x:v>
      </x:c>
    </x:row>
    <x:row r="91">
      <x:c r="A91" s="22" t="n">
        <x:f>IF($E91="ranked",1+COUNTIFS($D$5:$D$546,$D91,$E$5:$E$546,"ranked",$F$5:$F$546,"&gt;"&amp;$F91),"")</x:f>
        <x:v>2</x:v>
      </x:c>
      <x:c r="B91" s="22" t="n">
        <x:f>IF($E91="ranked",1+COUNTIFS($D$5:$D$546,$D91,$E$5:$E$546,"ranked",$G$5:$G$546,"&gt;"&amp;$G91),"")</x:f>
        <x:v>80</x:v>
      </x:c>
      <x:c r="C91" t="str">
        <x:v>gtja_107</x:v>
      </x:c>
      <x:c r="D91" s="22" t="n">
        <x:v>5</x:v>
      </x:c>
      <x:c r="E91" t="str">
        <x:v>ranked</x:v>
      </x:c>
      <x:c r="F91" s="23" t="n">
        <x:v>-0.017552950821608838</x:v>
      </x:c>
      <x:c r="G91" s="23" t="n">
        <x:f>ABS(F91)</x:f>
        <x:v>0.017552950821608838</x:v>
      </x:c>
      <x:c r="H91" s="23" t="str">
        <x:f>IF(F91&gt;=0,"positive","negative")</x:f>
        <x:v>negative</x:v>
      </x:c>
      <x:c r="I91" s="23" t="n">
        <x:v>0.09107505686524468</x:v>
      </x:c>
      <x:c r="J91" s="23" t="n">
        <x:v>-0.19273060512693735</x:v>
      </x:c>
      <x:c r="K91" s="23" t="n">
        <x:v>0.3907815631262525</x:v>
      </x:c>
      <x:c r="L91" s="24" t="n">
        <x:v>1996</x:v>
      </x:c>
      <x:c r="M91" t="str">
        <x:v>legacy_common_sample_8902245</x:v>
      </x:c>
      <x:c r="N91" s="25" t="n">
        <x:v>46210.60368208333</x:v>
      </x:c>
      <x:c r="O91" s="24" t="n">
        <x:v>8902245</x:v>
      </x:c>
      <x:c r="P91" t="str">
        <x:v>factor_report/gtja191_batch/gtja_107/ic_summary.csv</x:v>
      </x:c>
    </x:row>
    <x:row r="92">
      <x:c r="A92" s="22" t="n">
        <x:f>IF($E92="ranked",1+COUNTIFS($D$5:$D$546,$D92,$E$5:$E$546,"ranked",$F$5:$F$546,"&gt;"&amp;$F92),"")</x:f>
        <x:v>3</x:v>
      </x:c>
      <x:c r="B92" s="22" t="n">
        <x:f>IF($E92="ranked",1+COUNTIFS($D$5:$D$546,$D92,$E$5:$E$546,"ranked",$G$5:$G$546,"&gt;"&amp;$G92),"")</x:f>
        <x:v>79</x:v>
      </x:c>
      <x:c r="C92" t="str">
        <x:v>gtja_143</x:v>
      </x:c>
      <x:c r="D92" s="22" t="n">
        <x:v>5</x:v>
      </x:c>
      <x:c r="E92" t="str">
        <x:v>ranked</x:v>
      </x:c>
      <x:c r="F92" s="23" t="n">
        <x:v>-0.018380086872813808</x:v>
      </x:c>
      <x:c r="G92" s="23" t="n">
        <x:f>ABS(F92)</x:f>
        <x:v>0.018380086872813808</x:v>
      </x:c>
      <x:c r="H92" s="23" t="str">
        <x:f>IF(F92&gt;=0,"positive","negative")</x:f>
        <x:v>negative</x:v>
      </x:c>
      <x:c r="I92" s="23" t="n">
        <x:v>0.11216269840249522</x:v>
      </x:c>
      <x:c r="J92" s="23" t="n">
        <x:v>-0.1638698705950972</x:v>
      </x:c>
      <x:c r="K92" s="23" t="n">
        <x:v>0.42334669338677355</x:v>
      </x:c>
      <x:c r="L92" s="24" t="n">
        <x:v>1996</x:v>
      </x:c>
      <x:c r="M92" t="str">
        <x:v>legacy_common_sample_8902245</x:v>
      </x:c>
      <x:c r="N92" s="25" t="n">
        <x:v>46210.787863425925</x:v>
      </x:c>
      <x:c r="O92" s="24" t="n">
        <x:v>8902245</x:v>
      </x:c>
      <x:c r="P92" t="str">
        <x:v>factor_report/gtja191_batch/gtja_143/ic_summary.csv</x:v>
      </x:c>
    </x:row>
    <x:row r="93">
      <x:c r="A93" s="22" t="n">
        <x:f>IF($E93="ranked",1+COUNTIFS($D$5:$D$546,$D93,$E$5:$E$546,"ranked",$F$5:$F$546,"&gt;"&amp;$F93),"")</x:f>
        <x:v>4</x:v>
      </x:c>
      <x:c r="B93" s="22" t="n">
        <x:f>IF($E93="ranked",1+COUNTIFS($D$5:$D$546,$D93,$E$5:$E$546,"ranked",$G$5:$G$546,"&gt;"&amp;$G93),"")</x:f>
        <x:v>78</x:v>
      </x:c>
      <x:c r="C93" t="str">
        <x:v>gtja_053</x:v>
      </x:c>
      <x:c r="D93" s="22" t="n">
        <x:v>5</x:v>
      </x:c>
      <x:c r="E93" t="str">
        <x:v>ranked</x:v>
      </x:c>
      <x:c r="F93" s="23" t="n">
        <x:v>-0.019807683124837255</x:v>
      </x:c>
      <x:c r="G93" s="23" t="n">
        <x:f>ABS(F93)</x:f>
        <x:v>0.019807683124837255</x:v>
      </x:c>
      <x:c r="H93" s="23" t="str">
        <x:f>IF(F93&gt;=0,"positive","negative")</x:f>
        <x:v>negative</x:v>
      </x:c>
      <x:c r="I93" s="23" t="n">
        <x:v>0.09811284201034182</x:v>
      </x:c>
      <x:c r="J93" s="23" t="n">
        <x:v>-0.2018867532422451</x:v>
      </x:c>
      <x:c r="K93" s="23" t="n">
        <x:v>0.4123246492985972</x:v>
      </x:c>
      <x:c r="L93" s="24" t="n">
        <x:v>1996</x:v>
      </x:c>
      <x:c r="M93" t="str">
        <x:v>legacy_common_sample_8902245</x:v>
      </x:c>
      <x:c r="N93" s="25" t="n">
        <x:v>46210.33939799768</x:v>
      </x:c>
      <x:c r="O93" s="24" t="n">
        <x:v>8902245</x:v>
      </x:c>
      <x:c r="P93" t="str">
        <x:v>factor_report/gtja191_batch/gtja_053/ic_summary.csv</x:v>
      </x:c>
    </x:row>
    <x:row r="94">
      <x:c r="A94" s="22" t="n">
        <x:f>IF($E94="ranked",1+COUNTIFS($D$5:$D$546,$D94,$E$5:$E$546,"ranked",$F$5:$F$546,"&gt;"&amp;$F94),"")</x:f>
        <x:v>5</x:v>
      </x:c>
      <x:c r="B94" s="22" t="n">
        <x:f>IF($E94="ranked",1+COUNTIFS($D$5:$D$546,$D94,$E$5:$E$546,"ranked",$G$5:$G$546,"&gt;"&amp;$G94),"")</x:f>
        <x:v>77</x:v>
      </x:c>
      <x:c r="C94" t="str">
        <x:v>gtja_023</x:v>
      </x:c>
      <x:c r="D94" s="22" t="n">
        <x:v>5</x:v>
      </x:c>
      <x:c r="E94" t="str">
        <x:v>ranked</x:v>
      </x:c>
      <x:c r="F94" s="23" t="n">
        <x:v>-0.02044460346308605</x:v>
      </x:c>
      <x:c r="G94" s="23" t="n">
        <x:f>ABS(F94)</x:f>
        <x:v>0.02044460346308605</x:v>
      </x:c>
      <x:c r="H94" s="23" t="str">
        <x:f>IF(F94&gt;=0,"positive","negative")</x:f>
        <x:v>negative</x:v>
      </x:c>
      <x:c r="I94" s="23" t="n">
        <x:v>0.10024216412162458</x:v>
      </x:c>
      <x:c r="J94" s="23" t="n">
        <x:v>-0.20395213573282853</x:v>
      </x:c>
      <x:c r="K94" s="23" t="n">
        <x:v>0.4228456913827655</x:v>
      </x:c>
      <x:c r="L94" s="24" t="n">
        <x:v>1996</x:v>
      </x:c>
      <x:c r="M94" t="str">
        <x:v>legacy_common_sample_8902245</x:v>
      </x:c>
      <x:c r="N94" s="25" t="n">
        <x:v>46210.20966594907</x:v>
      </x:c>
      <x:c r="O94" s="24" t="n">
        <x:v>8902245</x:v>
      </x:c>
      <x:c r="P94" t="str">
        <x:v>factor_report/gtja191_batch/gtja_023/ic_summary.csv</x:v>
      </x:c>
    </x:row>
    <x:row r="95">
      <x:c r="A95" s="22" t="n">
        <x:f>IF($E95="ranked",1+COUNTIFS($D$5:$D$546,$D95,$E$5:$E$546,"ranked",$F$5:$F$546,"&gt;"&amp;$F95),"")</x:f>
        <x:v>6</x:v>
      </x:c>
      <x:c r="B95" s="22" t="n">
        <x:f>IF($E95="ranked",1+COUNTIFS($D$5:$D$546,$D95,$E$5:$E$546,"ranked",$G$5:$G$546,"&gt;"&amp;$G95),"")</x:f>
        <x:v>76</x:v>
      </x:c>
      <x:c r="C95" t="str">
        <x:v>gtja_058</x:v>
      </x:c>
      <x:c r="D95" s="22" t="n">
        <x:v>5</x:v>
      </x:c>
      <x:c r="E95" t="str">
        <x:v>ranked</x:v>
      </x:c>
      <x:c r="F95" s="23" t="n">
        <x:v>-0.022578085737218086</x:v>
      </x:c>
      <x:c r="G95" s="23" t="n">
        <x:f>ABS(F95)</x:f>
        <x:v>0.022578085737218086</x:v>
      </x:c>
      <x:c r="H95" s="23" t="str">
        <x:f>IF(F95&gt;=0,"positive","negative")</x:f>
        <x:v>negative</x:v>
      </x:c>
      <x:c r="I95" s="23" t="n">
        <x:v>0.10219846366877074</x:v>
      </x:c>
      <x:c r="J95" s="23" t="n">
        <x:v>-0.22092392514230502</x:v>
      </x:c>
      <x:c r="K95" s="23" t="n">
        <x:v>0.41583166332665333</x:v>
      </x:c>
      <x:c r="L95" s="24" t="n">
        <x:v>1996</x:v>
      </x:c>
      <x:c r="M95" t="str">
        <x:v>legacy_common_sample_8902245</x:v>
      </x:c>
      <x:c r="N95" s="25" t="n">
        <x:v>46210.36385592593</x:v>
      </x:c>
      <x:c r="O95" s="24" t="n">
        <x:v>8902245</x:v>
      </x:c>
      <x:c r="P95" t="str">
        <x:v>factor_report/gtja191_batch/gtja_058/ic_summary.csv</x:v>
      </x:c>
    </x:row>
    <x:row r="96">
      <x:c r="A96" s="22" t="n">
        <x:f>IF($E96="ranked",1+COUNTIFS($D$5:$D$546,$D96,$E$5:$E$546,"ranked",$F$5:$F$546,"&gt;"&amp;$F96),"")</x:f>
        <x:v>7</x:v>
      </x:c>
      <x:c r="B96" s="22" t="n">
        <x:f>IF($E96="ranked",1+COUNTIFS($D$5:$D$546,$D96,$E$5:$E$546,"ranked",$G$5:$G$546,"&gt;"&amp;$G96),"")</x:f>
        <x:v>75</x:v>
      </x:c>
      <x:c r="C96" t="str">
        <x:v>gtja_102</x:v>
      </x:c>
      <x:c r="D96" s="22" t="n">
        <x:v>5</x:v>
      </x:c>
      <x:c r="E96" t="str">
        <x:v>ranked</x:v>
      </x:c>
      <x:c r="F96" s="23" t="n">
        <x:v>-0.02261074637807211</x:v>
      </x:c>
      <x:c r="G96" s="23" t="n">
        <x:f>ABS(F96)</x:f>
        <x:v>0.02261074637807211</x:v>
      </x:c>
      <x:c r="H96" s="23" t="str">
        <x:f>IF(F96&gt;=0,"positive","negative")</x:f>
        <x:v>negative</x:v>
      </x:c>
      <x:c r="I96" s="23" t="n">
        <x:v>0.08383631979732782</x:v>
      </x:c>
      <x:c r="J96" s="23" t="n">
        <x:v>-0.2697010845983342</x:v>
      </x:c>
      <x:c r="K96" s="23" t="n">
        <x:v>0.3787575150300601</x:v>
      </x:c>
      <x:c r="L96" s="24" t="n">
        <x:v>1996</x:v>
      </x:c>
      <x:c r="M96" t="str">
        <x:v>legacy_common_sample_8902245</x:v>
      </x:c>
      <x:c r="N96" s="25" t="n">
        <x:v>46210.58357934028</x:v>
      </x:c>
      <x:c r="O96" s="24" t="n">
        <x:v>8902245</x:v>
      </x:c>
      <x:c r="P96" t="str">
        <x:v>factor_report/gtja191_batch/gtja_102/ic_summary.csv</x:v>
      </x:c>
    </x:row>
    <x:row r="97">
      <x:c r="A97" s="22" t="n">
        <x:f>IF($E97="ranked",1+COUNTIFS($D$5:$D$546,$D97,$E$5:$E$546,"ranked",$F$5:$F$546,"&gt;"&amp;$F97),"")</x:f>
        <x:v>8</x:v>
      </x:c>
      <x:c r="B97" s="22" t="n">
        <x:f>IF($E97="ranked",1+COUNTIFS($D$5:$D$546,$D97,$E$5:$E$546,"ranked",$G$5:$G$546,"&gt;"&amp;$G97),"")</x:f>
        <x:v>74</x:v>
      </x:c>
      <x:c r="C97" t="str">
        <x:v>gtja_152</x:v>
      </x:c>
      <x:c r="D97" s="22" t="n">
        <x:v>5</x:v>
      </x:c>
      <x:c r="E97" t="str">
        <x:v>ranked</x:v>
      </x:c>
      <x:c r="F97" s="23" t="n">
        <x:v>-0.023532595295527762</x:v>
      </x:c>
      <x:c r="G97" s="23" t="n">
        <x:f>ABS(F97)</x:f>
        <x:v>0.023532595295527762</x:v>
      </x:c>
      <x:c r="H97" s="23" t="str">
        <x:f>IF(F97&gt;=0,"positive","negative")</x:f>
        <x:v>negative</x:v>
      </x:c>
      <x:c r="I97" s="23" t="n">
        <x:v>0.126079381948476</x:v>
      </x:c>
      <x:c r="J97" s="23" t="n">
        <x:v>-0.18664903754957068</x:v>
      </x:c>
      <x:c r="K97" s="23" t="n">
        <x:v>0.4333667334669339</x:v>
      </x:c>
      <x:c r="L97" s="24" t="n">
        <x:v>1996</x:v>
      </x:c>
      <x:c r="M97" t="str">
        <x:v>legacy_common_sample_8902245</x:v>
      </x:c>
      <x:c r="N97" s="25" t="n">
        <x:v>46210.823093680556</x:v>
      </x:c>
      <x:c r="O97" s="24" t="n">
        <x:v>8902245</x:v>
      </x:c>
      <x:c r="P97" t="str">
        <x:v>factor_report/gtja191_batch/gtja_152/ic_summary.csv</x:v>
      </x:c>
    </x:row>
    <x:row r="98">
      <x:c r="A98" s="22" t="n">
        <x:f>IF($E98="ranked",1+COUNTIFS($D$5:$D$546,$D98,$E$5:$E$546,"ranked",$F$5:$F$546,"&gt;"&amp;$F98),"")</x:f>
        <x:v>9</x:v>
      </x:c>
      <x:c r="B98" s="22" t="n">
        <x:f>IF($E98="ranked",1+COUNTIFS($D$5:$D$546,$D98,$E$5:$E$546,"ranked",$G$5:$G$546,"&gt;"&amp;$G98),"")</x:f>
        <x:v>73</x:v>
      </x:c>
      <x:c r="C98" t="str">
        <x:v>gtja_137</x:v>
      </x:c>
      <x:c r="D98" s="22" t="n">
        <x:v>5</x:v>
      </x:c>
      <x:c r="E98" t="str">
        <x:v>ranked</x:v>
      </x:c>
      <x:c r="F98" s="23" t="n">
        <x:v>-0.024155270959396073</x:v>
      </x:c>
      <x:c r="G98" s="23" t="n">
        <x:f>ABS(F98)</x:f>
        <x:v>0.024155270959396073</x:v>
      </x:c>
      <x:c r="H98" s="23" t="str">
        <x:f>IF(F98&gt;=0,"positive","negative")</x:f>
        <x:v>negative</x:v>
      </x:c>
      <x:c r="I98" s="23" t="n">
        <x:v>0.1250716136636533</x:v>
      </x:c>
      <x:c r="J98" s="23" t="n">
        <x:v>-0.1931315208289806</x:v>
      </x:c>
      <x:c r="K98" s="23" t="n">
        <x:v>0.4273547094188377</x:v>
      </x:c>
      <x:c r="L98" s="24" t="n">
        <x:v>1996</x:v>
      </x:c>
      <x:c r="M98" t="str">
        <x:v>legacy_common_sample_8902245</x:v>
      </x:c>
      <x:c r="N98" s="25" t="n">
        <x:v>46210.75457434028</x:v>
      </x:c>
      <x:c r="O98" s="24" t="n">
        <x:v>8902245</x:v>
      </x:c>
      <x:c r="P98" t="str">
        <x:v>factor_report/gtja191_batch/gtja_137/ic_summary.csv</x:v>
      </x:c>
    </x:row>
    <x:row r="99">
      <x:c r="A99" s="22" t="n">
        <x:f>IF($E99="ranked",1+COUNTIFS($D$5:$D$546,$D99,$E$5:$E$546,"ranked",$F$5:$F$546,"&gt;"&amp;$F99),"")</x:f>
        <x:v>10</x:v>
      </x:c>
      <x:c r="B99" s="22" t="n">
        <x:f>IF($E99="ranked",1+COUNTIFS($D$5:$D$546,$D99,$E$5:$E$546,"ranked",$G$5:$G$546,"&gt;"&amp;$G99),"")</x:f>
        <x:v>72</x:v>
      </x:c>
      <x:c r="C99" t="str">
        <x:v>gtja_043</x:v>
      </x:c>
      <x:c r="D99" s="22" t="n">
        <x:v>5</x:v>
      </x:c>
      <x:c r="E99" t="str">
        <x:v>ranked</x:v>
      </x:c>
      <x:c r="F99" s="23" t="n">
        <x:v>-0.024491701496502382</x:v>
      </x:c>
      <x:c r="G99" s="23" t="n">
        <x:f>ABS(F99)</x:f>
        <x:v>0.024491701496502382</x:v>
      </x:c>
      <x:c r="H99" s="23" t="str">
        <x:f>IF(F99&gt;=0,"positive","negative")</x:f>
        <x:v>negative</x:v>
      </x:c>
      <x:c r="I99" s="23" t="n">
        <x:v>0.09367134727069783</x:v>
      </x:c>
      <x:c r="J99" s="23" t="n">
        <x:v>-0.2614641745861154</x:v>
      </x:c>
      <x:c r="K99" s="23" t="n">
        <x:v>0.39028056112224446</x:v>
      </x:c>
      <x:c r="L99" s="24" t="n">
        <x:v>1996</x:v>
      </x:c>
      <x:c r="M99" t="str">
        <x:v>legacy_common_sample_8902245</x:v>
      </x:c>
      <x:c r="N99" s="25" t="n">
        <x:v>46210.29250166666</x:v>
      </x:c>
      <x:c r="O99" s="24" t="n">
        <x:v>8902245</x:v>
      </x:c>
      <x:c r="P99" t="str">
        <x:v>factor_report/gtja191_batch/gtja_043/ic_summary.csv</x:v>
      </x:c>
    </x:row>
    <x:row r="100">
      <x:c r="A100" s="22" t="n">
        <x:f>IF($E100="ranked",1+COUNTIFS($D$5:$D$546,$D100,$E$5:$E$546,"ranked",$F$5:$F$546,"&gt;"&amp;$F100),"")</x:f>
        <x:v>11</x:v>
      </x:c>
      <x:c r="B100" s="22" t="n">
        <x:f>IF($E100="ranked",1+COUNTIFS($D$5:$D$546,$D100,$E$5:$E$546,"ranked",$G$5:$G$546,"&gt;"&amp;$G100),"")</x:f>
        <x:v>71</x:v>
      </x:c>
      <x:c r="C100" t="str">
        <x:v>gtja_009</x:v>
      </x:c>
      <x:c r="D100" s="22" t="n">
        <x:v>5</x:v>
      </x:c>
      <x:c r="E100" t="str">
        <x:v>ranked</x:v>
      </x:c>
      <x:c r="F100" s="23" t="n">
        <x:v>-0.025800912829572056</x:v>
      </x:c>
      <x:c r="G100" s="23" t="n">
        <x:f>ABS(F100)</x:f>
        <x:v>0.025800912829572056</x:v>
      </x:c>
      <x:c r="H100" s="23" t="str">
        <x:f>IF(F100&gt;=0,"positive","negative")</x:f>
        <x:v>negative</x:v>
      </x:c>
      <x:c r="I100" s="23" t="n">
        <x:v>0.12393879565729134</x:v>
      </x:c>
      <x:c r="J100" s="23" t="n">
        <x:v>-0.20817462920097518</x:v>
      </x:c>
      <x:c r="K100" s="23" t="n">
        <x:v>0.4183366733466934</x:v>
      </x:c>
      <x:c r="L100" s="24" t="n">
        <x:v>1996</x:v>
      </x:c>
      <x:c r="M100" t="str">
        <x:v>legacy_common_sample_8902245</x:v>
      </x:c>
      <x:c r="N100" s="25" t="n">
        <x:v>46210.14960534722</x:v>
      </x:c>
      <x:c r="O100" s="24" t="n">
        <x:v>8902245</x:v>
      </x:c>
      <x:c r="P100" t="str">
        <x:v>factor_report/gtja191_batch/gtja_009/ic_summary.csv</x:v>
      </x:c>
    </x:row>
    <x:row r="101">
      <x:c r="A101" s="22" t="n">
        <x:f>IF($E101="ranked",1+COUNTIFS($D$5:$D$546,$D101,$E$5:$E$546,"ranked",$F$5:$F$546,"&gt;"&amp;$F101),"")</x:f>
        <x:v>12</x:v>
      </x:c>
      <x:c r="B101" s="22" t="n">
        <x:f>IF($E101="ranked",1+COUNTIFS($D$5:$D$546,$D101,$E$5:$E$546,"ranked",$G$5:$G$546,"&gt;"&amp;$G101),"")</x:f>
        <x:v>70</x:v>
      </x:c>
      <x:c r="C101" t="str">
        <x:v>gtja_066</x:v>
      </x:c>
      <x:c r="D101" s="22" t="n">
        <x:v>5</x:v>
      </x:c>
      <x:c r="E101" t="str">
        <x:v>ranked</x:v>
      </x:c>
      <x:c r="F101" s="23" t="n">
        <x:v>-0.02789052771250005</x:v>
      </x:c>
      <x:c r="G101" s="23" t="n">
        <x:f>ABS(F101)</x:f>
        <x:v>0.02789052771250005</x:v>
      </x:c>
      <x:c r="H101" s="23" t="str">
        <x:f>IF(F101&gt;=0,"positive","negative")</x:f>
        <x:v>negative</x:v>
      </x:c>
      <x:c r="I101" s="23" t="n">
        <x:v>0.1338052820023897</x:v>
      </x:c>
      <x:c r="J101" s="23" t="n">
        <x:v>-0.20844115639621716</x:v>
      </x:c>
      <x:c r="K101" s="23" t="n">
        <x:v>0.4288577154308617</x:v>
      </x:c>
      <x:c r="L101" s="24" t="n">
        <x:v>1996</x:v>
      </x:c>
      <x:c r="M101" t="str">
        <x:v>legacy_common_sample_8902245</x:v>
      </x:c>
      <x:c r="N101" s="25" t="n">
        <x:v>46210.39822400463</x:v>
      </x:c>
      <x:c r="O101" s="24" t="n">
        <x:v>8902245</x:v>
      </x:c>
      <x:c r="P101" t="str">
        <x:v>factor_report/gtja191_batch/gtja_066/ic_summary.csv</x:v>
      </x:c>
    </x:row>
    <x:row r="102">
      <x:c r="A102" s="22" t="n">
        <x:f>IF($E102="ranked",1+COUNTIFS($D$5:$D$546,$D102,$E$5:$E$546,"ranked",$F$5:$F$546,"&gt;"&amp;$F102),"")</x:f>
        <x:v>13</x:v>
      </x:c>
      <x:c r="B102" s="22" t="n">
        <x:f>IF($E102="ranked",1+COUNTIFS($D$5:$D$546,$D102,$E$5:$E$546,"ranked",$G$5:$G$546,"&gt;"&amp;$G102),"")</x:f>
        <x:v>69</x:v>
      </x:c>
      <x:c r="C102" t="str">
        <x:v>gtja_089</x:v>
      </x:c>
      <x:c r="D102" s="22" t="n">
        <x:v>5</x:v>
      </x:c>
      <x:c r="E102" t="str">
        <x:v>ranked</x:v>
      </x:c>
      <x:c r="F102" s="23" t="n">
        <x:v>-0.028234129735906065</x:v>
      </x:c>
      <x:c r="G102" s="23" t="n">
        <x:f>ABS(F102)</x:f>
        <x:v>0.028234129735906065</x:v>
      </x:c>
      <x:c r="H102" s="23" t="str">
        <x:f>IF(F102&gt;=0,"positive","negative")</x:f>
        <x:v>negative</x:v>
      </x:c>
      <x:c r="I102" s="23" t="n">
        <x:v>0.1256898690360199</x:v>
      </x:c>
      <x:c r="J102" s="23" t="n">
        <x:v>-0.22463329743636537</x:v>
      </x:c>
      <x:c r="K102" s="23" t="n">
        <x:v>0.406312625250501</x:v>
      </x:c>
      <x:c r="L102" s="24" t="n">
        <x:v>1996</x:v>
      </x:c>
      <x:c r="M102" t="str">
        <x:v>legacy_common_sample_8902245</x:v>
      </x:c>
      <x:c r="N102" s="25" t="n">
        <x:v>46210.52408989584</x:v>
      </x:c>
      <x:c r="O102" s="24" t="n">
        <x:v>8902245</x:v>
      </x:c>
      <x:c r="P102" t="str">
        <x:v>factor_report/gtja191_batch/gtja_089/ic_summary.csv</x:v>
      </x:c>
    </x:row>
    <x:row r="103">
      <x:c r="A103" s="22" t="n">
        <x:f>IF($E103="ranked",1+COUNTIFS($D$5:$D$546,$D103,$E$5:$E$546,"ranked",$F$5:$F$546,"&gt;"&amp;$F103),"")</x:f>
        <x:v>14</x:v>
      </x:c>
      <x:c r="B103" s="22" t="n">
        <x:f>IF($E103="ranked",1+COUNTIFS($D$5:$D$546,$D103,$E$5:$E$546,"ranked",$G$5:$G$546,"&gt;"&amp;$G103),"")</x:f>
        <x:v>68</x:v>
      </x:c>
      <x:c r="C103" t="str">
        <x:v>gtja_093</x:v>
      </x:c>
      <x:c r="D103" s="22" t="n">
        <x:v>5</x:v>
      </x:c>
      <x:c r="E103" t="str">
        <x:v>ranked</x:v>
      </x:c>
      <x:c r="F103" s="23" t="n">
        <x:v>-0.029259202792010844</x:v>
      </x:c>
      <x:c r="G103" s="23" t="n">
        <x:f>ABS(F103)</x:f>
        <x:v>0.029259202792010844</x:v>
      </x:c>
      <x:c r="H103" s="23" t="str">
        <x:f>IF(F103&gt;=0,"positive","negative")</x:f>
        <x:v>negative</x:v>
      </x:c>
      <x:c r="I103" s="23" t="n">
        <x:v>0.18170427001048928</x:v>
      </x:c>
      <x:c r="J103" s="23" t="n">
        <x:v>-0.16102650086495926</x:v>
      </x:c>
      <x:c r="K103" s="23" t="n">
        <x:v>0.46142284569138275</x:v>
      </x:c>
      <x:c r="L103" s="24" t="n">
        <x:v>1996</x:v>
      </x:c>
      <x:c r="M103" t="str">
        <x:v>legacy_common_sample_8902245</x:v>
      </x:c>
      <x:c r="N103" s="25" t="n">
        <x:v>46210.543900254626</x:v>
      </x:c>
      <x:c r="O103" s="24" t="n">
        <x:v>8902245</x:v>
      </x:c>
      <x:c r="P103" t="str">
        <x:v>factor_report/gtja191_batch/gtja_093/ic_summary.csv</x:v>
      </x:c>
    </x:row>
    <x:row r="104">
      <x:c r="A104" s="22" t="n">
        <x:f>IF($E104="ranked",1+COUNTIFS($D$5:$D$546,$D104,$E$5:$E$546,"ranked",$F$5:$F$546,"&gt;"&amp;$F104),"")</x:f>
        <x:v>15</x:v>
      </x:c>
      <x:c r="B104" s="22" t="n">
        <x:f>IF($E104="ranked",1+COUNTIFS($D$5:$D$546,$D104,$E$5:$E$546,"ranked",$G$5:$G$546,"&gt;"&amp;$G104),"")</x:f>
        <x:v>67</x:v>
      </x:c>
      <x:c r="C104" t="str">
        <x:v>gtja_128</x:v>
      </x:c>
      <x:c r="D104" s="22" t="n">
        <x:v>5</x:v>
      </x:c>
      <x:c r="E104" t="str">
        <x:v>ranked</x:v>
      </x:c>
      <x:c r="F104" s="23" t="n">
        <x:v>-0.029563258856496376</x:v>
      </x:c>
      <x:c r="G104" s="23" t="n">
        <x:f>ABS(F104)</x:f>
        <x:v>0.029563258856496376</x:v>
      </x:c>
      <x:c r="H104" s="23" t="str">
        <x:f>IF(F104&gt;=0,"positive","negative")</x:f>
        <x:v>negative</x:v>
      </x:c>
      <x:c r="I104" s="23" t="n">
        <x:v>0.11044285158799962</x:v>
      </x:c>
      <x:c r="J104" s="23" t="n">
        <x:v>-0.2676792425351378</x:v>
      </x:c>
      <x:c r="K104" s="23" t="n">
        <x:v>0.38927855711422843</x:v>
      </x:c>
      <x:c r="L104" s="24" t="n">
        <x:v>1996</x:v>
      </x:c>
      <x:c r="M104" t="str">
        <x:v>legacy_common_sample_8902245</x:v>
      </x:c>
      <x:c r="N104" s="25" t="n">
        <x:v>46210.71593150463</x:v>
      </x:c>
      <x:c r="O104" s="24" t="n">
        <x:v>8902245</x:v>
      </x:c>
      <x:c r="P104" t="str">
        <x:v>factor_report/gtja191_batch/gtja_128/ic_summary.csv</x:v>
      </x:c>
    </x:row>
    <x:row r="105">
      <x:c r="A105" s="22" t="n">
        <x:f>IF($E105="ranked",1+COUNTIFS($D$5:$D$546,$D105,$E$5:$E$546,"ranked",$F$5:$F$546,"&gt;"&amp;$F105),"")</x:f>
        <x:v>16</x:v>
      </x:c>
      <x:c r="B105" s="22" t="n">
        <x:f>IF($E105="ranked",1+COUNTIFS($D$5:$D$546,$D105,$E$5:$E$546,"ranked",$G$5:$G$546,"&gt;"&amp;$G105),"")</x:f>
        <x:v>66</x:v>
      </x:c>
      <x:c r="C105" t="str">
        <x:v>gtja_169</x:v>
      </x:c>
      <x:c r="D105" s="22" t="n">
        <x:v>5</x:v>
      </x:c>
      <x:c r="E105" t="str">
        <x:v>ranked</x:v>
      </x:c>
      <x:c r="F105" s="23" t="n">
        <x:v>-0.029981264926010935</x:v>
      </x:c>
      <x:c r="G105" s="23" t="n">
        <x:f>ABS(F105)</x:f>
        <x:v>0.029981264926010935</x:v>
      </x:c>
      <x:c r="H105" s="23" t="str">
        <x:f>IF(F105&gt;=0,"positive","negative")</x:f>
        <x:v>negative</x:v>
      </x:c>
      <x:c r="I105" s="23" t="n">
        <x:v>0.1234401233512225</x:v>
      </x:c>
      <x:c r="J105" s="23" t="n">
        <x:v>-0.2428810350481071</x:v>
      </x:c>
      <x:c r="K105" s="23" t="n">
        <x:v>0.3967935871743487</x:v>
      </x:c>
      <x:c r="L105" s="24" t="n">
        <x:v>1996</x:v>
      </x:c>
      <x:c r="M105" t="str">
        <x:v>legacy_common_sample_8902245</x:v>
      </x:c>
      <x:c r="N105" s="25" t="n">
        <x:v>46210.89785068287</x:v>
      </x:c>
      <x:c r="O105" s="24" t="n">
        <x:v>8902245</x:v>
      </x:c>
      <x:c r="P105" t="str">
        <x:v>factor_report/gtja191_batch/gtja_169/ic_summary.csv</x:v>
      </x:c>
    </x:row>
    <x:row r="106">
      <x:c r="A106" s="22" t="n">
        <x:f>IF($E106="ranked",1+COUNTIFS($D$5:$D$546,$D106,$E$5:$E$546,"ranked",$F$5:$F$546,"&gt;"&amp;$F106),"")</x:f>
        <x:v>17</x:v>
      </x:c>
      <x:c r="B106" s="22" t="n">
        <x:f>IF($E106="ranked",1+COUNTIFS($D$5:$D$546,$D106,$E$5:$E$546,"ranked",$G$5:$G$546,"&gt;"&amp;$G106),"")</x:f>
        <x:v>65</x:v>
      </x:c>
      <x:c r="C106" t="str">
        <x:v>gtja_014</x:v>
      </x:c>
      <x:c r="D106" s="22" t="n">
        <x:v>5</x:v>
      </x:c>
      <x:c r="E106" t="str">
        <x:v>ranked</x:v>
      </x:c>
      <x:c r="F106" s="23" t="n">
        <x:v>-0.03020372752716671</x:v>
      </x:c>
      <x:c r="G106" s="23" t="n">
        <x:f>ABS(F106)</x:f>
        <x:v>0.03020372752716671</x:v>
      </x:c>
      <x:c r="H106" s="23" t="str">
        <x:f>IF(F106&gt;=0,"positive","negative")</x:f>
        <x:v>negative</x:v>
      </x:c>
      <x:c r="I106" s="23" t="n">
        <x:v>0.1337635891401238</x:v>
      </x:c>
      <x:c r="J106" s="23" t="n">
        <x:v>-0.22579932043784243</x:v>
      </x:c>
      <x:c r="K106" s="23" t="n">
        <x:v>0.41282565130260523</x:v>
      </x:c>
      <x:c r="L106" s="24" t="n">
        <x:v>1996</x:v>
      </x:c>
      <x:c r="M106" t="str">
        <x:v>legacy_common_sample_8902245</x:v>
      </x:c>
      <x:c r="N106" s="25" t="n">
        <x:v>46210.170149652775</x:v>
      </x:c>
      <x:c r="O106" s="24" t="n">
        <x:v>8902245</x:v>
      </x:c>
      <x:c r="P106" t="str">
        <x:v>factor_report/gtja191_batch/gtja_014/ic_summary.csv</x:v>
      </x:c>
    </x:row>
    <x:row r="107">
      <x:c r="A107" s="22" t="n">
        <x:f>IF($E107="ranked",1+COUNTIFS($D$5:$D$546,$D107,$E$5:$E$546,"ranked",$F$5:$F$546,"&gt;"&amp;$F107),"")</x:f>
        <x:v>18</x:v>
      </x:c>
      <x:c r="B107" s="22" t="n">
        <x:f>IF($E107="ranked",1+COUNTIFS($D$5:$D$546,$D107,$E$5:$E$546,"ranked",$G$5:$G$546,"&gt;"&amp;$G107),"")</x:f>
        <x:v>64</x:v>
      </x:c>
      <x:c r="C107" t="str">
        <x:v>gtja_021</x:v>
      </x:c>
      <x:c r="D107" s="22" t="n">
        <x:v>5</x:v>
      </x:c>
      <x:c r="E107" t="str">
        <x:v>ranked</x:v>
      </x:c>
      <x:c r="F107" s="23" t="n">
        <x:v>-0.030601805557213892</x:v>
      </x:c>
      <x:c r="G107" s="23" t="n">
        <x:f>ABS(F107)</x:f>
        <x:v>0.030601805557213892</x:v>
      </x:c>
      <x:c r="H107" s="23" t="str">
        <x:f>IF(F107&gt;=0,"positive","negative")</x:f>
        <x:v>negative</x:v>
      </x:c>
      <x:c r="I107" s="23" t="n">
        <x:v>0.12983488419240247</x:v>
      </x:c>
      <x:c r="J107" s="23" t="n">
        <x:v>-0.23569786924032712</x:v>
      </x:c>
      <x:c r="K107" s="23" t="n">
        <x:v>0.40080160320641284</x:v>
      </x:c>
      <x:c r="L107" s="24" t="n">
        <x:v>1996</x:v>
      </x:c>
      <x:c r="M107" t="str">
        <x:v>legacy_common_sample_8902245</x:v>
      </x:c>
      <x:c r="N107" s="25" t="n">
        <x:v>46210.1997081713</x:v>
      </x:c>
      <x:c r="O107" s="24" t="n">
        <x:v>8902245</x:v>
      </x:c>
      <x:c r="P107" t="str">
        <x:v>factor_report/gtja191_batch/gtja_021/ic_summary.csv</x:v>
      </x:c>
    </x:row>
    <x:row r="108">
      <x:c r="A108" s="22" t="n">
        <x:f>IF($E108="ranked",1+COUNTIFS($D$5:$D$546,$D108,$E$5:$E$546,"ranked",$F$5:$F$546,"&gt;"&amp;$F108),"")</x:f>
        <x:v>19</x:v>
      </x:c>
      <x:c r="B108" s="22" t="n">
        <x:f>IF($E108="ranked",1+COUNTIFS($D$5:$D$546,$D108,$E$5:$E$546,"ranked",$G$5:$G$546,"&gt;"&amp;$G108),"")</x:f>
        <x:v>63</x:v>
      </x:c>
      <x:c r="C108" t="str">
        <x:v>gtja_153</x:v>
      </x:c>
      <x:c r="D108" s="22" t="n">
        <x:v>5</x:v>
      </x:c>
      <x:c r="E108" t="str">
        <x:v>ranked</x:v>
      </x:c>
      <x:c r="F108" s="23" t="n">
        <x:v>-0.03067373866235267</x:v>
      </x:c>
      <x:c r="G108" s="23" t="n">
        <x:f>ABS(F108)</x:f>
        <x:v>0.03067373866235267</x:v>
      </x:c>
      <x:c r="H108" s="23" t="str">
        <x:f>IF(F108&gt;=0,"positive","negative")</x:f>
        <x:v>negative</x:v>
      </x:c>
      <x:c r="I108" s="23" t="n">
        <x:v>0.17588937403272994</x:v>
      </x:c>
      <x:c r="J108" s="23" t="n">
        <x:v>-0.17439222142347738</x:v>
      </x:c>
      <x:c r="K108" s="23" t="n">
        <x:v>0.46593186372745493</x:v>
      </x:c>
      <x:c r="L108" s="24" t="n">
        <x:v>1996</x:v>
      </x:c>
      <x:c r="M108" t="str">
        <x:v>legacy_common_sample_8902245</x:v>
      </x:c>
      <x:c r="N108" s="25" t="n">
        <x:v>46210.827101863426</x:v>
      </x:c>
      <x:c r="O108" s="24" t="n">
        <x:v>8902245</x:v>
      </x:c>
      <x:c r="P108" t="str">
        <x:v>factor_report/gtja191_batch/gtja_153/ic_summary.csv</x:v>
      </x:c>
    </x:row>
    <x:row r="109">
      <x:c r="A109" s="22" t="n">
        <x:f>IF($E109="ranked",1+COUNTIFS($D$5:$D$546,$D109,$E$5:$E$546,"ranked",$F$5:$F$546,"&gt;"&amp;$F109),"")</x:f>
        <x:v>20</x:v>
      </x:c>
      <x:c r="B109" s="22" t="n">
        <x:f>IF($E109="ranked",1+COUNTIFS($D$5:$D$546,$D109,$E$5:$E$546,"ranked",$G$5:$G$546,"&gt;"&amp;$G109),"")</x:f>
        <x:v>62</x:v>
      </x:c>
      <x:c r="C109" t="str">
        <x:v>gtja_029</x:v>
      </x:c>
      <x:c r="D109" s="22" t="n">
        <x:v>5</x:v>
      </x:c>
      <x:c r="E109" t="str">
        <x:v>ranked</x:v>
      </x:c>
      <x:c r="F109" s="23" t="n">
        <x:v>-0.030787904669802236</x:v>
      </x:c>
      <x:c r="G109" s="23" t="n">
        <x:f>ABS(F109)</x:f>
        <x:v>0.030787904669802236</x:v>
      </x:c>
      <x:c r="H109" s="23" t="str">
        <x:f>IF(F109&gt;=0,"positive","negative")</x:f>
        <x:v>negative</x:v>
      </x:c>
      <x:c r="I109" s="23" t="n">
        <x:v>0.11363257415051845</x:v>
      </x:c>
      <x:c r="J109" s="23" t="n">
        <x:v>-0.27094259634583634</x:v>
      </x:c>
      <x:c r="K109" s="23" t="n">
        <x:v>0.3927855711422846</x:v>
      </x:c>
      <x:c r="L109" s="24" t="n">
        <x:v>1996</x:v>
      </x:c>
      <x:c r="M109" t="str">
        <x:v>legacy_common_sample_8902245</x:v>
      </x:c>
      <x:c r="N109" s="25" t="n">
        <x:v>46210.234402939815</x:v>
      </x:c>
      <x:c r="O109" s="24" t="n">
        <x:v>8902245</x:v>
      </x:c>
      <x:c r="P109" t="str">
        <x:v>factor_report/gtja191_batch/gtja_029/ic_summary.csv</x:v>
      </x:c>
    </x:row>
    <x:row r="110">
      <x:c r="A110" s="22" t="n">
        <x:f>IF($E110="ranked",1+COUNTIFS($D$5:$D$546,$D110,$E$5:$E$546,"ranked",$F$5:$F$546,"&gt;"&amp;$F110),"")</x:f>
        <x:v>21</x:v>
      </x:c>
      <x:c r="B110" s="22" t="n">
        <x:f>IF($E110="ranked",1+COUNTIFS($D$5:$D$546,$D110,$E$5:$E$546,"ranked",$G$5:$G$546,"&gt;"&amp;$G110),"")</x:f>
        <x:v>61</x:v>
      </x:c>
      <x:c r="C110" t="str">
        <x:v>gtja_176</x:v>
      </x:c>
      <x:c r="D110" s="22" t="n">
        <x:v>5</x:v>
      </x:c>
      <x:c r="E110" t="str">
        <x:v>ranked</x:v>
      </x:c>
      <x:c r="F110" s="23" t="n">
        <x:v>-0.030987803007717876</x:v>
      </x:c>
      <x:c r="G110" s="23" t="n">
        <x:f>ABS(F110)</x:f>
        <x:v>0.030987803007717876</x:v>
      </x:c>
      <x:c r="H110" s="23" t="str">
        <x:f>IF(F110&gt;=0,"positive","negative")</x:f>
        <x:v>negative</x:v>
      </x:c>
      <x:c r="I110" s="23" t="n">
        <x:v>0.051167337377863865</x:v>
      </x:c>
      <x:c r="J110" s="23" t="n">
        <x:v>-0.6056168758377467</x:v>
      </x:c>
      <x:c r="K110" s="23" t="n">
        <x:v>0.26452905811623245</x:v>
      </x:c>
      <x:c r="L110" s="24" t="n">
        <x:v>1996</x:v>
      </x:c>
      <x:c r="M110" t="str">
        <x:v>legacy_common_sample_8902245</x:v>
      </x:c>
      <x:c r="N110" s="25" t="n">
        <x:v>46210.92925570602</x:v>
      </x:c>
      <x:c r="O110" s="24" t="n">
        <x:v>8902245</x:v>
      </x:c>
      <x:c r="P110" t="str">
        <x:v>factor_report/gtja191_batch/gtja_176/ic_summary.csv</x:v>
      </x:c>
    </x:row>
    <x:row r="111">
      <x:c r="A111" s="22" t="n">
        <x:f>IF($E111="ranked",1+COUNTIFS($D$5:$D$546,$D111,$E$5:$E$546,"ranked",$F$5:$F$546,"&gt;"&amp;$F111),"")</x:f>
        <x:v>22</x:v>
      </x:c>
      <x:c r="B111" s="22" t="n">
        <x:f>IF($E111="ranked",1+COUNTIFS($D$5:$D$546,$D111,$E$5:$E$546,"ranked",$G$5:$G$546,"&gt;"&amp;$G111),"")</x:f>
        <x:v>60</x:v>
      </x:c>
      <x:c r="C111" t="str">
        <x:v>gtja_003</x:v>
      </x:c>
      <x:c r="D111" s="22" t="n">
        <x:v>5</x:v>
      </x:c>
      <x:c r="E111" t="str">
        <x:v>ranked</x:v>
      </x:c>
      <x:c r="F111" s="23" t="n">
        <x:v>-0.03133043162517747</x:v>
      </x:c>
      <x:c r="G111" s="23" t="n">
        <x:f>ABS(F111)</x:f>
        <x:v>0.03133043162517747</x:v>
      </x:c>
      <x:c r="H111" s="23" t="str">
        <x:f>IF(F111&gt;=0,"positive","negative")</x:f>
        <x:v>negative</x:v>
      </x:c>
      <x:c r="I111" s="23" t="n">
        <x:v>0.1251919600465916</x:v>
      </x:c>
      <x:c r="J111" s="23" t="n">
        <x:v>-0.25025913495976493</x:v>
      </x:c>
      <x:c r="K111" s="23" t="n">
        <x:v>0.39228456913827653</x:v>
      </x:c>
      <x:c r="L111" s="24" t="n">
        <x:v>1996</x:v>
      </x:c>
      <x:c r="M111" t="str">
        <x:v>legacy_common_sample_8902245</x:v>
      </x:c>
      <x:c r="N111" s="25" t="n">
        <x:v>46210.119879363425</x:v>
      </x:c>
      <x:c r="O111" s="24" t="n">
        <x:v>8902245</x:v>
      </x:c>
      <x:c r="P111" t="str">
        <x:v>factor_report/gtja191_batch/gtja_003/ic_summary.csv</x:v>
      </x:c>
    </x:row>
    <x:row r="112">
      <x:c r="A112" s="22" t="n">
        <x:f>IF($E112="ranked",1+COUNTIFS($D$5:$D$546,$D112,$E$5:$E$546,"ranked",$F$5:$F$546,"&gt;"&amp;$F112),"")</x:f>
        <x:v>23</x:v>
      </x:c>
      <x:c r="B112" s="22" t="n">
        <x:f>IF($E112="ranked",1+COUNTIFS($D$5:$D$546,$D112,$E$5:$E$546,"ranked",$G$5:$G$546,"&gt;"&amp;$G112),"")</x:f>
        <x:v>59</x:v>
      </x:c>
      <x:c r="C112" t="str">
        <x:v>gtja_109</x:v>
      </x:c>
      <x:c r="D112" s="22" t="n">
        <x:v>5</x:v>
      </x:c>
      <x:c r="E112" t="str">
        <x:v>ranked</x:v>
      </x:c>
      <x:c r="F112" s="23" t="n">
        <x:v>-0.031379071152616365</x:v>
      </x:c>
      <x:c r="G112" s="23" t="n">
        <x:f>ABS(F112)</x:f>
        <x:v>0.031379071152616365</x:v>
      </x:c>
      <x:c r="H112" s="23" t="str">
        <x:f>IF(F112&gt;=0,"positive","negative")</x:f>
        <x:v>negative</x:v>
      </x:c>
      <x:c r="I112" s="23" t="n">
        <x:v>0.093247062144085</x:v>
      </x:c>
      <x:c r="J112" s="23" t="n">
        <x:v>-0.336515386448632</x:v>
      </x:c>
      <x:c r="K112" s="23" t="n">
        <x:v>0.37625250501002006</x:v>
      </x:c>
      <x:c r="L112" s="24" t="n">
        <x:v>1996</x:v>
      </x:c>
      <x:c r="M112" t="str">
        <x:v>legacy_common_sample_8902245</x:v>
      </x:c>
      <x:c r="N112" s="25" t="n">
        <x:v>46210.612487280094</x:v>
      </x:c>
      <x:c r="O112" s="24" t="n">
        <x:v>8902245</x:v>
      </x:c>
      <x:c r="P112" t="str">
        <x:v>factor_report/gtja191_batch/gtja_109/ic_summary.csv</x:v>
      </x:c>
    </x:row>
    <x:row r="113">
      <x:c r="A113" s="22" t="n">
        <x:f>IF($E113="ranked",1+COUNTIFS($D$5:$D$546,$D113,$E$5:$E$546,"ranked",$F$5:$F$546,"&gt;"&amp;$F113),"")</x:f>
        <x:v>24</x:v>
      </x:c>
      <x:c r="B113" s="22" t="n">
        <x:f>IF($E113="ranked",1+COUNTIFS($D$5:$D$546,$D113,$E$5:$E$546,"ranked",$G$5:$G$546,"&gt;"&amp;$G113),"")</x:f>
        <x:v>58</x:v>
      </x:c>
      <x:c r="C113" t="str">
        <x:v>gtja_019</x:v>
      </x:c>
      <x:c r="D113" s="22" t="n">
        <x:v>5</x:v>
      </x:c>
      <x:c r="E113" t="str">
        <x:v>ranked</x:v>
      </x:c>
      <x:c r="F113" s="23" t="n">
        <x:v>-0.03139965821397489</x:v>
      </x:c>
      <x:c r="G113" s="23" t="n">
        <x:f>ABS(F113)</x:f>
        <x:v>0.03139965821397489</x:v>
      </x:c>
      <x:c r="H113" s="23" t="str">
        <x:f>IF(F113&gt;=0,"positive","negative")</x:f>
        <x:v>negative</x:v>
      </x:c>
      <x:c r="I113" s="23" t="n">
        <x:v>0.134201309354708</x:v>
      </x:c>
      <x:c r="J113" s="23" t="n">
        <x:v>-0.2339743059509377</x:v>
      </x:c>
      <x:c r="K113" s="23" t="n">
        <x:v>0.40180360721442887</x:v>
      </x:c>
      <x:c r="L113" s="24" t="n">
        <x:v>1996</x:v>
      </x:c>
      <x:c r="M113" t="str">
        <x:v>legacy_common_sample_8902245</x:v>
      </x:c>
      <x:c r="N113" s="25" t="n">
        <x:v>46210.190837372684</x:v>
      </x:c>
      <x:c r="O113" s="24" t="n">
        <x:v>8902245</x:v>
      </x:c>
      <x:c r="P113" t="str">
        <x:v>factor_report/gtja191_batch/gtja_019/ic_summary.csv</x:v>
      </x:c>
    </x:row>
    <x:row r="114">
      <x:c r="A114" s="22" t="n">
        <x:f>IF($E114="ranked",1+COUNTIFS($D$5:$D$546,$D114,$E$5:$E$546,"ranked",$F$5:$F$546,"&gt;"&amp;$F114),"")</x:f>
        <x:v>25</x:v>
      </x:c>
      <x:c r="B114" s="22" t="n">
        <x:f>IF($E114="ranked",1+COUNTIFS($D$5:$D$546,$D114,$E$5:$E$546,"ranked",$G$5:$G$546,"&gt;"&amp;$G114),"")</x:f>
        <x:v>57</x:v>
      </x:c>
      <x:c r="C114" t="str">
        <x:v>gtja_018</x:v>
      </x:c>
      <x:c r="D114" s="22" t="n">
        <x:v>5</x:v>
      </x:c>
      <x:c r="E114" t="str">
        <x:v>ranked</x:v>
      </x:c>
      <x:c r="F114" s="23" t="n">
        <x:v>-0.031399670594069756</x:v>
      </x:c>
      <x:c r="G114" s="23" t="n">
        <x:f>ABS(F114)</x:f>
        <x:v>0.031399670594069756</x:v>
      </x:c>
      <x:c r="H114" s="23" t="str">
        <x:f>IF(F114&gt;=0,"positive","negative")</x:f>
        <x:v>negative</x:v>
      </x:c>
      <x:c r="I114" s="23" t="n">
        <x:v>0.13420132622058759</x:v>
      </x:c>
      <x:c r="J114" s="23" t="n">
        <x:v>-0.23397436879616162</x:v>
      </x:c>
      <x:c r="K114" s="23" t="n">
        <x:v>0.40180360721442887</x:v>
      </x:c>
      <x:c r="L114" s="24" t="n">
        <x:v>1996</x:v>
      </x:c>
      <x:c r="M114" t="str">
        <x:v>legacy_common_sample_8902245</x:v>
      </x:c>
      <x:c r="N114" s="25" t="n">
        <x:v>46210.18674793981</x:v>
      </x:c>
      <x:c r="O114" s="24" t="n">
        <x:v>8902245</x:v>
      </x:c>
      <x:c r="P114" t="str">
        <x:v>factor_report/gtja191_batch/gtja_018/ic_summary.csv</x:v>
      </x:c>
    </x:row>
    <x:row r="115">
      <x:c r="A115" s="22" t="n">
        <x:f>IF($E115="ranked",1+COUNTIFS($D$5:$D$546,$D115,$E$5:$E$546,"ranked",$F$5:$F$546,"&gt;"&amp;$F115),"")</x:f>
        <x:v>26</x:v>
      </x:c>
      <x:c r="B115" s="22" t="n">
        <x:f>IF($E115="ranked",1+COUNTIFS($D$5:$D$546,$D115,$E$5:$E$546,"ranked",$G$5:$G$546,"&gt;"&amp;$G115),"")</x:f>
        <x:v>56</x:v>
      </x:c>
      <x:c r="C115" t="str">
        <x:v>gtja_063</x:v>
      </x:c>
      <x:c r="D115" s="22" t="n">
        <x:v>5</x:v>
      </x:c>
      <x:c r="E115" t="str">
        <x:v>ranked</x:v>
      </x:c>
      <x:c r="F115" s="23" t="n">
        <x:v>-0.03165498417135638</x:v>
      </x:c>
      <x:c r="G115" s="23" t="n">
        <x:f>ABS(F115)</x:f>
        <x:v>0.03165498417135638</x:v>
      </x:c>
      <x:c r="H115" s="23" t="str">
        <x:f>IF(F115&gt;=0,"positive","negative")</x:f>
        <x:v>negative</x:v>
      </x:c>
      <x:c r="I115" s="23" t="n">
        <x:v>0.13122461240273733</x:v>
      </x:c>
      <x:c r="J115" s="23" t="n">
        <x:v>-0.2412274922497394</x:v>
      </x:c>
      <x:c r="K115" s="23" t="n">
        <x:v>0.39929859719438876</x:v>
      </x:c>
      <x:c r="L115" s="24" t="n">
        <x:v>1996</x:v>
      </x:c>
      <x:c r="M115" t="str">
        <x:v>legacy_common_sample_8902245</x:v>
      </x:c>
      <x:c r="N115" s="25" t="n">
        <x:v>46210.385858483794</x:v>
      </x:c>
      <x:c r="O115" s="24" t="n">
        <x:v>8902245</x:v>
      </x:c>
      <x:c r="P115" t="str">
        <x:v>factor_report/gtja191_batch/gtja_063/ic_summary.csv</x:v>
      </x:c>
    </x:row>
    <x:row r="116">
      <x:c r="A116" s="22" t="n">
        <x:f>IF($E116="ranked",1+COUNTIFS($D$5:$D$546,$D116,$E$5:$E$546,"ranked",$F$5:$F$546,"&gt;"&amp;$F116),"")</x:f>
        <x:v>27</x:v>
      </x:c>
      <x:c r="B116" s="22" t="n">
        <x:f>IF($E116="ranked",1+COUNTIFS($D$5:$D$546,$D116,$E$5:$E$546,"ranked",$G$5:$G$546,"&gt;"&amp;$G116),"")</x:f>
        <x:v>55</x:v>
      </x:c>
      <x:c r="C116" t="str">
        <x:v>gtja_068</x:v>
      </x:c>
      <x:c r="D116" s="22" t="n">
        <x:v>5</x:v>
      </x:c>
      <x:c r="E116" t="str">
        <x:v>ranked</x:v>
      </x:c>
      <x:c r="F116" s="23" t="n">
        <x:v>-0.03204459119223425</x:v>
      </x:c>
      <x:c r="G116" s="23" t="n">
        <x:f>ABS(F116)</x:f>
        <x:v>0.03204459119223425</x:v>
      </x:c>
      <x:c r="H116" s="23" t="str">
        <x:f>IF(F116&gt;=0,"positive","negative")</x:f>
        <x:v>negative</x:v>
      </x:c>
      <x:c r="I116" s="23" t="n">
        <x:v>0.12882212497196566</x:v>
      </x:c>
      <x:c r="J116" s="23" t="n">
        <x:v>-0.24875068004978035</x:v>
      </x:c>
      <x:c r="K116" s="23" t="n">
        <x:v>0.39529058116232463</x:v>
      </x:c>
      <x:c r="L116" s="24" t="n">
        <x:v>1996</x:v>
      </x:c>
      <x:c r="M116" t="str">
        <x:v>legacy_common_sample_8902245</x:v>
      </x:c>
      <x:c r="N116" s="25" t="n">
        <x:v>46210.407986018516</x:v>
      </x:c>
      <x:c r="O116" s="24" t="n">
        <x:v>8902245</x:v>
      </x:c>
      <x:c r="P116" t="str">
        <x:v>factor_report/gtja191_batch/gtja_068/ic_summary.csv</x:v>
      </x:c>
    </x:row>
    <x:row r="117">
      <x:c r="A117" s="22" t="n">
        <x:f>IF($E117="ranked",1+COUNTIFS($D$5:$D$546,$D117,$E$5:$E$546,"ranked",$F$5:$F$546,"&gt;"&amp;$F117),"")</x:f>
        <x:v>28</x:v>
      </x:c>
      <x:c r="B117" s="22" t="n">
        <x:f>IF($E117="ranked",1+COUNTIFS($D$5:$D$546,$D117,$E$5:$E$546,"ranked",$G$5:$G$546,"&gt;"&amp;$G117),"")</x:f>
        <x:v>54</x:v>
      </x:c>
      <x:c r="C117" t="str">
        <x:v>gtja_078</x:v>
      </x:c>
      <x:c r="D117" s="22" t="n">
        <x:v>5</x:v>
      </x:c>
      <x:c r="E117" t="str">
        <x:v>ranked</x:v>
      </x:c>
      <x:c r="F117" s="23" t="n">
        <x:v>-0.03206752056763256</x:v>
      </x:c>
      <x:c r="G117" s="23" t="n">
        <x:f>ABS(F117)</x:f>
        <x:v>0.03206752056763256</x:v>
      </x:c>
      <x:c r="H117" s="23" t="str">
        <x:f>IF(F117&gt;=0,"positive","negative")</x:f>
        <x:v>negative</x:v>
      </x:c>
      <x:c r="I117" s="23" t="n">
        <x:v>0.12463252011510793</x:v>
      </x:c>
      <x:c r="J117" s="23" t="n">
        <x:v>-0.2572965750673715</x:v>
      </x:c>
      <x:c r="K117" s="23" t="n">
        <x:v>0.3972945891783567</x:v>
      </x:c>
      <x:c r="L117" s="24" t="n">
        <x:v>1996</x:v>
      </x:c>
      <x:c r="M117" t="str">
        <x:v>legacy_common_sample_8902245</x:v>
      </x:c>
      <x:c r="N117" s="25" t="n">
        <x:v>46210.46714320602</x:v>
      </x:c>
      <x:c r="O117" s="24" t="n">
        <x:v>8902245</x:v>
      </x:c>
      <x:c r="P117" t="str">
        <x:v>factor_report/gtja191_batch/gtja_078/ic_summary.csv</x:v>
      </x:c>
    </x:row>
    <x:row r="118">
      <x:c r="A118" s="22" t="n">
        <x:f>IF($E118="ranked",1+COUNTIFS($D$5:$D$546,$D118,$E$5:$E$546,"ranked",$F$5:$F$546,"&gt;"&amp;$F118),"")</x:f>
        <x:v>29</x:v>
      </x:c>
      <x:c r="B118" s="22" t="n">
        <x:f>IF($E118="ranked",1+COUNTIFS($D$5:$D$546,$D118,$E$5:$E$546,"ranked",$G$5:$G$546,"&gt;"&amp;$G118),"")</x:f>
        <x:v>53</x:v>
      </x:c>
      <x:c r="C118" t="str">
        <x:v>gtja_112</x:v>
      </x:c>
      <x:c r="D118" s="22" t="n">
        <x:v>5</x:v>
      </x:c>
      <x:c r="E118" t="str">
        <x:v>ranked</x:v>
      </x:c>
      <x:c r="F118" s="23" t="n">
        <x:v>-0.032204877514276226</x:v>
      </x:c>
      <x:c r="G118" s="23" t="n">
        <x:f>ABS(F118)</x:f>
        <x:v>0.032204877514276226</x:v>
      </x:c>
      <x:c r="H118" s="23" t="str">
        <x:f>IF(F118&gt;=0,"positive","negative")</x:f>
        <x:v>negative</x:v>
      </x:c>
      <x:c r="I118" s="23" t="n">
        <x:v>0.12866584858977353</x:v>
      </x:c>
      <x:c r="J118" s="23" t="n">
        <x:v>-0.25029856692551977</x:v>
      </x:c>
      <x:c r="K118" s="23" t="n">
        <x:v>0.3997995991983968</x:v>
      </x:c>
      <x:c r="L118" s="24" t="n">
        <x:v>1996</x:v>
      </x:c>
      <x:c r="M118" t="str">
        <x:v>legacy_common_sample_8902245</x:v>
      </x:c>
      <x:c r="N118" s="25" t="n">
        <x:v>46210.62560251157</x:v>
      </x:c>
      <x:c r="O118" s="24" t="n">
        <x:v>8902245</x:v>
      </x:c>
      <x:c r="P118" t="str">
        <x:v>factor_report/gtja191_batch/gtja_112/ic_summary.csv</x:v>
      </x:c>
    </x:row>
    <x:row r="119">
      <x:c r="A119" s="22" t="n">
        <x:f>IF($E119="ranked",1+COUNTIFS($D$5:$D$546,$D119,$E$5:$E$546,"ranked",$F$5:$F$546,"&gt;"&amp;$F119),"")</x:f>
        <x:v>30</x:v>
      </x:c>
      <x:c r="B119" s="22" t="n">
        <x:f>IF($E119="ranked",1+COUNTIFS($D$5:$D$546,$D119,$E$5:$E$546,"ranked",$G$5:$G$546,"&gt;"&amp;$G119),"")</x:f>
        <x:v>52</x:v>
      </x:c>
      <x:c r="C119" t="str">
        <x:v>gtja_177</x:v>
      </x:c>
      <x:c r="D119" s="22" t="n">
        <x:v>5</x:v>
      </x:c>
      <x:c r="E119" t="str">
        <x:v>ranked</x:v>
      </x:c>
      <x:c r="F119" s="23" t="n">
        <x:v>-0.032231683722138145</x:v>
      </x:c>
      <x:c r="G119" s="23" t="n">
        <x:f>ABS(F119)</x:f>
        <x:v>0.032231683722138145</x:v>
      </x:c>
      <x:c r="H119" s="23" t="str">
        <x:f>IF(F119&gt;=0,"positive","negative")</x:f>
        <x:v>negative</x:v>
      </x:c>
      <x:c r="I119" s="23" t="n">
        <x:v>0.10321207654549351</x:v>
      </x:c>
      <x:c r="J119" s="23" t="n">
        <x:v>-0.31228597273625397</x:v>
      </x:c>
      <x:c r="K119" s="23" t="n">
        <x:v>0.3712424849699399</x:v>
      </x:c>
      <x:c r="L119" s="24" t="n">
        <x:v>1996</x:v>
      </x:c>
      <x:c r="M119" t="str">
        <x:v>legacy_common_sample_8902245</x:v>
      </x:c>
      <x:c r="N119" s="25" t="n">
        <x:v>46210.93332200232</x:v>
      </x:c>
      <x:c r="O119" s="24" t="n">
        <x:v>8902245</x:v>
      </x:c>
      <x:c r="P119" t="str">
        <x:v>factor_report/gtja191_batch/gtja_177/ic_summary.csv</x:v>
      </x:c>
    </x:row>
    <x:row r="120">
      <x:c r="A120" s="22" t="n">
        <x:f>IF($E120="ranked",1+COUNTIFS($D$5:$D$546,$D120,$E$5:$E$546,"ranked",$F$5:$F$546,"&gt;"&amp;$F120),"")</x:f>
        <x:v>31</x:v>
      </x:c>
      <x:c r="B120" s="22" t="n">
        <x:f>IF($E120="ranked",1+COUNTIFS($D$5:$D$546,$D120,$E$5:$E$546,"ranked",$G$5:$G$546,"&gt;"&amp;$G120),"")</x:f>
        <x:v>51</x:v>
      </x:c>
      <x:c r="C120" t="str">
        <x:v>gtja_179</x:v>
      </x:c>
      <x:c r="D120" s="22" t="n">
        <x:v>5</x:v>
      </x:c>
      <x:c r="E120" t="str">
        <x:v>ranked</x:v>
      </x:c>
      <x:c r="F120" s="23" t="n">
        <x:v>-0.03259132189627406</x:v>
      </x:c>
      <x:c r="G120" s="23" t="n">
        <x:f>ABS(F120)</x:f>
        <x:v>0.03259132189627406</x:v>
      </x:c>
      <x:c r="H120" s="23" t="str">
        <x:f>IF(F120&gt;=0,"positive","negative")</x:f>
        <x:v>negative</x:v>
      </x:c>
      <x:c r="I120" s="23" t="n">
        <x:v>0.06245861936286806</x:v>
      </x:c>
      <x:c r="J120" s="23" t="n">
        <x:v>-0.5218066333955783</x:v>
      </x:c>
      <x:c r="K120" s="23" t="n">
        <x:v>0.27833500501504516</x:v>
      </x:c>
      <x:c r="L120" s="24" t="n">
        <x:v>1994</x:v>
      </x:c>
      <x:c r="M120" t="str">
        <x:v>legacy_common_sample_8902245</x:v>
      </x:c>
      <x:c r="N120" s="25" t="n">
        <x:v>46210.941301631945</x:v>
      </x:c>
      <x:c r="O120" s="24" t="n">
        <x:v>8902245</x:v>
      </x:c>
      <x:c r="P120" t="str">
        <x:v>factor_report/gtja191_batch/gtja_179/ic_summary.csv</x:v>
      </x:c>
    </x:row>
    <x:row r="121">
      <x:c r="A121" s="22" t="n">
        <x:f>IF($E121="ranked",1+COUNTIFS($D$5:$D$546,$D121,$E$5:$E$546,"ranked",$F$5:$F$546,"&gt;"&amp;$F121),"")</x:f>
        <x:v>32</x:v>
      </x:c>
      <x:c r="B121" s="22" t="n">
        <x:f>IF($E121="ranked",1+COUNTIFS($D$5:$D$546,$D121,$E$5:$E$546,"ranked",$G$5:$G$546,"&gt;"&amp;$G121),"")</x:f>
        <x:v>50</x:v>
      </x:c>
      <x:c r="C121" t="str">
        <x:v>gtja_126</x:v>
      </x:c>
      <x:c r="D121" s="22" t="n">
        <x:v>5</x:v>
      </x:c>
      <x:c r="E121" t="str">
        <x:v>ranked</x:v>
      </x:c>
      <x:c r="F121" s="23" t="n">
        <x:v>-0.03298399488289722</x:v>
      </x:c>
      <x:c r="G121" s="23" t="n">
        <x:f>ABS(F121)</x:f>
        <x:v>0.03298399488289722</x:v>
      </x:c>
      <x:c r="H121" s="23" t="str">
        <x:f>IF(F121&gt;=0,"positive","negative")</x:f>
        <x:v>negative</x:v>
      </x:c>
      <x:c r="I121" s="23" t="n">
        <x:v>0.17538344160879138</x:v>
      </x:c>
      <x:c r="J121" s="23" t="n">
        <x:v>-0.1880678961499171</x:v>
      </x:c>
      <x:c r="K121" s="23" t="n">
        <x:v>0.46292585170340683</x:v>
      </x:c>
      <x:c r="L121" s="24" t="n">
        <x:v>1996</x:v>
      </x:c>
      <x:c r="M121" t="str">
        <x:v>legacy_common_sample_8902245</x:v>
      </x:c>
      <x:c r="N121" s="25" t="n">
        <x:v>46210.70792734954</x:v>
      </x:c>
      <x:c r="O121" s="24" t="n">
        <x:v>8902245</x:v>
      </x:c>
      <x:c r="P121" t="str">
        <x:v>factor_report/gtja191_batch/gtja_126/ic_summary.csv</x:v>
      </x:c>
    </x:row>
    <x:row r="122">
      <x:c r="A122" s="22" t="n">
        <x:f>IF($E122="ranked",1+COUNTIFS($D$5:$D$546,$D122,$E$5:$E$546,"ranked",$F$5:$F$546,"&gt;"&amp;$F122),"")</x:f>
        <x:v>33</x:v>
      </x:c>
      <x:c r="B122" s="22" t="n">
        <x:f>IF($E122="ranked",1+COUNTIFS($D$5:$D$546,$D122,$E$5:$E$546,"ranked",$G$5:$G$546,"&gt;"&amp;$G122),"")</x:f>
        <x:v>49</x:v>
      </x:c>
      <x:c r="C122" t="str">
        <x:v>gtja_050</x:v>
      </x:c>
      <x:c r="D122" s="22" t="n">
        <x:v>5</x:v>
      </x:c>
      <x:c r="E122" t="str">
        <x:v>ranked</x:v>
      </x:c>
      <x:c r="F122" s="23" t="n">
        <x:v>-0.0330490573207341</x:v>
      </x:c>
      <x:c r="G122" s="23" t="n">
        <x:f>ABS(F122)</x:f>
        <x:v>0.0330490573207341</x:v>
      </x:c>
      <x:c r="H122" s="23" t="str">
        <x:f>IF(F122&gt;=0,"positive","negative")</x:f>
        <x:v>negative</x:v>
      </x:c>
      <x:c r="I122" s="23" t="n">
        <x:v>0.1237697017647765</x:v>
      </x:c>
      <x:c r="J122" s="23" t="n">
        <x:v>-0.2670205781342482</x:v>
      </x:c>
      <x:c r="K122" s="23" t="n">
        <x:v>0.3877755511022044</x:v>
      </x:c>
      <x:c r="L122" s="24" t="n">
        <x:v>1996</x:v>
      </x:c>
      <x:c r="M122" t="str">
        <x:v>legacy_common_sample_8902245</x:v>
      </x:c>
      <x:c r="N122" s="25" t="n">
        <x:v>46210.32673208333</x:v>
      </x:c>
      <x:c r="O122" s="24" t="n">
        <x:v>8902245</x:v>
      </x:c>
      <x:c r="P122" t="str">
        <x:v>factor_report/gtja191_batch/gtja_050/ic_summary.csv</x:v>
      </x:c>
    </x:row>
    <x:row r="123">
      <x:c r="A123" s="22" t="n">
        <x:f>IF($E123="ranked",1+COUNTIFS($D$5:$D$546,$D123,$E$5:$E$546,"ranked",$F$5:$F$546,"&gt;"&amp;$F123),"")</x:f>
        <x:v>34</x:v>
      </x:c>
      <x:c r="B123" s="22" t="n">
        <x:f>IF($E123="ranked",1+COUNTIFS($D$5:$D$546,$D123,$E$5:$E$546,"ranked",$G$5:$G$546,"&gt;"&amp;$G123),"")</x:f>
        <x:v>48</x:v>
      </x:c>
      <x:c r="C123" t="str">
        <x:v>gtja_051</x:v>
      </x:c>
      <x:c r="D123" s="22" t="n">
        <x:v>5</x:v>
      </x:c>
      <x:c r="E123" t="str">
        <x:v>ranked</x:v>
      </x:c>
      <x:c r="F123" s="23" t="n">
        <x:v>-0.03304907547879243</x:v>
      </x:c>
      <x:c r="G123" s="23" t="n">
        <x:f>ABS(F123)</x:f>
        <x:v>0.03304907547879243</x:v>
      </x:c>
      <x:c r="H123" s="23" t="str">
        <x:f>IF(F123&gt;=0,"positive","negative")</x:f>
        <x:v>negative</x:v>
      </x:c>
      <x:c r="I123" s="23" t="n">
        <x:v>0.12376971467721183</x:v>
      </x:c>
      <x:c r="J123" s="23" t="n">
        <x:v>-0.2670206969853938</x:v>
      </x:c>
      <x:c r="K123" s="23" t="n">
        <x:v>0.3877755511022044</x:v>
      </x:c>
      <x:c r="L123" s="24" t="n">
        <x:v>1996</x:v>
      </x:c>
      <x:c r="M123" t="str">
        <x:v>legacy_common_sample_8902245</x:v>
      </x:c>
      <x:c r="N123" s="25" t="n">
        <x:v>46210.33137918982</x:v>
      </x:c>
      <x:c r="O123" s="24" t="n">
        <x:v>8902245</x:v>
      </x:c>
      <x:c r="P123" t="str">
        <x:v>factor_report/gtja191_batch/gtja_051/ic_summary.csv</x:v>
      </x:c>
    </x:row>
    <x:row r="124">
      <x:c r="A124" s="22" t="n">
        <x:f>IF($E124="ranked",1+COUNTIFS($D$5:$D$546,$D124,$E$5:$E$546,"ranked",$F$5:$F$546,"&gt;"&amp;$F124),"")</x:f>
        <x:v>35</x:v>
      </x:c>
      <x:c r="B124" s="22" t="n">
        <x:f>IF($E124="ranked",1+COUNTIFS($D$5:$D$546,$D124,$E$5:$E$546,"ranked",$G$5:$G$546,"&gt;"&amp;$G124),"")</x:f>
        <x:v>47</x:v>
      </x:c>
      <x:c r="C124" t="str">
        <x:v>gtja_145</x:v>
      </x:c>
      <x:c r="D124" s="22" t="n">
        <x:v>5</x:v>
      </x:c>
      <x:c r="E124" t="str">
        <x:v>ranked</x:v>
      </x:c>
      <x:c r="F124" s="23" t="n">
        <x:v>-0.03327745526293577</x:v>
      </x:c>
      <x:c r="G124" s="23" t="n">
        <x:f>ABS(F124)</x:f>
        <x:v>0.03327745526293577</x:v>
      </x:c>
      <x:c r="H124" s="23" t="str">
        <x:f>IF(F124&gt;=0,"positive","negative")</x:f>
        <x:v>negative</x:v>
      </x:c>
      <x:c r="I124" s="23" t="n">
        <x:v>0.09203490541372429</x:v>
      </x:c>
      <x:c r="J124" s="23" t="n">
        <x:v>-0.3615742865529519</x:v>
      </x:c>
      <x:c r="K124" s="23" t="n">
        <x:v>0.3466933867735471</x:v>
      </x:c>
      <x:c r="L124" s="24" t="n">
        <x:v>1996</x:v>
      </x:c>
      <x:c r="M124" t="str">
        <x:v>legacy_common_sample_8902245</x:v>
      </x:c>
      <x:c r="N124" s="25" t="n">
        <x:v>46210.79587657408</x:v>
      </x:c>
      <x:c r="O124" s="24" t="n">
        <x:v>8902245</x:v>
      </x:c>
      <x:c r="P124" t="str">
        <x:v>factor_report/gtja191_batch/gtja_145/ic_summary.csv</x:v>
      </x:c>
    </x:row>
    <x:row r="125">
      <x:c r="A125" s="22" t="n">
        <x:f>IF($E125="ranked",1+COUNTIFS($D$5:$D$546,$D125,$E$5:$E$546,"ranked",$F$5:$F$546,"&gt;"&amp;$F125),"")</x:f>
        <x:v>36</x:v>
      </x:c>
      <x:c r="B125" s="22" t="n">
        <x:f>IF($E125="ranked",1+COUNTIFS($D$5:$D$546,$D125,$E$5:$E$546,"ranked",$G$5:$G$546,"&gt;"&amp;$G125),"")</x:f>
        <x:v>46</x:v>
      </x:c>
      <x:c r="C125" t="str">
        <x:v>gtja_020</x:v>
      </x:c>
      <x:c r="D125" s="22" t="n">
        <x:v>5</x:v>
      </x:c>
      <x:c r="E125" t="str">
        <x:v>ranked</x:v>
      </x:c>
      <x:c r="F125" s="23" t="n">
        <x:v>-0.03330528187721423</x:v>
      </x:c>
      <x:c r="G125" s="23" t="n">
        <x:f>ABS(F125)</x:f>
        <x:v>0.03330528187721423</x:v>
      </x:c>
      <x:c r="H125" s="23" t="str">
        <x:f>IF(F125&gt;=0,"positive","negative")</x:f>
        <x:v>negative</x:v>
      </x:c>
      <x:c r="I125" s="23" t="n">
        <x:v>0.134119650239328</x:v>
      </x:c>
      <x:c r="J125" s="23" t="n">
        <x:v>-0.2483251471188828</x:v>
      </x:c>
      <x:c r="K125" s="23" t="n">
        <x:v>0.3927855711422846</x:v>
      </x:c>
      <x:c r="L125" s="24" t="n">
        <x:v>1996</x:v>
      </x:c>
      <x:c r="M125" t="str">
        <x:v>legacy_common_sample_8902245</x:v>
      </x:c>
      <x:c r="N125" s="25" t="n">
        <x:v>46210.19493413194</x:v>
      </x:c>
      <x:c r="O125" s="24" t="n">
        <x:v>8902245</x:v>
      </x:c>
      <x:c r="P125" t="str">
        <x:v>factor_report/gtja191_batch/gtja_020/ic_summary.csv</x:v>
      </x:c>
    </x:row>
    <x:row r="126">
      <x:c r="A126" s="22" t="n">
        <x:f>IF($E126="ranked",1+COUNTIFS($D$5:$D$546,$D126,$E$5:$E$546,"ranked",$F$5:$F$546,"&gt;"&amp;$F126),"")</x:f>
        <x:v>37</x:v>
      </x:c>
      <x:c r="B126" s="22" t="n">
        <x:f>IF($E126="ranked",1+COUNTIFS($D$5:$D$546,$D126,$E$5:$E$546,"ranked",$G$5:$G$546,"&gt;"&amp;$G126),"")</x:f>
        <x:v>45</x:v>
      </x:c>
      <x:c r="C126" t="str">
        <x:v>gtja_173</x:v>
      </x:c>
      <x:c r="D126" s="22" t="n">
        <x:v>5</x:v>
      </x:c>
      <x:c r="E126" t="str">
        <x:v>ranked</x:v>
      </x:c>
      <x:c r="F126" s="23" t="n">
        <x:v>-0.033439889745327314</x:v>
      </x:c>
      <x:c r="G126" s="23" t="n">
        <x:f>ABS(F126)</x:f>
        <x:v>0.033439889745327314</x:v>
      </x:c>
      <x:c r="H126" s="23" t="str">
        <x:f>IF(F126&gt;=0,"positive","negative")</x:f>
        <x:v>negative</x:v>
      </x:c>
      <x:c r="I126" s="23" t="n">
        <x:v>0.1754474138054183</x:v>
      </x:c>
      <x:c r="J126" s="23" t="n">
        <x:v>-0.19059779235283658</x:v>
      </x:c>
      <x:c r="K126" s="23" t="n">
        <x:v>0.46292585170340683</x:v>
      </x:c>
      <x:c r="L126" s="24" t="n">
        <x:v>1996</x:v>
      </x:c>
      <x:c r="M126" t="str">
        <x:v>legacy_common_sample_8902245</x:v>
      </x:c>
      <x:c r="N126" s="25" t="n">
        <x:v>46210.91649931713</x:v>
      </x:c>
      <x:c r="O126" s="24" t="n">
        <x:v>8902245</x:v>
      </x:c>
      <x:c r="P126" t="str">
        <x:v>factor_report/gtja191_batch/gtja_173/ic_summary.csv</x:v>
      </x:c>
    </x:row>
    <x:row r="127">
      <x:c r="A127" s="22" t="n">
        <x:f>IF($E127="ranked",1+COUNTIFS($D$5:$D$546,$D127,$E$5:$E$546,"ranked",$F$5:$F$546,"&gt;"&amp;$F127),"")</x:f>
        <x:v>38</x:v>
      </x:c>
      <x:c r="B127" s="22" t="n">
        <x:f>IF($E127="ranked",1+COUNTIFS($D$5:$D$546,$D127,$E$5:$E$546,"ranked",$G$5:$G$546,"&gt;"&amp;$G127),"")</x:f>
        <x:v>44</x:v>
      </x:c>
      <x:c r="C127" t="str">
        <x:v>gtja_010</x:v>
      </x:c>
      <x:c r="D127" s="22" t="n">
        <x:v>5</x:v>
      </x:c>
      <x:c r="E127" t="str">
        <x:v>ranked</x:v>
      </x:c>
      <x:c r="F127" s="23" t="n">
        <x:v>-0.03356127152475525</x:v>
      </x:c>
      <x:c r="G127" s="23" t="n">
        <x:f>ABS(F127)</x:f>
        <x:v>0.03356127152475525</x:v>
      </x:c>
      <x:c r="H127" s="23" t="str">
        <x:f>IF(F127&gt;=0,"positive","negative")</x:f>
        <x:v>negative</x:v>
      </x:c>
      <x:c r="I127" s="23" t="n">
        <x:v>0.16836870154616476</x:v>
      </x:c>
      <x:c r="J127" s="23" t="n">
        <x:v>-0.1993320089574554</x:v>
      </x:c>
      <x:c r="K127" s="23" t="n">
        <x:v>0.45691382765531063</x:v>
      </x:c>
      <x:c r="L127" s="24" t="n">
        <x:v>1996</x:v>
      </x:c>
      <x:c r="M127" t="str">
        <x:v>legacy_common_sample_8902245</x:v>
      </x:c>
      <x:c r="N127" s="25" t="n">
        <x:v>46210.15392069444</x:v>
      </x:c>
      <x:c r="O127" s="24" t="n">
        <x:v>8902245</x:v>
      </x:c>
      <x:c r="P127" t="str">
        <x:v>factor_report/gtja191_batch/gtja_010/ic_summary.csv</x:v>
      </x:c>
    </x:row>
    <x:row r="128">
      <x:c r="A128" s="22" t="n">
        <x:f>IF($E128="ranked",1+COUNTIFS($D$5:$D$546,$D128,$E$5:$E$546,"ranked",$F$5:$F$546,"&gt;"&amp;$F128),"")</x:f>
        <x:v>39</x:v>
      </x:c>
      <x:c r="B128" s="22" t="n">
        <x:f>IF($E128="ranked",1+COUNTIFS($D$5:$D$546,$D128,$E$5:$E$546,"ranked",$G$5:$G$546,"&gt;"&amp;$G128),"")</x:f>
        <x:v>43</x:v>
      </x:c>
      <x:c r="C128" t="str">
        <x:v>gtja_084</x:v>
      </x:c>
      <x:c r="D128" s="22" t="n">
        <x:v>5</x:v>
      </x:c>
      <x:c r="E128" t="str">
        <x:v>ranked</x:v>
      </x:c>
      <x:c r="F128" s="23" t="n">
        <x:v>-0.03447758590742363</x:v>
      </x:c>
      <x:c r="G128" s="23" t="n">
        <x:f>ABS(F128)</x:f>
        <x:v>0.03447758590742363</x:v>
      </x:c>
      <x:c r="H128" s="23" t="str">
        <x:f>IF(F128&gt;=0,"positive","negative")</x:f>
        <x:v>negative</x:v>
      </x:c>
      <x:c r="I128" s="23" t="n">
        <x:v>0.09810025639328906</x:v>
      </x:c>
      <x:c r="J128" s="23" t="n">
        <x:v>-0.3514525565478767</x:v>
      </x:c>
      <x:c r="K128" s="23" t="n">
        <x:v>0.36172344689378755</x:v>
      </x:c>
      <x:c r="L128" s="24" t="n">
        <x:v>1996</x:v>
      </x:c>
      <x:c r="M128" t="str">
        <x:v>legacy_common_sample_8902245</x:v>
      </x:c>
      <x:c r="N128" s="25" t="n">
        <x:v>46210.493655</x:v>
      </x:c>
      <x:c r="O128" s="24" t="n">
        <x:v>8902245</x:v>
      </x:c>
      <x:c r="P128" t="str">
        <x:v>factor_report/gtja191_batch/gtja_084/ic_summary.csv</x:v>
      </x:c>
    </x:row>
    <x:row r="129">
      <x:c r="A129" s="22" t="n">
        <x:f>IF($E129="ranked",1+COUNTIFS($D$5:$D$546,$D129,$E$5:$E$546,"ranked",$F$5:$F$546,"&gt;"&amp;$F129),"")</x:f>
        <x:v>40</x:v>
      </x:c>
      <x:c r="B129" s="22" t="n">
        <x:f>IF($E129="ranked",1+COUNTIFS($D$5:$D$546,$D129,$E$5:$E$546,"ranked",$G$5:$G$546,"&gt;"&amp;$G129),"")</x:f>
        <x:v>42</x:v>
      </x:c>
      <x:c r="C129" t="str">
        <x:v>gtja_133</x:v>
      </x:c>
      <x:c r="D129" s="22" t="n">
        <x:v>5</x:v>
      </x:c>
      <x:c r="E129" t="str">
        <x:v>ranked</x:v>
      </x:c>
      <x:c r="F129" s="23" t="n">
        <x:v>-0.03565714629846609</x:v>
      </x:c>
      <x:c r="G129" s="23" t="n">
        <x:f>ABS(F129)</x:f>
        <x:v>0.03565714629846609</x:v>
      </x:c>
      <x:c r="H129" s="23" t="str">
        <x:f>IF(F129&gt;=0,"positive","negative")</x:f>
        <x:v>negative</x:v>
      </x:c>
      <x:c r="I129" s="23" t="n">
        <x:v>0.11301392384298777</x:v>
      </x:c>
      <x:c r="J129" s="23" t="n">
        <x:v>-0.31551109001405164</x:v>
      </x:c>
      <x:c r="K129" s="23" t="n">
        <x:v>0.375751503006012</x:v>
      </x:c>
      <x:c r="L129" s="24" t="n">
        <x:v>1996</x:v>
      </x:c>
      <x:c r="M129" t="str">
        <x:v>legacy_common_sample_8902245</x:v>
      </x:c>
      <x:c r="N129" s="25" t="n">
        <x:v>46210.73796425926</x:v>
      </x:c>
      <x:c r="O129" s="24" t="n">
        <x:v>8902245</x:v>
      </x:c>
      <x:c r="P129" t="str">
        <x:v>factor_report/gtja191_batch/gtja_133/ic_summary.csv</x:v>
      </x:c>
    </x:row>
    <x:row r="130">
      <x:c r="A130" s="22" t="n">
        <x:f>IF($E130="ranked",1+COUNTIFS($D$5:$D$546,$D130,$E$5:$E$546,"ranked",$F$5:$F$546,"&gt;"&amp;$F130),"")</x:f>
        <x:v>41</x:v>
      </x:c>
      <x:c r="B130" s="22" t="n">
        <x:f>IF($E130="ranked",1+COUNTIFS($D$5:$D$546,$D130,$E$5:$E$546,"ranked",$G$5:$G$546,"&gt;"&amp;$G130),"")</x:f>
        <x:v>41</x:v>
      </x:c>
      <x:c r="C130" t="str">
        <x:v>gtja_160</x:v>
      </x:c>
      <x:c r="D130" s="22" t="n">
        <x:v>5</x:v>
      </x:c>
      <x:c r="E130" t="str">
        <x:v>ranked</x:v>
      </x:c>
      <x:c r="F130" s="23" t="n">
        <x:v>-0.035838686284958336</x:v>
      </x:c>
      <x:c r="G130" s="23" t="n">
        <x:f>ABS(F130)</x:f>
        <x:v>0.035838686284958336</x:v>
      </x:c>
      <x:c r="H130" s="23" t="str">
        <x:f>IF(F130&gt;=0,"positive","negative")</x:f>
        <x:v>negative</x:v>
      </x:c>
      <x:c r="I130" s="23" t="n">
        <x:v>0.1890162665195768</x:v>
      </x:c>
      <x:c r="J130" s="23" t="n">
        <x:v>-0.18960636004968626</x:v>
      </x:c>
      <x:c r="K130" s="23" t="n">
        <x:v>0.4473947895791583</x:v>
      </x:c>
      <x:c r="L130" s="24" t="n">
        <x:v>1996</x:v>
      </x:c>
      <x:c r="M130" t="str">
        <x:v>legacy_common_sample_8902245</x:v>
      </x:c>
      <x:c r="N130" s="25" t="n">
        <x:v>46210.859459722225</x:v>
      </x:c>
      <x:c r="O130" s="24" t="n">
        <x:v>8902245</x:v>
      </x:c>
      <x:c r="P130" t="str">
        <x:v>factor_report/gtja191_batch/gtja_160/ic_summary.csv</x:v>
      </x:c>
    </x:row>
    <x:row r="131">
      <x:c r="A131" s="22" t="n">
        <x:f>IF($E131="ranked",1+COUNTIFS($D$5:$D$546,$D131,$E$5:$E$546,"ranked",$F$5:$F$546,"&gt;"&amp;$F131),"")</x:f>
        <x:v>42</x:v>
      </x:c>
      <x:c r="B131" s="22" t="n">
        <x:f>IF($E131="ranked",1+COUNTIFS($D$5:$D$546,$D131,$E$5:$E$546,"ranked",$G$5:$G$546,"&gt;"&amp;$G131),"")</x:f>
        <x:v>40</x:v>
      </x:c>
      <x:c r="C131" t="str">
        <x:v>gtja_040</x:v>
      </x:c>
      <x:c r="D131" s="22" t="n">
        <x:v>5</x:v>
      </x:c>
      <x:c r="E131" t="str">
        <x:v>ranked</x:v>
      </x:c>
      <x:c r="F131" s="23" t="n">
        <x:v>-0.03642274414130226</x:v>
      </x:c>
      <x:c r="G131" s="23" t="n">
        <x:f>ABS(F131)</x:f>
        <x:v>0.03642274414130226</x:v>
      </x:c>
      <x:c r="H131" s="23" t="str">
        <x:f>IF(F131&gt;=0,"positive","negative")</x:f>
        <x:v>negative</x:v>
      </x:c>
      <x:c r="I131" s="23" t="n">
        <x:v>0.10560166620648556</x:v>
      </x:c>
      <x:c r="J131" s="23" t="n">
        <x:v>-0.3449069077194669</x:v>
      </x:c>
      <x:c r="K131" s="23" t="n">
        <x:v>0.3717434869739479</x:v>
      </x:c>
      <x:c r="L131" s="24" t="n">
        <x:v>1996</x:v>
      </x:c>
      <x:c r="M131" t="str">
        <x:v>legacy_common_sample_8902245</x:v>
      </x:c>
      <x:c r="N131" s="25" t="n">
        <x:v>46210.279919872686</x:v>
      </x:c>
      <x:c r="O131" s="24" t="n">
        <x:v>8902245</x:v>
      </x:c>
      <x:c r="P131" t="str">
        <x:v>factor_report/gtja191_batch/gtja_040/ic_summary.csv</x:v>
      </x:c>
    </x:row>
    <x:row r="132">
      <x:c r="A132" s="22" t="n">
        <x:f>IF($E132="ranked",1+COUNTIFS($D$5:$D$546,$D132,$E$5:$E$546,"ranked",$F$5:$F$546,"&gt;"&amp;$F132),"")</x:f>
        <x:v>43</x:v>
      </x:c>
      <x:c r="B132" s="22" t="n">
        <x:f>IF($E132="ranked",1+COUNTIFS($D$5:$D$546,$D132,$E$5:$E$546,"ranked",$G$5:$G$546,"&gt;"&amp;$G132),"")</x:f>
        <x:v>39</x:v>
      </x:c>
      <x:c r="C132" t="str">
        <x:v>gtja_031</x:v>
      </x:c>
      <x:c r="D132" s="22" t="n">
        <x:v>5</x:v>
      </x:c>
      <x:c r="E132" t="str">
        <x:v>ranked</x:v>
      </x:c>
      <x:c r="F132" s="23" t="n">
        <x:v>-0.036798000064215984</x:v>
      </x:c>
      <x:c r="G132" s="23" t="n">
        <x:f>ABS(F132)</x:f>
        <x:v>0.036798000064215984</x:v>
      </x:c>
      <x:c r="H132" s="23" t="str">
        <x:f>IF(F132&gt;=0,"positive","negative")</x:f>
        <x:v>negative</x:v>
      </x:c>
      <x:c r="I132" s="23" t="n">
        <x:v>0.13779258485631646</x:v>
      </x:c>
      <x:c r="J132" s="23" t="n">
        <x:v>-0.26705355808940795</x:v>
      </x:c>
      <x:c r="K132" s="23" t="n">
        <x:v>0.3897795591182365</x:v>
      </x:c>
      <x:c r="L132" s="24" t="n">
        <x:v>1996</x:v>
      </x:c>
      <x:c r="M132" t="str">
        <x:v>legacy_common_sample_8902245</x:v>
      </x:c>
      <x:c r="N132" s="25" t="n">
        <x:v>46210.23892871528</x:v>
      </x:c>
      <x:c r="O132" s="24" t="n">
        <x:v>8902245</x:v>
      </x:c>
      <x:c r="P132" t="str">
        <x:v>factor_report/gtja191_batch/gtja_031/ic_summary.csv</x:v>
      </x:c>
    </x:row>
    <x:row r="133">
      <x:c r="A133" s="22" t="n">
        <x:f>IF($E133="ranked",1+COUNTIFS($D$5:$D$546,$D133,$E$5:$E$546,"ranked",$F$5:$F$546,"&gt;"&amp;$F133),"")</x:f>
        <x:v>44</x:v>
      </x:c>
      <x:c r="B133" s="22" t="n">
        <x:f>IF($E133="ranked",1+COUNTIFS($D$5:$D$546,$D133,$E$5:$E$546,"ranked",$G$5:$G$546,"&gt;"&amp;$G133),"")</x:f>
        <x:v>38</x:v>
      </x:c>
      <x:c r="C133" t="str">
        <x:v>gtja_074</x:v>
      </x:c>
      <x:c r="D133" s="22" t="n">
        <x:v>5</x:v>
      </x:c>
      <x:c r="E133" t="str">
        <x:v>ranked</x:v>
      </x:c>
      <x:c r="F133" s="23" t="n">
        <x:v>-0.03686528582499111</x:v>
      </x:c>
      <x:c r="G133" s="23" t="n">
        <x:f>ABS(F133)</x:f>
        <x:v>0.03686528582499111</x:v>
      </x:c>
      <x:c r="H133" s="23" t="str">
        <x:f>IF(F133&gt;=0,"positive","negative")</x:f>
        <x:v>negative</x:v>
      </x:c>
      <x:c r="I133" s="23" t="n">
        <x:v>0.06930227064258476</x:v>
      </x:c>
      <x:c r="J133" s="23" t="n">
        <x:v>-0.5319491768908676</x:v>
      </x:c>
      <x:c r="K133" s="23" t="n">
        <x:v>0.2914572864321608</x:v>
      </x:c>
      <x:c r="L133" s="24" t="n">
        <x:v>1990</x:v>
      </x:c>
      <x:c r="M133" t="str">
        <x:v>legacy_common_sample_8902245</x:v>
      </x:c>
      <x:c r="N133" s="25" t="n">
        <x:v>46210.45096833333</x:v>
      </x:c>
      <x:c r="O133" s="24" t="n">
        <x:v>8902245</x:v>
      </x:c>
      <x:c r="P133" t="str">
        <x:v>factor_report/gtja191_batch/gtja_074/ic_summary.csv</x:v>
      </x:c>
    </x:row>
    <x:row r="134">
      <x:c r="A134" s="22" t="n">
        <x:f>IF($E134="ranked",1+COUNTIFS($D$5:$D$546,$D134,$E$5:$E$546,"ranked",$F$5:$F$546,"&gt;"&amp;$F134),"")</x:f>
        <x:v>45</x:v>
      </x:c>
      <x:c r="B134" s="22" t="n">
        <x:f>IF($E134="ranked",1+COUNTIFS($D$5:$D$546,$D134,$E$5:$E$546,"ranked",$G$5:$G$546,"&gt;"&amp;$G134),"")</x:f>
        <x:v>37</x:v>
      </x:c>
      <x:c r="C134" t="str">
        <x:v>gtja_094</x:v>
      </x:c>
      <x:c r="D134" s="22" t="n">
        <x:v>5</x:v>
      </x:c>
      <x:c r="E134" t="str">
        <x:v>ranked</x:v>
      </x:c>
      <x:c r="F134" s="23" t="n">
        <x:v>-0.03766305454647896</x:v>
      </x:c>
      <x:c r="G134" s="23" t="n">
        <x:f>ABS(F134)</x:f>
        <x:v>0.03766305454647896</x:v>
      </x:c>
      <x:c r="H134" s="23" t="str">
        <x:f>IF(F134&gt;=0,"positive","negative")</x:f>
        <x:v>negative</x:v>
      </x:c>
      <x:c r="I134" s="23" t="n">
        <x:v>0.09930146596483377</x:v>
      </x:c>
      <x:c r="J134" s="23" t="n">
        <x:v>-0.3792799449689575</x:v>
      </x:c>
      <x:c r="K134" s="23" t="n">
        <x:v>0.3652304609218437</x:v>
      </x:c>
      <x:c r="L134" s="24" t="n">
        <x:v>1996</x:v>
      </x:c>
      <x:c r="M134" t="str">
        <x:v>legacy_common_sample_8902245</x:v>
      </x:c>
      <x:c r="N134" s="25" t="n">
        <x:v>46210.54834915509</x:v>
      </x:c>
      <x:c r="O134" s="24" t="n">
        <x:v>8902245</x:v>
      </x:c>
      <x:c r="P134" t="str">
        <x:v>factor_report/gtja191_batch/gtja_094/ic_summary.csv</x:v>
      </x:c>
    </x:row>
    <x:row r="135">
      <x:c r="A135" s="22" t="n">
        <x:f>IF($E135="ranked",1+COUNTIFS($D$5:$D$546,$D135,$E$5:$E$546,"ranked",$F$5:$F$546,"&gt;"&amp;$F135),"")</x:f>
        <x:v>46</x:v>
      </x:c>
      <x:c r="B135" s="22" t="n">
        <x:f>IF($E135="ranked",1+COUNTIFS($D$5:$D$546,$D135,$E$5:$E$546,"ranked",$G$5:$G$546,"&gt;"&amp;$G135),"")</x:f>
        <x:v>36</x:v>
      </x:c>
      <x:c r="C135" t="str">
        <x:v>gtja_024</x:v>
      </x:c>
      <x:c r="D135" s="22" t="n">
        <x:v>5</x:v>
      </x:c>
      <x:c r="E135" t="str">
        <x:v>ranked</x:v>
      </x:c>
      <x:c r="F135" s="23" t="n">
        <x:v>-0.037843747955581354</x:v>
      </x:c>
      <x:c r="G135" s="23" t="n">
        <x:f>ABS(F135)</x:f>
        <x:v>0.037843747955581354</x:v>
      </x:c>
      <x:c r="H135" s="23" t="str">
        <x:f>IF(F135&gt;=0,"positive","negative")</x:f>
        <x:v>negative</x:v>
      </x:c>
      <x:c r="I135" s="23" t="n">
        <x:v>0.13573258025744142</x:v>
      </x:c>
      <x:c r="J135" s="23" t="n">
        <x:v>-0.2788110848832597</x:v>
      </x:c>
      <x:c r="K135" s="23" t="n">
        <x:v>0.38527054108216435</x:v>
      </x:c>
      <x:c r="L135" s="24" t="n">
        <x:v>1996</x:v>
      </x:c>
      <x:c r="M135" t="str">
        <x:v>legacy_common_sample_8902245</x:v>
      </x:c>
      <x:c r="N135" s="25" t="n">
        <x:v>46210.21420491898</x:v>
      </x:c>
      <x:c r="O135" s="24" t="n">
        <x:v>8902245</x:v>
      </x:c>
      <x:c r="P135" t="str">
        <x:v>factor_report/gtja191_batch/gtja_024/ic_summary.csv</x:v>
      </x:c>
    </x:row>
    <x:row r="136">
      <x:c r="A136" s="22" t="n">
        <x:f>IF($E136="ranked",1+COUNTIFS($D$5:$D$546,$D136,$E$5:$E$546,"ranked",$F$5:$F$546,"&gt;"&amp;$F136),"")</x:f>
        <x:v>47</x:v>
      </x:c>
      <x:c r="B136" s="22" t="n">
        <x:f>IF($E136="ranked",1+COUNTIFS($D$5:$D$546,$D136,$E$5:$E$546,"ranked",$G$5:$G$546,"&gt;"&amp;$G136),"")</x:f>
        <x:v>35</x:v>
      </x:c>
      <x:c r="C136" t="str">
        <x:v>gtja_151</x:v>
      </x:c>
      <x:c r="D136" s="22" t="n">
        <x:v>5</x:v>
      </x:c>
      <x:c r="E136" t="str">
        <x:v>ranked</x:v>
      </x:c>
      <x:c r="F136" s="23" t="n">
        <x:v>-0.03830023224214012</x:v>
      </x:c>
      <x:c r="G136" s="23" t="n">
        <x:f>ABS(F136)</x:f>
        <x:v>0.03830023224214012</x:v>
      </x:c>
      <x:c r="H136" s="23" t="str">
        <x:f>IF(F136&gt;=0,"positive","negative")</x:f>
        <x:v>negative</x:v>
      </x:c>
      <x:c r="I136" s="23" t="n">
        <x:v>0.14583026771426402</x:v>
      </x:c>
      <x:c r="J136" s="23" t="n">
        <x:v>-0.2626356849127136</x:v>
      </x:c>
      <x:c r="K136" s="23" t="n">
        <x:v>0.407314629258517</x:v>
      </x:c>
      <x:c r="L136" s="24" t="n">
        <x:v>1996</x:v>
      </x:c>
      <x:c r="M136" t="str">
        <x:v>legacy_common_sample_8902245</x:v>
      </x:c>
      <x:c r="N136" s="25" t="n">
        <x:v>46210.81806668981</x:v>
      </x:c>
      <x:c r="O136" s="24" t="n">
        <x:v>8902245</x:v>
      </x:c>
      <x:c r="P136" t="str">
        <x:v>factor_report/gtja191_batch/gtja_151/ic_summary.csv</x:v>
      </x:c>
    </x:row>
    <x:row r="137">
      <x:c r="A137" s="22" t="n">
        <x:f>IF($E137="ranked",1+COUNTIFS($D$5:$D$546,$D137,$E$5:$E$546,"ranked",$F$5:$F$546,"&gt;"&amp;$F137),"")</x:f>
        <x:v>48</x:v>
      </x:c>
      <x:c r="B137" s="22" t="n">
        <x:f>IF($E137="ranked",1+COUNTIFS($D$5:$D$546,$D137,$E$5:$E$546,"ranked",$G$5:$G$546,"&gt;"&amp;$G137),"")</x:f>
        <x:v>34</x:v>
      </x:c>
      <x:c r="C137" t="str">
        <x:v>gtja_147</x:v>
      </x:c>
      <x:c r="D137" s="22" t="n">
        <x:v>5</x:v>
      </x:c>
      <x:c r="E137" t="str">
        <x:v>ranked</x:v>
      </x:c>
      <x:c r="F137" s="23" t="n">
        <x:v>-0.03906630126821493</x:v>
      </x:c>
      <x:c r="G137" s="23" t="n">
        <x:f>ABS(F137)</x:f>
        <x:v>0.03906630126821493</x:v>
      </x:c>
      <x:c r="H137" s="23" t="str">
        <x:f>IF(F137&gt;=0,"positive","negative")</x:f>
        <x:v>negative</x:v>
      </x:c>
      <x:c r="I137" s="23" t="n">
        <x:v>0.13191076342078709</x:v>
      </x:c>
      <x:c r="J137" s="23" t="n">
        <x:v>-0.29615704022268347</x:v>
      </x:c>
      <x:c r="K137" s="23" t="n">
        <x:v>0.38877755511022044</x:v>
      </x:c>
      <x:c r="L137" s="24" t="n">
        <x:v>1996</x:v>
      </x:c>
      <x:c r="M137" t="str">
        <x:v>legacy_common_sample_8902245</x:v>
      </x:c>
      <x:c r="N137" s="25" t="n">
        <x:v>46210.805681736114</x:v>
      </x:c>
      <x:c r="O137" s="24" t="n">
        <x:v>8902245</x:v>
      </x:c>
      <x:c r="P137" t="str">
        <x:v>factor_report/gtja191_batch/gtja_147/ic_summary.csv</x:v>
      </x:c>
    </x:row>
    <x:row r="138">
      <x:c r="A138" s="22" t="n">
        <x:f>IF($E138="ranked",1+COUNTIFS($D$5:$D$546,$D138,$E$5:$E$546,"ranked",$F$5:$F$546,"&gt;"&amp;$F138),"")</x:f>
        <x:v>49</x:v>
      </x:c>
      <x:c r="B138" s="22" t="n">
        <x:f>IF($E138="ranked",1+COUNTIFS($D$5:$D$546,$D138,$E$5:$E$546,"ranked",$G$5:$G$546,"&gt;"&amp;$G138),"")</x:f>
        <x:v>33</x:v>
      </x:c>
      <x:c r="C138" t="str">
        <x:v>gtja_134</x:v>
      </x:c>
      <x:c r="D138" s="22" t="n">
        <x:v>5</x:v>
      </x:c>
      <x:c r="E138" t="str">
        <x:v>ranked</x:v>
      </x:c>
      <x:c r="F138" s="23" t="n">
        <x:v>-0.03918308328877937</x:v>
      </x:c>
      <x:c r="G138" s="23" t="n">
        <x:f>ABS(F138)</x:f>
        <x:v>0.03918308328877937</x:v>
      </x:c>
      <x:c r="H138" s="23" t="str">
        <x:f>IF(F138&gt;=0,"positive","negative")</x:f>
        <x:v>negative</x:v>
      </x:c>
      <x:c r="I138" s="23" t="n">
        <x:v>0.11489045156386428</x:v>
      </x:c>
      <x:c r="J138" s="23" t="n">
        <x:v>-0.3410473434078081</x:v>
      </x:c>
      <x:c r="K138" s="23" t="n">
        <x:v>0.3692384769539078</x:v>
      </x:c>
      <x:c r="L138" s="24" t="n">
        <x:v>1996</x:v>
      </x:c>
      <x:c r="M138" t="str">
        <x:v>legacy_common_sample_8902245</x:v>
      </x:c>
      <x:c r="N138" s="25" t="n">
        <x:v>46210.74197935185</x:v>
      </x:c>
      <x:c r="O138" s="24" t="n">
        <x:v>8902245</x:v>
      </x:c>
      <x:c r="P138" t="str">
        <x:v>factor_report/gtja191_batch/gtja_134/ic_summary.csv</x:v>
      </x:c>
    </x:row>
    <x:row r="139">
      <x:c r="A139" s="22" t="n">
        <x:f>IF($E139="ranked",1+COUNTIFS($D$5:$D$546,$D139,$E$5:$E$546,"ranked",$F$5:$F$546,"&gt;"&amp;$F139),"")</x:f>
        <x:v>50</x:v>
      </x:c>
      <x:c r="B139" s="22" t="n">
        <x:f>IF($E139="ranked",1+COUNTIFS($D$5:$D$546,$D139,$E$5:$E$546,"ranked",$G$5:$G$546,"&gt;"&amp;$G139),"")</x:f>
        <x:v>32</x:v>
      </x:c>
      <x:c r="C139" t="str">
        <x:v>gtja_036</x:v>
      </x:c>
      <x:c r="D139" s="22" t="n">
        <x:v>5</x:v>
      </x:c>
      <x:c r="E139" t="str">
        <x:v>ranked</x:v>
      </x:c>
      <x:c r="F139" s="23" t="n">
        <x:v>-0.03964438279450235</x:v>
      </x:c>
      <x:c r="G139" s="23" t="n">
        <x:f>ABS(F139)</x:f>
        <x:v>0.03964438279450235</x:v>
      </x:c>
      <x:c r="H139" s="23" t="str">
        <x:f>IF(F139&gt;=0,"positive","negative")</x:f>
        <x:v>negative</x:v>
      </x:c>
      <x:c r="I139" s="23" t="n">
        <x:v>0.06598612552820726</x:v>
      </x:c>
      <x:c r="J139" s="23" t="n">
        <x:v>-0.600798766061139</x:v>
      </x:c>
      <x:c r="K139" s="23" t="n">
        <x:v>0.26102204408817636</x:v>
      </x:c>
      <x:c r="L139" s="24" t="n">
        <x:v>1996</x:v>
      </x:c>
      <x:c r="M139" t="str">
        <x:v>legacy_common_sample_8902245</x:v>
      </x:c>
      <x:c r="N139" s="25" t="n">
        <x:v>46210.26318543981</x:v>
      </x:c>
      <x:c r="O139" s="24" t="n">
        <x:v>8902245</x:v>
      </x:c>
      <x:c r="P139" t="str">
        <x:v>factor_report/gtja191_batch/gtja_036/ic_summary.csv</x:v>
      </x:c>
    </x:row>
    <x:row r="140">
      <x:c r="A140" s="22" t="n">
        <x:f>IF($E140="ranked",1+COUNTIFS($D$5:$D$546,$D140,$E$5:$E$546,"ranked",$F$5:$F$546,"&gt;"&amp;$F140),"")</x:f>
        <x:v>51</x:v>
      </x:c>
      <x:c r="B140" s="22" t="n">
        <x:f>IF($E140="ranked",1+COUNTIFS($D$5:$D$546,$D140,$E$5:$E$546,"ranked",$G$5:$G$546,"&gt;"&amp;$G140),"")</x:f>
        <x:v>31</x:v>
      </x:c>
      <x:c r="C140" t="str">
        <x:v>gtja_110</x:v>
      </x:c>
      <x:c r="D140" s="22" t="n">
        <x:v>5</x:v>
      </x:c>
      <x:c r="E140" t="str">
        <x:v>ranked</x:v>
      </x:c>
      <x:c r="F140" s="23" t="n">
        <x:v>-0.03999776918303655</x:v>
      </x:c>
      <x:c r="G140" s="23" t="n">
        <x:f>ABS(F140)</x:f>
        <x:v>0.03999776918303655</x:v>
      </x:c>
      <x:c r="H140" s="23" t="str">
        <x:f>IF(F140&gt;=0,"positive","negative")</x:f>
        <x:v>negative</x:v>
      </x:c>
      <x:c r="I140" s="23" t="n">
        <x:v>0.1180851782269463</x:v>
      </x:c>
      <x:c r="J140" s="23" t="n">
        <x:v>-0.33871964105575875</x:v>
      </x:c>
      <x:c r="K140" s="23" t="n">
        <x:v>0.3652304609218437</x:v>
      </x:c>
      <x:c r="L140" s="24" t="n">
        <x:v>1996</x:v>
      </x:c>
      <x:c r="M140" t="str">
        <x:v>legacy_common_sample_8902245</x:v>
      </x:c>
      <x:c r="N140" s="25" t="n">
        <x:v>46210.616483287034</x:v>
      </x:c>
      <x:c r="O140" s="24" t="n">
        <x:v>8902245</x:v>
      </x:c>
      <x:c r="P140" t="str">
        <x:v>factor_report/gtja191_batch/gtja_110/ic_summary.csv</x:v>
      </x:c>
    </x:row>
    <x:row r="141">
      <x:c r="A141" s="22" t="n">
        <x:f>IF($E141="ranked",1+COUNTIFS($D$5:$D$546,$D141,$E$5:$E$546,"ranked",$F$5:$F$546,"&gt;"&amp;$F141),"")</x:f>
        <x:v>52</x:v>
      </x:c>
      <x:c r="B141" s="22" t="n">
        <x:f>IF($E141="ranked",1+COUNTIFS($D$5:$D$546,$D141,$E$5:$E$546,"ranked",$G$5:$G$546,"&gt;"&amp;$G141),"")</x:f>
        <x:v>30</x:v>
      </x:c>
      <x:c r="C141" t="str">
        <x:v>gtja_129</x:v>
      </x:c>
      <x:c r="D141" s="22" t="n">
        <x:v>5</x:v>
      </x:c>
      <x:c r="E141" t="str">
        <x:v>ranked</x:v>
      </x:c>
      <x:c r="F141" s="23" t="n">
        <x:v>-0.040516662970927736</x:v>
      </x:c>
      <x:c r="G141" s="23" t="n">
        <x:f>ABS(F141)</x:f>
        <x:v>0.040516662970927736</x:v>
      </x:c>
      <x:c r="H141" s="23" t="str">
        <x:f>IF(F141&gt;=0,"positive","negative")</x:f>
        <x:v>negative</x:v>
      </x:c>
      <x:c r="I141" s="23" t="n">
        <x:v>0.18741764953581602</x:v>
      </x:c>
      <x:c r="J141" s="23" t="n">
        <x:v>-0.21618381764618647</x:v>
      </x:c>
      <x:c r="K141" s="23" t="n">
        <x:v>0.4283567134268537</x:v>
      </x:c>
      <x:c r="L141" s="24" t="n">
        <x:v>1996</x:v>
      </x:c>
      <x:c r="M141" t="str">
        <x:v>legacy_common_sample_8902245</x:v>
      </x:c>
      <x:c r="N141" s="25" t="n">
        <x:v>46210.71993697916</x:v>
      </x:c>
      <x:c r="O141" s="24" t="n">
        <x:v>8902245</x:v>
      </x:c>
      <x:c r="P141" t="str">
        <x:v>factor_report/gtja191_batch/gtja_129/ic_summary.csv</x:v>
      </x:c>
    </x:row>
    <x:row r="142">
      <x:c r="A142" s="22" t="n">
        <x:f>IF($E142="ranked",1+COUNTIFS($D$5:$D$546,$D142,$E$5:$E$546,"ranked",$F$5:$F$546,"&gt;"&amp;$F142),"")</x:f>
        <x:v>53</x:v>
      </x:c>
      <x:c r="B142" s="22" t="n">
        <x:f>IF($E142="ranked",1+COUNTIFS($D$5:$D$546,$D142,$E$5:$E$546,"ranked",$G$5:$G$546,"&gt;"&amp;$G142),"")</x:f>
        <x:v>29</x:v>
      </x:c>
      <x:c r="C142" t="str">
        <x:v>gtja_079</x:v>
      </x:c>
      <x:c r="D142" s="22" t="n">
        <x:v>5</x:v>
      </x:c>
      <x:c r="E142" t="str">
        <x:v>ranked</x:v>
      </x:c>
      <x:c r="F142" s="23" t="n">
        <x:v>-0.04118816438031043</x:v>
      </x:c>
      <x:c r="G142" s="23" t="n">
        <x:f>ABS(F142)</x:f>
        <x:v>0.04118816438031043</x:v>
      </x:c>
      <x:c r="H142" s="23" t="str">
        <x:f>IF(F142&gt;=0,"positive","negative")</x:f>
        <x:v>negative</x:v>
      </x:c>
      <x:c r="I142" s="23" t="n">
        <x:v>0.13608980568141407</x:v>
      </x:c>
      <x:c r="J142" s="23" t="n">
        <x:v>-0.30265429636024194</x:v>
      </x:c>
      <x:c r="K142" s="23" t="n">
        <x:v>0.3717434869739479</x:v>
      </x:c>
      <x:c r="L142" s="24" t="n">
        <x:v>1996</x:v>
      </x:c>
      <x:c r="M142" t="str">
        <x:v>legacy_common_sample_8902245</x:v>
      </x:c>
      <x:c r="N142" s="25" t="n">
        <x:v>46210.47234655092</x:v>
      </x:c>
      <x:c r="O142" s="24" t="n">
        <x:v>8902245</x:v>
      </x:c>
      <x:c r="P142" t="str">
        <x:v>factor_report/gtja191_batch/gtja_079/ic_summary.csv</x:v>
      </x:c>
    </x:row>
    <x:row r="143">
      <x:c r="A143" s="22" t="n">
        <x:f>IF($E143="ranked",1+COUNTIFS($D$5:$D$546,$D143,$E$5:$E$546,"ranked",$F$5:$F$546,"&gt;"&amp;$F143),"")</x:f>
        <x:v>54</x:v>
      </x:c>
      <x:c r="B143" s="22" t="n">
        <x:f>IF($E143="ranked",1+COUNTIFS($D$5:$D$546,$D143,$E$5:$E$546,"ranked",$G$5:$G$546,"&gt;"&amp;$G143),"")</x:f>
        <x:v>28</x:v>
      </x:c>
      <x:c r="C143" t="str">
        <x:v>gtja_174</x:v>
      </x:c>
      <x:c r="D143" s="22" t="n">
        <x:v>5</x:v>
      </x:c>
      <x:c r="E143" t="str">
        <x:v>ranked</x:v>
      </x:c>
      <x:c r="F143" s="23" t="n">
        <x:v>-0.04182333979945225</x:v>
      </x:c>
      <x:c r="G143" s="23" t="n">
        <x:f>ABS(F143)</x:f>
        <x:v>0.04182333979945225</x:v>
      </x:c>
      <x:c r="H143" s="23" t="str">
        <x:f>IF(F143&gt;=0,"positive","negative")</x:f>
        <x:v>negative</x:v>
      </x:c>
      <x:c r="I143" s="23" t="n">
        <x:v>0.18958019341650842</x:v>
      </x:c>
      <x:c r="J143" s="23" t="n">
        <x:v>-0.2206102813048946</x:v>
      </x:c>
      <x:c r="K143" s="23" t="n">
        <x:v>0.437374749498998</x:v>
      </x:c>
      <x:c r="L143" s="24" t="n">
        <x:v>1996</x:v>
      </x:c>
      <x:c r="M143" t="str">
        <x:v>legacy_common_sample_8902245</x:v>
      </x:c>
      <x:c r="N143" s="25" t="n">
        <x:v>46210.92118445602</x:v>
      </x:c>
      <x:c r="O143" s="24" t="n">
        <x:v>8902245</x:v>
      </x:c>
      <x:c r="P143" t="str">
        <x:v>factor_report/gtja191_batch/gtja_174/ic_summary.csv</x:v>
      </x:c>
    </x:row>
    <x:row r="144">
      <x:c r="A144" s="22" t="n">
        <x:f>IF($E144="ranked",1+COUNTIFS($D$5:$D$546,$D144,$E$5:$E$546,"ranked",$F$5:$F$546,"&gt;"&amp;$F144),"")</x:f>
        <x:v>55</x:v>
      </x:c>
      <x:c r="B144" s="22" t="n">
        <x:f>IF($E144="ranked",1+COUNTIFS($D$5:$D$546,$D144,$E$5:$E$546,"ranked",$G$5:$G$546,"&gt;"&amp;$G144),"")</x:f>
        <x:v>27</x:v>
      </x:c>
      <x:c r="C144" t="str">
        <x:v>gtja_081</x:v>
      </x:c>
      <x:c r="D144" s="22" t="n">
        <x:v>5</x:v>
      </x:c>
      <x:c r="E144" t="str">
        <x:v>ranked</x:v>
      </x:c>
      <x:c r="F144" s="23" t="n">
        <x:v>-0.04183927953457015</x:v>
      </x:c>
      <x:c r="G144" s="23" t="n">
        <x:f>ABS(F144)</x:f>
        <x:v>0.04183927953457015</x:v>
      </x:c>
      <x:c r="H144" s="23" t="str">
        <x:f>IF(F144&gt;=0,"positive","negative")</x:f>
        <x:v>negative</x:v>
      </x:c>
      <x:c r="I144" s="23" t="n">
        <x:v>0.12005694806538143</x:v>
      </x:c>
      <x:c r="J144" s="23" t="n">
        <x:v>-0.3484952783556103</x:v>
      </x:c>
      <x:c r="K144" s="23" t="n">
        <x:v>0.34769539078156314</x:v>
      </x:c>
      <x:c r="L144" s="24" t="n">
        <x:v>1996</x:v>
      </x:c>
      <x:c r="M144" t="str">
        <x:v>legacy_common_sample_8902245</x:v>
      </x:c>
      <x:c r="N144" s="25" t="n">
        <x:v>46210.48091090278</x:v>
      </x:c>
      <x:c r="O144" s="24" t="n">
        <x:v>8902245</x:v>
      </x:c>
      <x:c r="P144" t="str">
        <x:v>factor_report/gtja191_batch/gtja_081/ic_summary.csv</x:v>
      </x:c>
    </x:row>
    <x:row r="145">
      <x:c r="A145" s="22" t="n">
        <x:f>IF($E145="ranked",1+COUNTIFS($D$5:$D$546,$D145,$E$5:$E$546,"ranked",$F$5:$F$546,"&gt;"&amp;$F145),"")</x:f>
        <x:v>56</x:v>
      </x:c>
      <x:c r="B145" s="22" t="n">
        <x:f>IF($E145="ranked",1+COUNTIFS($D$5:$D$546,$D145,$E$5:$E$546,"ranked",$G$5:$G$546,"&gt;"&amp;$G145),"")</x:f>
        <x:v>26</x:v>
      </x:c>
      <x:c r="C145" t="str">
        <x:v>gtja_069</x:v>
      </x:c>
      <x:c r="D145" s="22" t="n">
        <x:v>5</x:v>
      </x:c>
      <x:c r="E145" t="str">
        <x:v>ranked</x:v>
      </x:c>
      <x:c r="F145" s="23" t="n">
        <x:v>-0.04225570397810014</x:v>
      </x:c>
      <x:c r="G145" s="23" t="n">
        <x:f>ABS(F145)</x:f>
        <x:v>0.04225570397810014</x:v>
      </x:c>
      <x:c r="H145" s="23" t="str">
        <x:f>IF(F145&gt;=0,"positive","negative")</x:f>
        <x:v>negative</x:v>
      </x:c>
      <x:c r="I145" s="23" t="n">
        <x:v>0.11561111157059835</x:v>
      </x:c>
      <x:c r="J145" s="23" t="n">
        <x:v>-0.36549863939589006</x:v>
      </x:c>
      <x:c r="K145" s="23" t="n">
        <x:v>0.34468937875751504</x:v>
      </x:c>
      <x:c r="L145" s="24" t="n">
        <x:v>1996</x:v>
      </x:c>
      <x:c r="M145" t="str">
        <x:v>legacy_common_sample_8902245</x:v>
      </x:c>
      <x:c r="N145" s="25" t="n">
        <x:v>46210.41218387731</x:v>
      </x:c>
      <x:c r="O145" s="24" t="n">
        <x:v>8902245</x:v>
      </x:c>
      <x:c r="P145" t="str">
        <x:v>factor_report/gtja191_batch/gtja_069/ic_summary.csv</x:v>
      </x:c>
    </x:row>
    <x:row r="146">
      <x:c r="A146" s="22" t="n">
        <x:f>IF($E146="ranked",1+COUNTIFS($D$5:$D$546,$D146,$E$5:$E$546,"ranked",$F$5:$F$546,"&gt;"&amp;$F146),"")</x:f>
        <x:v>57</x:v>
      </x:c>
      <x:c r="B146" s="22" t="n">
        <x:f>IF($E146="ranked",1+COUNTIFS($D$5:$D$546,$D146,$E$5:$E$546,"ranked",$G$5:$G$546,"&gt;"&amp;$G146),"")</x:f>
        <x:v>25</x:v>
      </x:c>
      <x:c r="C146" t="str">
        <x:v>gtja_027</x:v>
      </x:c>
      <x:c r="D146" s="22" t="n">
        <x:v>5</x:v>
      </x:c>
      <x:c r="E146" t="str">
        <x:v>ranked</x:v>
      </x:c>
      <x:c r="F146" s="23" t="n">
        <x:v>-0.04258089304277106</x:v>
      </x:c>
      <x:c r="G146" s="23" t="n">
        <x:f>ABS(F146)</x:f>
        <x:v>0.04258089304277106</x:v>
      </x:c>
      <x:c r="H146" s="23" t="str">
        <x:f>IF(F146&gt;=0,"positive","negative")</x:f>
        <x:v>negative</x:v>
      </x:c>
      <x:c r="I146" s="23" t="n">
        <x:v>0.13959532134726346</x:v>
      </x:c>
      <x:c r="J146" s="23" t="n">
        <x:v>-0.30503094682410564</x:v>
      </x:c>
      <x:c r="K146" s="23" t="n">
        <x:v>0.3837675350701403</x:v>
      </x:c>
      <x:c r="L146" s="24" t="n">
        <x:v>1996</x:v>
      </x:c>
      <x:c r="M146" t="str">
        <x:v>legacy_common_sample_8902245</x:v>
      </x:c>
      <x:c r="N146" s="25" t="n">
        <x:v>46210.22519262732</x:v>
      </x:c>
      <x:c r="O146" s="24" t="n">
        <x:v>8902245</x:v>
      </x:c>
      <x:c r="P146" t="str">
        <x:v>factor_report/gtja191_batch/gtja_027/ic_summary.csv</x:v>
      </x:c>
    </x:row>
    <x:row r="147">
      <x:c r="A147" s="22" t="n">
        <x:f>IF($E147="ranked",1+COUNTIFS($D$5:$D$546,$D147,$E$5:$E$546,"ranked",$F$5:$F$546,"&gt;"&amp;$F147),"")</x:f>
        <x:v>58</x:v>
      </x:c>
      <x:c r="B147" s="22" t="n">
        <x:f>IF($E147="ranked",1+COUNTIFS($D$5:$D$546,$D147,$E$5:$E$546,"ranked",$G$5:$G$546,"&gt;"&amp;$G147),"")</x:f>
        <x:v>24</x:v>
      </x:c>
      <x:c r="C147" t="str">
        <x:v>gtja_116</x:v>
      </x:c>
      <x:c r="D147" s="22" t="n">
        <x:v>5</x:v>
      </x:c>
      <x:c r="E147" t="str">
        <x:v>ranked</x:v>
      </x:c>
      <x:c r="F147" s="23" t="n">
        <x:v>-0.04277419174351928</x:v>
      </x:c>
      <x:c r="G147" s="23" t="n">
        <x:f>ABS(F147)</x:f>
        <x:v>0.04277419174351928</x:v>
      </x:c>
      <x:c r="H147" s="23" t="str">
        <x:f>IF(F147&gt;=0,"positive","negative")</x:f>
        <x:v>negative</x:v>
      </x:c>
      <x:c r="I147" s="23" t="n">
        <x:v>0.13411963971571836</x:v>
      </x:c>
      <x:c r="J147" s="23" t="n">
        <x:v>-0.3189256385879352</x:v>
      </x:c>
      <x:c r="K147" s="23" t="n">
        <x:v>0.36773547094188375</x:v>
      </x:c>
      <x:c r="L147" s="24" t="n">
        <x:v>1996</x:v>
      </x:c>
      <x:c r="M147" t="str">
        <x:v>legacy_common_sample_8902245</x:v>
      </x:c>
      <x:c r="N147" s="25" t="n">
        <x:v>46210.64638673611</x:v>
      </x:c>
      <x:c r="O147" s="24" t="n">
        <x:v>8902245</x:v>
      </x:c>
      <x:c r="P147" t="str">
        <x:v>factor_report/gtja191_batch/gtja_116/ic_summary.csv</x:v>
      </x:c>
    </x:row>
    <x:row r="148">
      <x:c r="A148" s="22" t="n">
        <x:f>IF($E148="ranked",1+COUNTIFS($D$5:$D$546,$D148,$E$5:$E$546,"ranked",$F$5:$F$546,"&gt;"&amp;$F148),"")</x:f>
        <x:v>59</x:v>
      </x:c>
      <x:c r="B148" s="22" t="n">
        <x:f>IF($E148="ranked",1+COUNTIFS($D$5:$D$546,$D148,$E$5:$E$546,"ranked",$G$5:$G$546,"&gt;"&amp;$G148),"")</x:f>
        <x:v>23</x:v>
      </x:c>
      <x:c r="C148" t="str">
        <x:v>gtja_122</x:v>
      </x:c>
      <x:c r="D148" s="22" t="n">
        <x:v>5</x:v>
      </x:c>
      <x:c r="E148" t="str">
        <x:v>ranked</x:v>
      </x:c>
      <x:c r="F148" s="23" t="n">
        <x:v>-0.0438131005715145</x:v>
      </x:c>
      <x:c r="G148" s="23" t="n">
        <x:f>ABS(F148)</x:f>
        <x:v>0.0438131005715145</x:v>
      </x:c>
      <x:c r="H148" s="23" t="str">
        <x:f>IF(F148&gt;=0,"positive","negative")</x:f>
        <x:v>negative</x:v>
      </x:c>
      <x:c r="I148" s="23" t="n">
        <x:v>0.14336684303355327</x:v>
      </x:c>
      <x:c r="J148" s="23" t="n">
        <x:v>-0.3056013485716539</x:v>
      </x:c>
      <x:c r="K148" s="23" t="n">
        <x:v>0.3907815631262525</x:v>
      </x:c>
      <x:c r="L148" s="24" t="n">
        <x:v>1996</x:v>
      </x:c>
      <x:c r="M148" t="str">
        <x:v>legacy_common_sample_8902245</x:v>
      </x:c>
      <x:c r="N148" s="25" t="n">
        <x:v>46210.69213701389</x:v>
      </x:c>
      <x:c r="O148" s="24" t="n">
        <x:v>8902245</x:v>
      </x:c>
      <x:c r="P148" t="str">
        <x:v>factor_report/gtja191_batch/gtja_122/ic_summary.csv</x:v>
      </x:c>
    </x:row>
    <x:row r="149">
      <x:c r="A149" s="22" t="n">
        <x:f>IF($E149="ranked",1+COUNTIFS($D$5:$D$546,$D149,$E$5:$E$546,"ranked",$F$5:$F$546,"&gt;"&amp;$F149),"")</x:f>
        <x:v>60</x:v>
      </x:c>
      <x:c r="B149" s="22" t="n">
        <x:f>IF($E149="ranked",1+COUNTIFS($D$5:$D$546,$D149,$E$5:$E$546,"ranked",$G$5:$G$546,"&gt;"&amp;$G149),"")</x:f>
        <x:v>22</x:v>
      </x:c>
      <x:c r="C149" t="str">
        <x:v>gtja_135</x:v>
      </x:c>
      <x:c r="D149" s="22" t="n">
        <x:v>5</x:v>
      </x:c>
      <x:c r="E149" t="str">
        <x:v>ranked</x:v>
      </x:c>
      <x:c r="F149" s="23" t="n">
        <x:v>-0.0456536266840207</x:v>
      </x:c>
      <x:c r="G149" s="23" t="n">
        <x:f>ABS(F149)</x:f>
        <x:v>0.0456536266840207</x:v>
      </x:c>
      <x:c r="H149" s="23" t="str">
        <x:f>IF(F149&gt;=0,"positive","negative")</x:f>
        <x:v>negative</x:v>
      </x:c>
      <x:c r="I149" s="23" t="n">
        <x:v>0.1502153548533713</x:v>
      </x:c>
      <x:c r="J149" s="23" t="n">
        <x:v>-0.303921171897402</x:v>
      </x:c>
      <x:c r="K149" s="23" t="n">
        <x:v>0.39629258517034066</x:v>
      </x:c>
      <x:c r="L149" s="24" t="n">
        <x:v>1996</x:v>
      </x:c>
      <x:c r="M149" t="str">
        <x:v>legacy_common_sample_8902245</x:v>
      </x:c>
      <x:c r="N149" s="25" t="n">
        <x:v>46210.7465330787</x:v>
      </x:c>
      <x:c r="O149" s="24" t="n">
        <x:v>8902245</x:v>
      </x:c>
      <x:c r="P149" t="str">
        <x:v>factor_report/gtja191_batch/gtja_135/ic_summary.csv</x:v>
      </x:c>
    </x:row>
    <x:row r="150">
      <x:c r="A150" s="22" t="n">
        <x:f>IF($E150="ranked",1+COUNTIFS($D$5:$D$546,$D150,$E$5:$E$546,"ranked",$F$5:$F$546,"&gt;"&amp;$F150),"")</x:f>
        <x:v>61</x:v>
      </x:c>
      <x:c r="B150" s="22" t="n">
        <x:f>IF($E150="ranked",1+COUNTIFS($D$5:$D$546,$D150,$E$5:$E$546,"ranked",$G$5:$G$546,"&gt;"&amp;$G150),"")</x:f>
        <x:v>21</x:v>
      </x:c>
      <x:c r="C150" t="str">
        <x:v>gtja_052</x:v>
      </x:c>
      <x:c r="D150" s="22" t="n">
        <x:v>5</x:v>
      </x:c>
      <x:c r="E150" t="str">
        <x:v>ranked</x:v>
      </x:c>
      <x:c r="F150" s="23" t="n">
        <x:v>-0.04605223865343787</x:v>
      </x:c>
      <x:c r="G150" s="23" t="n">
        <x:f>ABS(F150)</x:f>
        <x:v>0.04605223865343787</x:v>
      </x:c>
      <x:c r="H150" s="23" t="str">
        <x:f>IF(F150&gt;=0,"positive","negative")</x:f>
        <x:v>negative</x:v>
      </x:c>
      <x:c r="I150" s="23" t="n">
        <x:v>0.1346785739853705</x:v>
      </x:c>
      <x:c r="J150" s="23" t="n">
        <x:v>-0.3419418344779943</x:v>
      </x:c>
      <x:c r="K150" s="23" t="n">
        <x:v>0.37324649298597196</x:v>
      </x:c>
      <x:c r="L150" s="24" t="n">
        <x:v>1996</x:v>
      </x:c>
      <x:c r="M150" t="str">
        <x:v>legacy_common_sample_8902245</x:v>
      </x:c>
      <x:c r="N150" s="25" t="n">
        <x:v>46210.3353965162</x:v>
      </x:c>
      <x:c r="O150" s="24" t="n">
        <x:v>8902245</x:v>
      </x:c>
      <x:c r="P150" t="str">
        <x:v>factor_report/gtja191_batch/gtja_052/ic_summary.csv</x:v>
      </x:c>
    </x:row>
    <x:row r="151">
      <x:c r="A151" s="22" t="n">
        <x:f>IF($E151="ranked",1+COUNTIFS($D$5:$D$546,$D151,$E$5:$E$546,"ranked",$F$5:$F$546,"&gt;"&amp;$F151),"")</x:f>
        <x:v>62</x:v>
      </x:c>
      <x:c r="B151" s="22" t="n">
        <x:f>IF($E151="ranked",1+COUNTIFS($D$5:$D$546,$D151,$E$5:$E$546,"ranked",$G$5:$G$546,"&gt;"&amp;$G151),"")</x:f>
        <x:v>20</x:v>
      </x:c>
      <x:c r="C151" t="str">
        <x:v>gtja_067</x:v>
      </x:c>
      <x:c r="D151" s="22" t="n">
        <x:v>5</x:v>
      </x:c>
      <x:c r="E151" t="str">
        <x:v>ranked</x:v>
      </x:c>
      <x:c r="F151" s="23" t="n">
        <x:v>-0.04705781725656033</x:v>
      </x:c>
      <x:c r="G151" s="23" t="n">
        <x:f>ABS(F151)</x:f>
        <x:v>0.04705781725656033</x:v>
      </x:c>
      <x:c r="H151" s="23" t="str">
        <x:f>IF(F151&gt;=0,"positive","negative")</x:f>
        <x:v>negative</x:v>
      </x:c>
      <x:c r="I151" s="23" t="n">
        <x:v>0.13790718960376744</x:v>
      </x:c>
      <x:c r="J151" s="23" t="n">
        <x:v>-0.34122816505626746</x:v>
      </x:c>
      <x:c r="K151" s="23" t="n">
        <x:v>0.36472945891783565</x:v>
      </x:c>
      <x:c r="L151" s="24" t="n">
        <x:v>1996</x:v>
      </x:c>
      <x:c r="M151" t="str">
        <x:v>legacy_common_sample_8902245</x:v>
      </x:c>
      <x:c r="N151" s="25" t="n">
        <x:v>46210.40343721065</x:v>
      </x:c>
      <x:c r="O151" s="24" t="n">
        <x:v>8902245</x:v>
      </x:c>
      <x:c r="P151" t="str">
        <x:v>factor_report/gtja191_batch/gtja_067/ic_summary.csv</x:v>
      </x:c>
    </x:row>
    <x:row r="152">
      <x:c r="A152" s="22" t="n">
        <x:f>IF($E152="ranked",1+COUNTIFS($D$5:$D$546,$D152,$E$5:$E$546,"ranked",$F$5:$F$546,"&gt;"&amp;$F152),"")</x:f>
        <x:v>63</x:v>
      </x:c>
      <x:c r="B152" s="22" t="n">
        <x:f>IF($E152="ranked",1+COUNTIFS($D$5:$D$546,$D152,$E$5:$E$546,"ranked",$G$5:$G$546,"&gt;"&amp;$G152),"")</x:f>
        <x:v>19</x:v>
      </x:c>
      <x:c r="C152" t="str">
        <x:v>gtja_055</x:v>
      </x:c>
      <x:c r="D152" s="22" t="n">
        <x:v>5</x:v>
      </x:c>
      <x:c r="E152" t="str">
        <x:v>ranked</x:v>
      </x:c>
      <x:c r="F152" s="23" t="n">
        <x:v>-0.04728572378762499</x:v>
      </x:c>
      <x:c r="G152" s="23" t="n">
        <x:f>ABS(F152)</x:f>
        <x:v>0.04728572378762499</x:v>
      </x:c>
      <x:c r="H152" s="23" t="str">
        <x:f>IF(F152&gt;=0,"positive","negative")</x:f>
        <x:v>negative</x:v>
      </x:c>
      <x:c r="I152" s="23" t="n">
        <x:v>0.13826884605174547</x:v>
      </x:c>
      <x:c r="J152" s="23" t="n">
        <x:v>-0.3419839330251506</x:v>
      </x:c>
      <x:c r="K152" s="23" t="n">
        <x:v>0.35470941883767537</x:v>
      </x:c>
      <x:c r="L152" s="24" t="n">
        <x:v>1996</x:v>
      </x:c>
      <x:c r="M152" t="str">
        <x:v>legacy_common_sample_8902245</x:v>
      </x:c>
      <x:c r="N152" s="25" t="n">
        <x:v>46210.34754746528</x:v>
      </x:c>
      <x:c r="O152" s="24" t="n">
        <x:v>8902245</x:v>
      </x:c>
      <x:c r="P152" t="str">
        <x:v>factor_report/gtja191_batch/gtja_055/ic_summary.csv</x:v>
      </x:c>
    </x:row>
    <x:row r="153">
      <x:c r="A153" s="22" t="n">
        <x:f>IF($E153="ranked",1+COUNTIFS($D$5:$D$546,$D153,$E$5:$E$546,"ranked",$F$5:$F$546,"&gt;"&amp;$F153),"")</x:f>
        <x:v>64</x:v>
      </x:c>
      <x:c r="B153" s="22" t="n">
        <x:f>IF($E153="ranked",1+COUNTIFS($D$5:$D$546,$D153,$E$5:$E$546,"ranked",$G$5:$G$546,"&gt;"&amp;$G153),"")</x:f>
        <x:v>18</x:v>
      </x:c>
      <x:c r="C153" t="str">
        <x:v>gtja_059</x:v>
      </x:c>
      <x:c r="D153" s="22" t="n">
        <x:v>5</x:v>
      </x:c>
      <x:c r="E153" t="str">
        <x:v>ranked</x:v>
      </x:c>
      <x:c r="F153" s="23" t="n">
        <x:v>-0.04765092063494312</x:v>
      </x:c>
      <x:c r="G153" s="23" t="n">
        <x:f>ABS(F153)</x:f>
        <x:v>0.04765092063494312</x:v>
      </x:c>
      <x:c r="H153" s="23" t="str">
        <x:f>IF(F153&gt;=0,"positive","negative")</x:f>
        <x:v>negative</x:v>
      </x:c>
      <x:c r="I153" s="23" t="n">
        <x:v>0.13113632070671788</x:v>
      </x:c>
      <x:c r="J153" s="23" t="n">
        <x:v>-0.3633693577655946</x:v>
      </x:c>
      <x:c r="K153" s="23" t="n">
        <x:v>0.3486973947895792</x:v>
      </x:c>
      <x:c r="L153" s="24" t="n">
        <x:v>1996</x:v>
      </x:c>
      <x:c r="M153" t="str">
        <x:v>legacy_common_sample_8902245</x:v>
      </x:c>
      <x:c r="N153" s="25" t="n">
        <x:v>46210.36786096065</x:v>
      </x:c>
      <x:c r="O153" s="24" t="n">
        <x:v>8902245</x:v>
      </x:c>
      <x:c r="P153" t="str">
        <x:v>factor_report/gtja191_batch/gtja_059/ic_summary.csv</x:v>
      </x:c>
    </x:row>
    <x:row r="154">
      <x:c r="A154" s="22" t="n">
        <x:f>IF($E154="ranked",1+COUNTIFS($D$5:$D$546,$D154,$E$5:$E$546,"ranked",$F$5:$F$546,"&gt;"&amp;$F154),"")</x:f>
        <x:v>65</x:v>
      </x:c>
      <x:c r="B154" s="22" t="n">
        <x:f>IF($E154="ranked",1+COUNTIFS($D$5:$D$546,$D154,$E$5:$E$546,"ranked",$G$5:$G$546,"&gt;"&amp;$G154),"")</x:f>
        <x:v>17</x:v>
      </x:c>
      <x:c r="C154" t="str">
        <x:v>gtja_106</x:v>
      </x:c>
      <x:c r="D154" s="22" t="n">
        <x:v>5</x:v>
      </x:c>
      <x:c r="E154" t="str">
        <x:v>ranked</x:v>
      </x:c>
      <x:c r="F154" s="23" t="n">
        <x:v>-0.04773475370395385</x:v>
      </x:c>
      <x:c r="G154" s="23" t="n">
        <x:f>ABS(F154)</x:f>
        <x:v>0.04773475370395385</x:v>
      </x:c>
      <x:c r="H154" s="23" t="str">
        <x:f>IF(F154&gt;=0,"positive","negative")</x:f>
        <x:v>negative</x:v>
      </x:c>
      <x:c r="I154" s="23" t="n">
        <x:v>0.1395649126330913</x:v>
      </x:c>
      <x:c r="J154" s="23" t="n">
        <x:v>-0.342025461868385</x:v>
      </x:c>
      <x:c r="K154" s="23" t="n">
        <x:v>0.36122244488977956</x:v>
      </x:c>
      <x:c r="L154" s="24" t="n">
        <x:v>1996</x:v>
      </x:c>
      <x:c r="M154" t="str">
        <x:v>legacy_common_sample_8902245</x:v>
      </x:c>
      <x:c r="N154" s="25" t="n">
        <x:v>46210.59962833333</x:v>
      </x:c>
      <x:c r="O154" s="24" t="n">
        <x:v>8902245</x:v>
      </x:c>
      <x:c r="P154" t="str">
        <x:v>factor_report/gtja191_batch/gtja_106/ic_summary.csv</x:v>
      </x:c>
    </x:row>
    <x:row r="155">
      <x:c r="A155" s="22" t="n">
        <x:f>IF($E155="ranked",1+COUNTIFS($D$5:$D$546,$D155,$E$5:$E$546,"ranked",$F$5:$F$546,"&gt;"&amp;$F155),"")</x:f>
        <x:v>66</x:v>
      </x:c>
      <x:c r="B155" s="22" t="n">
        <x:f>IF($E155="ranked",1+COUNTIFS($D$5:$D$546,$D155,$E$5:$E$546,"ranked",$G$5:$G$546,"&gt;"&amp;$G155),"")</x:f>
        <x:v>16</x:v>
      </x:c>
      <x:c r="C155" t="str">
        <x:v>gtja_071</x:v>
      </x:c>
      <x:c r="D155" s="22" t="n">
        <x:v>5</x:v>
      </x:c>
      <x:c r="E155" t="str">
        <x:v>ranked</x:v>
      </x:c>
      <x:c r="F155" s="23" t="n">
        <x:v>-0.04854451973527362</x:v>
      </x:c>
      <x:c r="G155" s="23" t="n">
        <x:f>ABS(F155)</x:f>
        <x:v>0.04854451973527362</x:v>
      </x:c>
      <x:c r="H155" s="23" t="str">
        <x:f>IF(F155&gt;=0,"positive","negative")</x:f>
        <x:v>negative</x:v>
      </x:c>
      <x:c r="I155" s="23" t="n">
        <x:v>0.14541380560211137</x:v>
      </x:c>
      <x:c r="J155" s="23" t="n">
        <x:v>-0.33383707643346877</x:v>
      </x:c>
      <x:c r="K155" s="23" t="n">
        <x:v>0.36422845691382766</x:v>
      </x:c>
      <x:c r="L155" s="24" t="n">
        <x:v>1996</x:v>
      </x:c>
      <x:c r="M155" t="str">
        <x:v>legacy_common_sample_8902245</x:v>
      </x:c>
      <x:c r="N155" s="25" t="n">
        <x:v>46210.420358854164</x:v>
      </x:c>
      <x:c r="O155" s="24" t="n">
        <x:v>8902245</x:v>
      </x:c>
      <x:c r="P155" t="str">
        <x:v>factor_report/gtja191_batch/gtja_071/ic_summary.csv</x:v>
      </x:c>
    </x:row>
    <x:row r="156">
      <x:c r="A156" s="22" t="n">
        <x:f>IF($E156="ranked",1+COUNTIFS($D$5:$D$546,$D156,$E$5:$E$546,"ranked",$F$5:$F$546,"&gt;"&amp;$F156),"")</x:f>
        <x:v>67</x:v>
      </x:c>
      <x:c r="B156" s="22" t="n">
        <x:f>IF($E156="ranked",1+COUNTIFS($D$5:$D$546,$D156,$E$5:$E$546,"ranked",$G$5:$G$546,"&gt;"&amp;$G156),"")</x:f>
        <x:v>15</x:v>
      </x:c>
      <x:c r="C156" t="str">
        <x:v>gtja_100</x:v>
      </x:c>
      <x:c r="D156" s="22" t="n">
        <x:v>5</x:v>
      </x:c>
      <x:c r="E156" t="str">
        <x:v>ranked</x:v>
      </x:c>
      <x:c r="F156" s="23" t="n">
        <x:v>-0.04902324119801506</x:v>
      </x:c>
      <x:c r="G156" s="23" t="n">
        <x:f>ABS(F156)</x:f>
        <x:v>0.04902324119801506</x:v>
      </x:c>
      <x:c r="H156" s="23" t="str">
        <x:f>IF(F156&gt;=0,"positive","negative")</x:f>
        <x:v>negative</x:v>
      </x:c>
      <x:c r="I156" s="23" t="n">
        <x:v>0.11593442760293625</x:v>
      </x:c>
      <x:c r="J156" s="23" t="n">
        <x:v>-0.42285317840111075</x:v>
      </x:c>
      <x:c r="K156" s="23" t="n">
        <x:v>0.32615230460921846</x:v>
      </x:c>
      <x:c r="L156" s="24" t="n">
        <x:v>1996</x:v>
      </x:c>
      <x:c r="M156" t="str">
        <x:v>legacy_common_sample_8902245</x:v>
      </x:c>
      <x:c r="N156" s="25" t="n">
        <x:v>46210.57471123843</x:v>
      </x:c>
      <x:c r="O156" s="24" t="n">
        <x:v>8902245</x:v>
      </x:c>
      <x:c r="P156" t="str">
        <x:v>factor_report/gtja191_batch/gtja_100/ic_summary.csv</x:v>
      </x:c>
    </x:row>
    <x:row r="157">
      <x:c r="A157" s="22" t="n">
        <x:f>IF($E157="ranked",1+COUNTIFS($D$5:$D$546,$D157,$E$5:$E$546,"ranked",$F$5:$F$546,"&gt;"&amp;$F157),"")</x:f>
        <x:v>68</x:v>
      </x:c>
      <x:c r="B157" s="22" t="n">
        <x:f>IF($E157="ranked",1+COUNTIFS($D$5:$D$546,$D157,$E$5:$E$546,"ranked",$G$5:$G$546,"&gt;"&amp;$G157),"")</x:f>
        <x:v>14</x:v>
      </x:c>
      <x:c r="C157" t="str">
        <x:v>gtja_118</x:v>
      </x:c>
      <x:c r="D157" s="22" t="n">
        <x:v>5</x:v>
      </x:c>
      <x:c r="E157" t="str">
        <x:v>ranked</x:v>
      </x:c>
      <x:c r="F157" s="23" t="n">
        <x:v>-0.04965633935073342</x:v>
      </x:c>
      <x:c r="G157" s="23" t="n">
        <x:f>ABS(F157)</x:f>
        <x:v>0.04965633935073342</x:v>
      </x:c>
      <x:c r="H157" s="23" t="str">
        <x:f>IF(F157&gt;=0,"positive","negative")</x:f>
        <x:v>negative</x:v>
      </x:c>
      <x:c r="I157" s="23" t="n">
        <x:v>0.11379580319430964</x:v>
      </x:c>
      <x:c r="J157" s="23" t="n">
        <x:v>-0.43636353852122106</x:v>
      </x:c>
      <x:c r="K157" s="23" t="n">
        <x:v>0.3191382765531062</x:v>
      </x:c>
      <x:c r="L157" s="24" t="n">
        <x:v>1996</x:v>
      </x:c>
      <x:c r="M157" t="str">
        <x:v>legacy_common_sample_8902245</x:v>
      </x:c>
      <x:c r="N157" s="25" t="n">
        <x:v>46210.66222452546</x:v>
      </x:c>
      <x:c r="O157" s="24" t="n">
        <x:v>8902245</x:v>
      </x:c>
      <x:c r="P157" t="str">
        <x:v>factor_report/gtja191_batch/gtja_118/ic_summary.csv</x:v>
      </x:c>
    </x:row>
    <x:row r="158">
      <x:c r="A158" s="22" t="n">
        <x:f>IF($E158="ranked",1+COUNTIFS($D$5:$D$546,$D158,$E$5:$E$546,"ranked",$F$5:$F$546,"&gt;"&amp;$F158),"")</x:f>
        <x:v>69</x:v>
      </x:c>
      <x:c r="B158" s="22" t="n">
        <x:f>IF($E158="ranked",1+COUNTIFS($D$5:$D$546,$D158,$E$5:$E$546,"ranked",$G$5:$G$546,"&gt;"&amp;$G158),"")</x:f>
        <x:v>13</x:v>
      </x:c>
      <x:c r="C158" t="str">
        <x:v>gtja_088</x:v>
      </x:c>
      <x:c r="D158" s="22" t="n">
        <x:v>5</x:v>
      </x:c>
      <x:c r="E158" t="str">
        <x:v>ranked</x:v>
      </x:c>
      <x:c r="F158" s="23" t="n">
        <x:v>-0.05050240146215423</x:v>
      </x:c>
      <x:c r="G158" s="23" t="n">
        <x:f>ABS(F158)</x:f>
        <x:v>0.05050240146215423</x:v>
      </x:c>
      <x:c r="H158" s="23" t="str">
        <x:f>IF(F158&gt;=0,"positive","negative")</x:f>
        <x:v>negative</x:v>
      </x:c>
      <x:c r="I158" s="23" t="n">
        <x:v>0.14482287381422465</x:v>
      </x:c>
      <x:c r="J158" s="23" t="n">
        <x:v>-0.3487184042966687</x:v>
      </x:c>
      <x:c r="K158" s="23" t="n">
        <x:v>0.3627254509018036</x:v>
      </x:c>
      <x:c r="L158" s="24" t="n">
        <x:v>1996</x:v>
      </x:c>
      <x:c r="M158" t="str">
        <x:v>legacy_common_sample_8902245</x:v>
      </x:c>
      <x:c r="N158" s="25" t="n">
        <x:v>46210.51801505787</x:v>
      </x:c>
      <x:c r="O158" s="24" t="n">
        <x:v>8902245</x:v>
      </x:c>
      <x:c r="P158" t="str">
        <x:v>factor_report/gtja191_batch/gtja_088/ic_summary.csv</x:v>
      </x:c>
    </x:row>
    <x:row r="159">
      <x:c r="A159" s="22" t="n">
        <x:f>IF($E159="ranked",1+COUNTIFS($D$5:$D$546,$D159,$E$5:$E$546,"ranked",$F$5:$F$546,"&gt;"&amp;$F159),"")</x:f>
        <x:v>70</x:v>
      </x:c>
      <x:c r="B159" s="22" t="n">
        <x:f>IF($E159="ranked",1+COUNTIFS($D$5:$D$546,$D159,$E$5:$E$546,"ranked",$G$5:$G$546,"&gt;"&amp;$G159),"")</x:f>
        <x:v>12</x:v>
      </x:c>
      <x:c r="C159" t="str">
        <x:v>gtja_189</x:v>
      </x:c>
      <x:c r="D159" s="22" t="n">
        <x:v>5</x:v>
      </x:c>
      <x:c r="E159" t="str">
        <x:v>ranked</x:v>
      </x:c>
      <x:c r="F159" s="23" t="n">
        <x:v>-0.0510339383526854</x:v>
      </x:c>
      <x:c r="G159" s="23" t="n">
        <x:f>ABS(F159)</x:f>
        <x:v>0.0510339383526854</x:v>
      </x:c>
      <x:c r="H159" s="23" t="str">
        <x:f>IF(F159&gt;=0,"positive","negative")</x:f>
        <x:v>negative</x:v>
      </x:c>
      <x:c r="I159" s="23" t="n">
        <x:v>0.17935051995957327</x:v>
      </x:c>
      <x:c r="J159" s="23" t="n">
        <x:v>-0.2845485943625297</x:v>
      </x:c>
      <x:c r="K159" s="23" t="n">
        <x:v>0.406312625250501</x:v>
      </x:c>
      <x:c r="L159" s="24" t="n">
        <x:v>1996</x:v>
      </x:c>
      <x:c r="M159" t="str">
        <x:v>legacy_common_sample_8902245</x:v>
      </x:c>
      <x:c r="N159" s="25" t="n">
        <x:v>46210.9753753125</x:v>
      </x:c>
      <x:c r="O159" s="24" t="n">
        <x:v>8902245</x:v>
      </x:c>
      <x:c r="P159" t="str">
        <x:v>factor_report/gtja191_batch/gtja_189/ic_summary.csv</x:v>
      </x:c>
    </x:row>
    <x:row r="160">
      <x:c r="A160" s="22" t="n">
        <x:f>IF($E160="ranked",1+COUNTIFS($D$5:$D$546,$D160,$E$5:$E$546,"ranked",$F$5:$F$546,"&gt;"&amp;$F160),"")</x:f>
        <x:v>71</x:v>
      </x:c>
      <x:c r="B160" s="22" t="n">
        <x:f>IF($E160="ranked",1+COUNTIFS($D$5:$D$546,$D160,$E$5:$E$546,"ranked",$G$5:$G$546,"&gt;"&amp;$G160),"")</x:f>
        <x:v>11</x:v>
      </x:c>
      <x:c r="C160" t="str">
        <x:v>gtja_097</x:v>
      </x:c>
      <x:c r="D160" s="22" t="n">
        <x:v>5</x:v>
      </x:c>
      <x:c r="E160" t="str">
        <x:v>ranked</x:v>
      </x:c>
      <x:c r="F160" s="23" t="n">
        <x:v>-0.05356832684070194</x:v>
      </x:c>
      <x:c r="G160" s="23" t="n">
        <x:f>ABS(F160)</x:f>
        <x:v>0.05356832684070194</x:v>
      </x:c>
      <x:c r="H160" s="23" t="str">
        <x:f>IF(F160&gt;=0,"positive","negative")</x:f>
        <x:v>negative</x:v>
      </x:c>
      <x:c r="I160" s="23" t="n">
        <x:v>0.11532928119474124</x:v>
      </x:c>
      <x:c r="J160" s="23" t="n">
        <x:v>-0.4644815807899489</x:v>
      </x:c>
      <x:c r="K160" s="23" t="n">
        <x:v>0.3046092184368738</x:v>
      </x:c>
      <x:c r="L160" s="24" t="n">
        <x:v>1996</x:v>
      </x:c>
      <x:c r="M160" t="str">
        <x:v>legacy_common_sample_8902245</x:v>
      </x:c>
      <x:c r="N160" s="25" t="n">
        <x:v>46210.56247660879</x:v>
      </x:c>
      <x:c r="O160" s="24" t="n">
        <x:v>8902245</x:v>
      </x:c>
      <x:c r="P160" t="str">
        <x:v>factor_report/gtja191_batch/gtja_097/ic_summary.csv</x:v>
      </x:c>
    </x:row>
    <x:row r="161">
      <x:c r="A161" s="22" t="n">
        <x:f>IF($E161="ranked",1+COUNTIFS($D$5:$D$546,$D161,$E$5:$E$546,"ranked",$F$5:$F$546,"&gt;"&amp;$F161),"")</x:f>
        <x:v>72</x:v>
      </x:c>
      <x:c r="B161" s="22" t="n">
        <x:f>IF($E161="ranked",1+COUNTIFS($D$5:$D$546,$D161,$E$5:$E$546,"ranked",$G$5:$G$546,"&gt;"&amp;$G161),"")</x:f>
        <x:v>10</x:v>
      </x:c>
      <x:c r="C161" t="str">
        <x:v>gtja_161</x:v>
      </x:c>
      <x:c r="D161" s="22" t="n">
        <x:v>5</x:v>
      </x:c>
      <x:c r="E161" t="str">
        <x:v>ranked</x:v>
      </x:c>
      <x:c r="F161" s="23" t="n">
        <x:v>-0.05466940533677726</x:v>
      </x:c>
      <x:c r="G161" s="23" t="n">
        <x:f>ABS(F161)</x:f>
        <x:v>0.05466940533677726</x:v>
      </x:c>
      <x:c r="H161" s="23" t="str">
        <x:f>IF(F161&gt;=0,"positive","negative")</x:f>
        <x:v>negative</x:v>
      </x:c>
      <x:c r="I161" s="23" t="n">
        <x:v>0.18794128064135981</x:v>
      </x:c>
      <x:c r="J161" s="23" t="n">
        <x:v>-0.29088556356652967</x:v>
      </x:c>
      <x:c r="K161" s="23" t="n">
        <x:v>0.4088176352705411</x:v>
      </x:c>
      <x:c r="L161" s="24" t="n">
        <x:v>1996</x:v>
      </x:c>
      <x:c r="M161" t="str">
        <x:v>legacy_common_sample_8902245</x:v>
      </x:c>
      <x:c r="N161" s="25" t="n">
        <x:v>46210.86347449074</x:v>
      </x:c>
      <x:c r="O161" s="24" t="n">
        <x:v>8902245</x:v>
      </x:c>
      <x:c r="P161" t="str">
        <x:v>factor_report/gtja191_batch/gtja_161/ic_summary.csv</x:v>
      </x:c>
    </x:row>
    <x:row r="162">
      <x:c r="A162" s="22" t="n">
        <x:f>IF($E162="ranked",1+COUNTIFS($D$5:$D$546,$D162,$E$5:$E$546,"ranked",$F$5:$F$546,"&gt;"&amp;$F162),"")</x:f>
        <x:v>73</x:v>
      </x:c>
      <x:c r="B162" s="22" t="n">
        <x:f>IF($E162="ranked",1+COUNTIFS($D$5:$D$546,$D162,$E$5:$E$546,"ranked",$G$5:$G$546,"&gt;"&amp;$G162),"")</x:f>
        <x:v>9</x:v>
      </x:c>
      <x:c r="C162" t="str">
        <x:v>gtja_175</x:v>
      </x:c>
      <x:c r="D162" s="22" t="n">
        <x:v>5</x:v>
      </x:c>
      <x:c r="E162" t="str">
        <x:v>ranked</x:v>
      </x:c>
      <x:c r="F162" s="23" t="n">
        <x:v>-0.058075668845902644</x:v>
      </x:c>
      <x:c r="G162" s="23" t="n">
        <x:f>ABS(F162)</x:f>
        <x:v>0.058075668845902644</x:v>
      </x:c>
      <x:c r="H162" s="23" t="str">
        <x:f>IF(F162&gt;=0,"positive","negative")</x:f>
        <x:v>negative</x:v>
      </x:c>
      <x:c r="I162" s="23" t="n">
        <x:v>0.18528352093487885</x:v>
      </x:c>
      <x:c r="J162" s="23" t="n">
        <x:v>-0.3134421698857631</x:v>
      </x:c>
      <x:c r="K162" s="23" t="n">
        <x:v>0.4003006012024048</x:v>
      </x:c>
      <x:c r="L162" s="24" t="n">
        <x:v>1996</x:v>
      </x:c>
      <x:c r="M162" t="str">
        <x:v>legacy_common_sample_8902245</x:v>
      </x:c>
      <x:c r="N162" s="25" t="n">
        <x:v>46210.925217731485</x:v>
      </x:c>
      <x:c r="O162" s="24" t="n">
        <x:v>8902245</x:v>
      </x:c>
      <x:c r="P162" t="str">
        <x:v>factor_report/gtja191_batch/gtja_175/ic_summary.csv</x:v>
      </x:c>
    </x:row>
    <x:row r="163">
      <x:c r="A163" s="22" t="n">
        <x:f>IF($E163="ranked",1+COUNTIFS($D$5:$D$546,$D163,$E$5:$E$546,"ranked",$F$5:$F$546,"&gt;"&amp;$F163),"")</x:f>
        <x:v>74</x:v>
      </x:c>
      <x:c r="B163" s="22" t="n">
        <x:f>IF($E163="ranked",1+COUNTIFS($D$5:$D$546,$D163,$E$5:$E$546,"ranked",$G$5:$G$546,"&gt;"&amp;$G163),"")</x:f>
        <x:v>8</x:v>
      </x:c>
      <x:c r="C163" t="str">
        <x:v>gtja_187</x:v>
      </x:c>
      <x:c r="D163" s="22" t="n">
        <x:v>5</x:v>
      </x:c>
      <x:c r="E163" t="str">
        <x:v>ranked</x:v>
      </x:c>
      <x:c r="F163" s="23" t="n">
        <x:v>-0.05934867361119837</x:v>
      </x:c>
      <x:c r="G163" s="23" t="n">
        <x:f>ABS(F163)</x:f>
        <x:v>0.05934867361119837</x:v>
      </x:c>
      <x:c r="H163" s="23" t="str">
        <x:f>IF(F163&gt;=0,"positive","negative")</x:f>
        <x:v>negative</x:v>
      </x:c>
      <x:c r="I163" s="23" t="n">
        <x:v>0.18108932960212376</x:v>
      </x:c>
      <x:c r="J163" s="23" t="n">
        <x:v>-0.3277314778380092</x:v>
      </x:c>
      <x:c r="K163" s="23" t="n">
        <x:v>0.39228456913827653</x:v>
      </x:c>
      <x:c r="L163" s="24" t="n">
        <x:v>1996</x:v>
      </x:c>
      <x:c r="M163" t="str">
        <x:v>legacy_common_sample_8902245</x:v>
      </x:c>
      <x:c r="N163" s="25" t="n">
        <x:v>46210.96675238426</x:v>
      </x:c>
      <x:c r="O163" s="24" t="n">
        <x:v>8902245</x:v>
      </x:c>
      <x:c r="P163" t="str">
        <x:v>factor_report/gtja191_batch/gtja_187/ic_summary.csv</x:v>
      </x:c>
    </x:row>
    <x:row r="164">
      <x:c r="A164" s="22" t="n">
        <x:f>IF($E164="ranked",1+COUNTIFS($D$5:$D$546,$D164,$E$5:$E$546,"ranked",$F$5:$F$546,"&gt;"&amp;$F164),"")</x:f>
        <x:v>75</x:v>
      </x:c>
      <x:c r="B164" s="22" t="n">
        <x:f>IF($E164="ranked",1+COUNTIFS($D$5:$D$546,$D164,$E$5:$E$546,"ranked",$G$5:$G$546,"&gt;"&amp;$G164),"")</x:f>
        <x:v>7</x:v>
      </x:c>
      <x:c r="C164" t="str">
        <x:v>gtja_158</x:v>
      </x:c>
      <x:c r="D164" s="22" t="n">
        <x:v>5</x:v>
      </x:c>
      <x:c r="E164" t="str">
        <x:v>ranked</x:v>
      </x:c>
      <x:c r="F164" s="23" t="n">
        <x:v>-0.0622115405429208</x:v>
      </x:c>
      <x:c r="G164" s="23" t="n">
        <x:f>ABS(F164)</x:f>
        <x:v>0.0622115405429208</x:v>
      </x:c>
      <x:c r="H164" s="23" t="str">
        <x:f>IF(F164&gt;=0,"positive","negative")</x:f>
        <x:v>negative</x:v>
      </x:c>
      <x:c r="I164" s="23" t="n">
        <x:v>0.143263592454755</x:v>
      </x:c>
      <x:c r="J164" s="23" t="n">
        <x:v>-0.4342452920309689</x:v>
      </x:c>
      <x:c r="K164" s="23" t="n">
        <x:v>0.3196392785571142</x:v>
      </x:c>
      <x:c r="L164" s="24" t="n">
        <x:v>1996</x:v>
      </x:c>
      <x:c r="M164" t="str">
        <x:v>legacy_common_sample_8902245</x:v>
      </x:c>
      <x:c r="N164" s="25" t="n">
        <x:v>46210.85092011574</x:v>
      </x:c>
      <x:c r="O164" s="24" t="n">
        <x:v>8902245</x:v>
      </x:c>
      <x:c r="P164" t="str">
        <x:v>factor_report/gtja191_batch/gtja_158/ic_summary.csv</x:v>
      </x:c>
    </x:row>
    <x:row r="165">
      <x:c r="A165" s="22" t="n">
        <x:f>IF($E165="ranked",1+COUNTIFS($D$5:$D$546,$D165,$E$5:$E$546,"ranked",$F$5:$F$546,"&gt;"&amp;$F165),"")</x:f>
        <x:v>76</x:v>
      </x:c>
      <x:c r="B165" s="22" t="n">
        <x:f>IF($E165="ranked",1+COUNTIFS($D$5:$D$546,$D165,$E$5:$E$546,"ranked",$G$5:$G$546,"&gt;"&amp;$G165),"")</x:f>
        <x:v>6</x:v>
      </x:c>
      <x:c r="C165" t="str">
        <x:v>gtja_132</x:v>
      </x:c>
      <x:c r="D165" s="22" t="n">
        <x:v>5</x:v>
      </x:c>
      <x:c r="E165" t="str">
        <x:v>ranked</x:v>
      </x:c>
      <x:c r="F165" s="23" t="n">
        <x:v>-0.06364398186868406</x:v>
      </x:c>
      <x:c r="G165" s="23" t="n">
        <x:f>ABS(F165)</x:f>
        <x:v>0.06364398186868406</x:v>
      </x:c>
      <x:c r="H165" s="23" t="str">
        <x:f>IF(F165&gt;=0,"positive","negative")</x:f>
        <x:v>negative</x:v>
      </x:c>
      <x:c r="I165" s="23" t="n">
        <x:v>0.15174736895427485</x:v>
      </x:c>
      <x:c r="J165" s="23" t="n">
        <x:v>-0.419407481706398</x:v>
      </x:c>
      <x:c r="K165" s="23" t="n">
        <x:v>0.3271543086172345</x:v>
      </x:c>
      <x:c r="L165" s="24" t="n">
        <x:v>1996</x:v>
      </x:c>
      <x:c r="M165" t="str">
        <x:v>legacy_common_sample_8902245</x:v>
      </x:c>
      <x:c r="N165" s="25" t="n">
        <x:v>46210.73378372685</x:v>
      </x:c>
      <x:c r="O165" s="24" t="n">
        <x:v>8902245</x:v>
      </x:c>
      <x:c r="P165" t="str">
        <x:v>factor_report/gtja191_batch/gtja_132/ic_summary.csv</x:v>
      </x:c>
    </x:row>
    <x:row r="166">
      <x:c r="A166" s="22" t="n">
        <x:f>IF($E166="ranked",1+COUNTIFS($D$5:$D$546,$D166,$E$5:$E$546,"ranked",$F$5:$F$546,"&gt;"&amp;$F166),"")</x:f>
        <x:v>77</x:v>
      </x:c>
      <x:c r="B166" s="22" t="n">
        <x:f>IF($E166="ranked",1+COUNTIFS($D$5:$D$546,$D166,$E$5:$E$546,"ranked",$G$5:$G$546,"&gt;"&amp;$G166),"")</x:f>
        <x:v>5</x:v>
      </x:c>
      <x:c r="C166" t="str">
        <x:v>gtja_167</x:v>
      </x:c>
      <x:c r="D166" s="22" t="n">
        <x:v>5</x:v>
      </x:c>
      <x:c r="E166" t="str">
        <x:v>ranked</x:v>
      </x:c>
      <x:c r="F166" s="23" t="n">
        <x:v>-0.06424370984943072</x:v>
      </x:c>
      <x:c r="G166" s="23" t="n">
        <x:f>ABS(F166)</x:f>
        <x:v>0.06424370984943072</x:v>
      </x:c>
      <x:c r="H166" s="23" t="str">
        <x:f>IF(F166&gt;=0,"positive","negative")</x:f>
        <x:v>negative</x:v>
      </x:c>
      <x:c r="I166" s="23" t="n">
        <x:v>0.17534525394503353</x:v>
      </x:c>
      <x:c r="J166" s="23" t="n">
        <x:v>-0.366384081713267</x:v>
      </x:c>
      <x:c r="K166" s="23" t="n">
        <x:v>0.3807615230460922</x:v>
      </x:c>
      <x:c r="L166" s="24" t="n">
        <x:v>1996</x:v>
      </x:c>
      <x:c r="M166" t="str">
        <x:v>legacy_common_sample_8902245</x:v>
      </x:c>
      <x:c r="N166" s="25" t="n">
        <x:v>46210.888780636575</x:v>
      </x:c>
      <x:c r="O166" s="24" t="n">
        <x:v>8902245</x:v>
      </x:c>
      <x:c r="P166" t="str">
        <x:v>factor_report/gtja191_batch/gtja_167/ic_summary.csv</x:v>
      </x:c>
    </x:row>
    <x:row r="167">
      <x:c r="A167" s="22" t="n">
        <x:f>IF($E167="ranked",1+COUNTIFS($D$5:$D$546,$D167,$E$5:$E$546,"ranked",$F$5:$F$546,"&gt;"&amp;$F167),"")</x:f>
        <x:v>78</x:v>
      </x:c>
      <x:c r="B167" s="22" t="n">
        <x:f>IF($E167="ranked",1+COUNTIFS($D$5:$D$546,$D167,$E$5:$E$546,"ranked",$G$5:$G$546,"&gt;"&amp;$G167),"")</x:f>
        <x:v>4</x:v>
      </x:c>
      <x:c r="C167" t="str">
        <x:v>gtja_095</x:v>
      </x:c>
      <x:c r="D167" s="22" t="n">
        <x:v>5</x:v>
      </x:c>
      <x:c r="E167" t="str">
        <x:v>ranked</x:v>
      </x:c>
      <x:c r="F167" s="23" t="n">
        <x:v>-0.07331536821708363</x:v>
      </x:c>
      <x:c r="G167" s="23" t="n">
        <x:f>ABS(F167)</x:f>
        <x:v>0.07331536821708363</x:v>
      </x:c>
      <x:c r="H167" s="23" t="str">
        <x:f>IF(F167&gt;=0,"positive","negative")</x:f>
        <x:v>negative</x:v>
      </x:c>
      <x:c r="I167" s="23" t="n">
        <x:v>0.14077378962152806</x:v>
      </x:c>
      <x:c r="J167" s="23" t="n">
        <x:v>-0.5208026892945969</x:v>
      </x:c>
      <x:c r="K167" s="23" t="n">
        <x:v>0.30060120240480964</x:v>
      </x:c>
      <x:c r="L167" s="24" t="n">
        <x:v>1996</x:v>
      </x:c>
      <x:c r="M167" t="str">
        <x:v>legacy_common_sample_8902245</x:v>
      </x:c>
      <x:c r="N167" s="25" t="n">
        <x:v>46210.552701967594</x:v>
      </x:c>
      <x:c r="O167" s="24" t="n">
        <x:v>8902245</x:v>
      </x:c>
      <x:c r="P167" t="str">
        <x:v>factor_report/gtja191_batch/gtja_095/ic_summary.csv</x:v>
      </x:c>
    </x:row>
    <x:row r="168">
      <x:c r="A168" s="22" t="n">
        <x:f>IF($E168="ranked",1+COUNTIFS($D$5:$D$546,$D168,$E$5:$E$546,"ranked",$F$5:$F$546,"&gt;"&amp;$F168),"")</x:f>
        <x:v>79</x:v>
      </x:c>
      <x:c r="B168" s="22" t="n">
        <x:f>IF($E168="ranked",1+COUNTIFS($D$5:$D$546,$D168,$E$5:$E$546,"ranked",$G$5:$G$546,"&gt;"&amp;$G168),"")</x:f>
        <x:v>3</x:v>
      </x:c>
      <x:c r="C168" t="str">
        <x:v>gtja_159</x:v>
      </x:c>
      <x:c r="D168" s="22" t="n">
        <x:v>5</x:v>
      </x:c>
      <x:c r="E168" t="str">
        <x:v>ranked</x:v>
      </x:c>
      <x:c r="F168" s="23" t="n">
        <x:v>-0.07569628027837899</x:v>
      </x:c>
      <x:c r="G168" s="23" t="n">
        <x:f>ABS(F168)</x:f>
        <x:v>0.07569628027837899</x:v>
      </x:c>
      <x:c r="H168" s="23" t="str">
        <x:f>IF(F168&gt;=0,"positive","negative")</x:f>
        <x:v>negative</x:v>
      </x:c>
      <x:c r="I168" s="23" t="n">
        <x:v>0.17996308082224172</x:v>
      </x:c>
      <x:c r="J168" s="23" t="n">
        <x:v>-0.42062116258805266</x:v>
      </x:c>
      <x:c r="K168" s="23" t="n">
        <x:v>0.33216432865731466</x:v>
      </x:c>
      <x:c r="L168" s="24" t="n">
        <x:v>1996</x:v>
      </x:c>
      <x:c r="M168" t="str">
        <x:v>legacy_common_sample_8902245</x:v>
      </x:c>
      <x:c r="N168" s="25" t="n">
        <x:v>46210.85484907407</x:v>
      </x:c>
      <x:c r="O168" s="24" t="n">
        <x:v>8902245</x:v>
      </x:c>
      <x:c r="P168" t="str">
        <x:v>factor_report/gtja191_batch/gtja_159/ic_summary.csv</x:v>
      </x:c>
    </x:row>
    <x:row r="169">
      <x:c r="A169" s="22" t="n">
        <x:f>IF($E169="ranked",1+COUNTIFS($D$5:$D$546,$D169,$E$5:$E$546,"ranked",$F$5:$F$546,"&gt;"&amp;$F169),"")</x:f>
        <x:v>80</x:v>
      </x:c>
      <x:c r="B169" s="22" t="n">
        <x:f>IF($E169="ranked",1+COUNTIFS($D$5:$D$546,$D169,$E$5:$E$546,"ranked",$G$5:$G$546,"&gt;"&amp;$G169),"")</x:f>
        <x:v>2</x:v>
      </x:c>
      <x:c r="C169" t="str">
        <x:v>gtja_150</x:v>
      </x:c>
      <x:c r="D169" s="22" t="n">
        <x:v>5</x:v>
      </x:c>
      <x:c r="E169" t="str">
        <x:v>ranked</x:v>
      </x:c>
      <x:c r="F169" s="23" t="n">
        <x:v>-0.07784400675240061</x:v>
      </x:c>
      <x:c r="G169" s="23" t="n">
        <x:f>ABS(F169)</x:f>
        <x:v>0.07784400675240061</x:v>
      </x:c>
      <x:c r="H169" s="23" t="str">
        <x:f>IF(F169&gt;=0,"positive","negative")</x:f>
        <x:v>negative</x:v>
      </x:c>
      <x:c r="I169" s="23" t="n">
        <x:v>0.14107292814260597</x:v>
      </x:c>
      <x:c r="J169" s="23" t="n">
        <x:v>-0.551799751924839</x:v>
      </x:c>
      <x:c r="K169" s="23" t="n">
        <x:v>0.28406813627254507</x:v>
      </x:c>
      <x:c r="L169" s="24" t="n">
        <x:v>1996</x:v>
      </x:c>
      <x:c r="M169" t="str">
        <x:v>legacy_common_sample_8902245</x:v>
      </x:c>
      <x:c r="N169" s="25" t="n">
        <x:v>46210.81356047454</x:v>
      </x:c>
      <x:c r="O169" s="24" t="n">
        <x:v>8902245</x:v>
      </x:c>
      <x:c r="P169" t="str">
        <x:v>factor_report/gtja191_batch/gtja_150/ic_summary.csv</x:v>
      </x:c>
    </x:row>
    <x:row r="170">
      <x:c r="A170" s="22" t="n">
        <x:f>IF($E170="ranked",1+COUNTIFS($D$5:$D$546,$D170,$E$5:$E$546,"ranked",$F$5:$F$546,"&gt;"&amp;$F170),"")</x:f>
        <x:v>81</x:v>
      </x:c>
      <x:c r="B170" s="22" t="n">
        <x:f>IF($E170="ranked",1+COUNTIFS($D$5:$D$546,$D170,$E$5:$E$546,"ranked",$G$5:$G$546,"&gt;"&amp;$G170),"")</x:f>
        <x:v>1</x:v>
      </x:c>
      <x:c r="C170" t="str">
        <x:v>gtja_070</x:v>
      </x:c>
      <x:c r="D170" s="22" t="n">
        <x:v>5</x:v>
      </x:c>
      <x:c r="E170" t="str">
        <x:v>ranked</x:v>
      </x:c>
      <x:c r="F170" s="23" t="n">
        <x:v>-0.07833974128786508</x:v>
      </x:c>
      <x:c r="G170" s="23" t="n">
        <x:f>ABS(F170)</x:f>
        <x:v>0.07833974128786508</x:v>
      </x:c>
      <x:c r="H170" s="23" t="str">
        <x:f>IF(F170&gt;=0,"positive","negative")</x:f>
        <x:v>negative</x:v>
      </x:c>
      <x:c r="I170" s="23" t="n">
        <x:v>0.13805810019006223</x:v>
      </x:c>
      <x:c r="J170" s="23" t="n">
        <x:v>-0.5674403832880222</x:v>
      </x:c>
      <x:c r="K170" s="23" t="n">
        <x:v>0.28106212424849697</x:v>
      </x:c>
      <x:c r="L170" s="24" t="n">
        <x:v>1996</x:v>
      </x:c>
      <x:c r="M170" t="str">
        <x:v>legacy_common_sample_8902245</x:v>
      </x:c>
      <x:c r="N170" s="25" t="n">
        <x:v>46210.41622457176</x:v>
      </x:c>
      <x:c r="O170" s="24" t="n">
        <x:v>8902245</x:v>
      </x:c>
      <x:c r="P170" t="str">
        <x:v>factor_report/gtja191_batch/gtja_070/ic_summary.csv</x:v>
      </x:c>
    </x:row>
    <x:row r="171">
      <x:c r="A171" s="22" t="str">
        <x:f>IF($E171="ranked",1+COUNTIFS($D$5:$D$546,$D171,$E$5:$E$546,"ranked",$F$5:$F$546,"&gt;"&amp;$F171),"")</x:f>
      </x:c>
      <x:c r="B171" s="22" t="str">
        <x:f>IF($E171="ranked",1+COUNTIFS($D$5:$D$546,$D171,$E$5:$E$546,"ranked",$G$5:$G$546,"&gt;"&amp;$G171),"")</x:f>
      </x:c>
      <x:c r="C171" t="str">
        <x:v>gtja_005</x:v>
      </x:c>
      <x:c r="D171" s="22" t="n">
        <x:v>5</x:v>
      </x:c>
      <x:c r="E171" t="str">
        <x:v>not comparable</x:v>
      </x:c>
      <x:c r="F171" s="23" t="n">
        <x:v>0.034656028635606344</x:v>
      </x:c>
      <x:c r="G171" s="23" t="n">
        <x:f>ABS(F171)</x:f>
        <x:v>0.034656028635606344</x:v>
      </x:c>
      <x:c r="H171" s="23" t="str">
        <x:f>IF(F171&gt;=0,"positive","negative")</x:f>
        <x:v>positive</x:v>
      </x:c>
      <x:c r="I171" s="23" t="n">
        <x:v>0.06961369820287608</x:v>
      </x:c>
      <x:c r="J171" s="23" t="n">
        <x:v>0.49783346568670783</x:v>
      </x:c>
      <x:c r="K171" s="23" t="n">
        <x:v>0.7002022244691608</x:v>
      </x:c>
      <x:c r="L171" s="24" t="n">
        <x:v>3956</x:v>
      </x:c>
      <x:c r="M171" t="str">
        <x:v>latest_context_sample_13231952</x:v>
      </x:c>
      <x:c r="N171" s="25" t="n">
        <x:v>46230.276212083336</x:v>
      </x:c>
      <x:c r="O171" s="24" t="n">
        <x:v>13231952</x:v>
      </x:c>
      <x:c r="P171" t="str">
        <x:v>factor_report/gtja191_batch/gtja_005/ic_summary.csv</x:v>
      </x:c>
    </x:row>
    <x:row r="172">
      <x:c r="A172" s="22" t="str">
        <x:f>IF($E172="ranked",1+COUNTIFS($D$5:$D$546,$D172,$E$5:$E$546,"ranked",$F$5:$F$546,"&gt;"&amp;$F172),"")</x:f>
      </x:c>
      <x:c r="B172" s="22" t="str">
        <x:f>IF($E172="ranked",1+COUNTIFS($D$5:$D$546,$D172,$E$5:$E$546,"ranked",$G$5:$G$546,"&gt;"&amp;$G172),"")</x:f>
      </x:c>
      <x:c r="C172" t="str">
        <x:v>gtja_012</x:v>
      </x:c>
      <x:c r="D172" s="22" t="n">
        <x:v>5</x:v>
      </x:c>
      <x:c r="E172" t="str">
        <x:v>not comparable</x:v>
      </x:c>
      <x:c r="F172" s="23" t="n">
        <x:v>0.030794620141745433</x:v>
      </x:c>
      <x:c r="G172" s="23" t="n">
        <x:f>ABS(F172)</x:f>
        <x:v>0.030794620141745433</x:v>
      </x:c>
      <x:c r="H172" s="23" t="str">
        <x:f>IF(F172&gt;=0,"positive","negative")</x:f>
        <x:v>positive</x:v>
      </x:c>
      <x:c r="I172" s="23" t="n">
        <x:v>0.10657495608696659</x:v>
      </x:c>
      <x:c r="J172" s="23" t="n">
        <x:v>0.28894799746965516</x:v>
      </x:c>
      <x:c r="K172" s="23" t="n">
        <x:v>0.6233569261880687</x:v>
      </x:c>
      <x:c r="L172" s="24" t="n">
        <x:v>3956</x:v>
      </x:c>
      <x:c r="M172" t="str">
        <x:v>latest_context_sample_13231952</x:v>
      </x:c>
      <x:c r="N172" s="25" t="n">
        <x:v>46230.30990840278</x:v>
      </x:c>
      <x:c r="O172" s="24" t="n">
        <x:v>13231952</x:v>
      </x:c>
      <x:c r="P172" t="str">
        <x:v>factor_report/gtja191_batch/gtja_012/ic_summary.csv</x:v>
      </x:c>
    </x:row>
    <x:row r="173">
      <x:c r="A173" s="22" t="str">
        <x:f>IF($E173="ranked",1+COUNTIFS($D$5:$D$546,$D173,$E$5:$E$546,"ranked",$F$5:$F$546,"&gt;"&amp;$F173),"")</x:f>
      </x:c>
      <x:c r="B173" s="22" t="str">
        <x:f>IF($E173="ranked",1+COUNTIFS($D$5:$D$546,$D173,$E$5:$E$546,"ranked",$G$5:$G$546,"&gt;"&amp;$G173),"")</x:f>
      </x:c>
      <x:c r="C173" t="str">
        <x:v>gtja_007</x:v>
      </x:c>
      <x:c r="D173" s="22" t="n">
        <x:v>5</x:v>
      </x:c>
      <x:c r="E173" t="str">
        <x:v>not comparable</x:v>
      </x:c>
      <x:c r="F173" s="23" t="n">
        <x:v>0.018668235177516715</x:v>
      </x:c>
      <x:c r="G173" s="23" t="n">
        <x:f>ABS(F173)</x:f>
        <x:v>0.018668235177516715</x:v>
      </x:c>
      <x:c r="H173" s="23" t="str">
        <x:f>IF(F173&gt;=0,"positive","negative")</x:f>
        <x:v>positive</x:v>
      </x:c>
      <x:c r="I173" s="23" t="n">
        <x:v>0.0786975329680383</x:v>
      </x:c>
      <x:c r="J173" s="23" t="n">
        <x:v>0.23721499865946888</x:v>
      </x:c>
      <x:c r="K173" s="23" t="n">
        <x:v>0.5950455005055612</x:v>
      </x:c>
      <x:c r="L173" s="24" t="n">
        <x:v>3956</x:v>
      </x:c>
      <x:c r="M173" t="str">
        <x:v>latest_context_sample_13231952</x:v>
      </x:c>
      <x:c r="N173" s="25" t="n">
        <x:v>46230.29278930555</x:v>
      </x:c>
      <x:c r="O173" s="24" t="n">
        <x:v>13231952</x:v>
      </x:c>
      <x:c r="P173" t="str">
        <x:v>factor_report/gtja191_batch/gtja_007/ic_summary.csv</x:v>
      </x:c>
    </x:row>
    <x:row r="174">
      <x:c r="A174" s="22" t="str">
        <x:f>IF($E174="ranked",1+COUNTIFS($D$5:$D$546,$D174,$E$5:$E$546,"ranked",$F$5:$F$546,"&gt;"&amp;$F174),"")</x:f>
      </x:c>
      <x:c r="B174" s="22" t="str">
        <x:f>IF($E174="ranked",1+COUNTIFS($D$5:$D$546,$D174,$E$5:$E$546,"ranked",$G$5:$G$546,"&gt;"&amp;$G174),"")</x:f>
      </x:c>
      <x:c r="C174" t="str">
        <x:v>gtja_015</x:v>
      </x:c>
      <x:c r="D174" s="22" t="n">
        <x:v>5</x:v>
      </x:c>
      <x:c r="E174" t="str">
        <x:v>not comparable</x:v>
      </x:c>
      <x:c r="F174" s="23" t="n">
        <x:v>0.013217935937819593</x:v>
      </x:c>
      <x:c r="G174" s="23" t="n">
        <x:f>ABS(F174)</x:f>
        <x:v>0.013217935937819593</x:v>
      </x:c>
      <x:c r="H174" s="23" t="str">
        <x:f>IF(F174&gt;=0,"positive","negative")</x:f>
        <x:v>positive</x:v>
      </x:c>
      <x:c r="I174" s="23" t="n">
        <x:v>0.0682196903496258</x:v>
      </x:c>
      <x:c r="J174" s="23" t="n">
        <x:v>0.19375543732429293</x:v>
      </x:c>
      <x:c r="K174" s="23" t="n">
        <x:v>0.6076845298281092</x:v>
      </x:c>
      <x:c r="L174" s="24" t="n">
        <x:v>3956</x:v>
      </x:c>
      <x:c r="M174" t="str">
        <x:v>latest_context_sample_13231952</x:v>
      </x:c>
      <x:c r="N174" s="25" t="n">
        <x:v>46230.32700612269</x:v>
      </x:c>
      <x:c r="O174" s="24" t="n">
        <x:v>13231952</x:v>
      </x:c>
      <x:c r="P174" t="str">
        <x:v>factor_report/gtja191_batch/gtja_015/ic_summary.csv</x:v>
      </x:c>
    </x:row>
    <x:row r="175">
      <x:c r="A175" s="22" t="n">
        <x:f>IF($E175="ranked",1+COUNTIFS($D$5:$D$546,$D175,$E$5:$E$546,"ranked",$F$5:$F$546,"&gt;"&amp;$F175),"")</x:f>
        <x:v>1</x:v>
      </x:c>
      <x:c r="B175" s="22" t="n">
        <x:f>IF($E175="ranked",1+COUNTIFS($D$5:$D$546,$D175,$E$5:$E$546,"ranked",$G$5:$G$546,"&gt;"&amp;$G175),"")</x:f>
        <x:v>6</x:v>
      </x:c>
      <x:c r="C175" t="str">
        <x:v>gtja_042</x:v>
      </x:c>
      <x:c r="D175" s="22" t="n">
        <x:v>10</x:v>
      </x:c>
      <x:c r="E175" t="str">
        <x:v>ranked</x:v>
      </x:c>
      <x:c r="F175" s="23" t="n">
        <x:v>0.07709133095133304</x:v>
      </x:c>
      <x:c r="G175" s="23" t="n">
        <x:f>ABS(F175)</x:f>
        <x:v>0.07709133095133304</x:v>
      </x:c>
      <x:c r="H175" s="23" t="str">
        <x:f>IF(F175&gt;=0,"positive","negative")</x:f>
        <x:v>positive</x:v>
      </x:c>
      <x:c r="I175" s="23" t="n">
        <x:v>0.12015691389450874</x:v>
      </x:c>
      <x:c r="J175" s="23" t="n">
        <x:v>0.6415888062755595</x:v>
      </x:c>
      <x:c r="K175" s="23" t="n">
        <x:v>0.7363134103465595</x:v>
      </x:c>
      <x:c r="L175" s="24" t="n">
        <x:v>1991</x:v>
      </x:c>
      <x:c r="M175" t="str">
        <x:v>legacy_common_sample_8902245</x:v>
      </x:c>
      <x:c r="N175" s="25" t="n">
        <x:v>46211.25270762732</x:v>
      </x:c>
      <x:c r="O175" s="24" t="n">
        <x:v>8902245</x:v>
      </x:c>
      <x:c r="P175" t="str">
        <x:v>factor_report/gtja191_batch/gtja_042/ic_summary.csv</x:v>
      </x:c>
    </x:row>
    <x:row r="176">
      <x:c r="A176" s="22" t="n">
        <x:f>IF($E176="ranked",1+COUNTIFS($D$5:$D$546,$D176,$E$5:$E$546,"ranked",$F$5:$F$546,"&gt;"&amp;$F176),"")</x:f>
        <x:v>2</x:v>
      </x:c>
      <x:c r="B176" s="22" t="n">
        <x:f>IF($E176="ranked",1+COUNTIFS($D$5:$D$546,$D176,$E$5:$E$546,"ranked",$G$5:$G$546,"&gt;"&amp;$G176),"")</x:f>
        <x:v>12</x:v>
      </x:c>
      <x:c r="C176" t="str">
        <x:v>gtja_041</x:v>
      </x:c>
      <x:c r="D176" s="22" t="n">
        <x:v>10</x:v>
      </x:c>
      <x:c r="E176" t="str">
        <x:v>ranked</x:v>
      </x:c>
      <x:c r="F176" s="23" t="n">
        <x:v>0.06323420874741587</x:v>
      </x:c>
      <x:c r="G176" s="23" t="n">
        <x:f>ABS(F176)</x:f>
        <x:v>0.06323420874741587</x:v>
      </x:c>
      <x:c r="H176" s="23" t="str">
        <x:f>IF(F176&gt;=0,"positive","negative")</x:f>
        <x:v>positive</x:v>
      </x:c>
      <x:c r="I176" s="23" t="n">
        <x:v>0.13706596470219592</x:v>
      </x:c>
      <x:c r="J176" s="23" t="n">
        <x:v>0.4613414342853474</x:v>
      </x:c>
      <x:c r="K176" s="23" t="n">
        <x:v>0.676544450025113</x:v>
      </x:c>
      <x:c r="L176" s="24" t="n">
        <x:v>1991</x:v>
      </x:c>
      <x:c r="M176" t="str">
        <x:v>legacy_common_sample_8902245</x:v>
      </x:c>
      <x:c r="N176" s="25" t="n">
        <x:v>46211.24883207176</x:v>
      </x:c>
      <x:c r="O176" s="24" t="n">
        <x:v>8902245</x:v>
      </x:c>
      <x:c r="P176" t="str">
        <x:v>factor_report/gtja191_batch/gtja_041/ic_summary.csv</x:v>
      </x:c>
    </x:row>
    <x:row r="177">
      <x:c r="A177" s="22" t="n">
        <x:f>IF($E177="ranked",1+COUNTIFS($D$5:$D$546,$D177,$E$5:$E$546,"ranked",$F$5:$F$546,"&gt;"&amp;$F177),"")</x:f>
        <x:v>3</x:v>
      </x:c>
      <x:c r="B177" s="22" t="n">
        <x:f>IF($E177="ranked",1+COUNTIFS($D$5:$D$546,$D177,$E$5:$E$546,"ranked",$G$5:$G$546,"&gt;"&amp;$G177),"")</x:f>
        <x:v>15</x:v>
      </x:c>
      <x:c r="C177" t="str">
        <x:v>gtja_164</x:v>
      </x:c>
      <x:c r="D177" s="22" t="n">
        <x:v>10</x:v>
      </x:c>
      <x:c r="E177" t="str">
        <x:v>ranked</x:v>
      </x:c>
      <x:c r="F177" s="23" t="n">
        <x:v>0.05937842965949153</x:v>
      </x:c>
      <x:c r="G177" s="23" t="n">
        <x:f>ABS(F177)</x:f>
        <x:v>0.05937842965949153</x:v>
      </x:c>
      <x:c r="H177" s="23" t="str">
        <x:f>IF(F177&gt;=0,"positive","negative")</x:f>
        <x:v>positive</x:v>
      </x:c>
      <x:c r="I177" s="23" t="n">
        <x:v>0.18339244463409524</x:v>
      </x:c>
      <x:c r="J177" s="23" t="n">
        <x:v>0.32377794940224186</x:v>
      </x:c>
      <x:c r="K177" s="23" t="n">
        <x:v>0.6027122049221497</x:v>
      </x:c>
      <x:c r="L177" s="24" t="n">
        <x:v>1991</x:v>
      </x:c>
      <x:c r="M177" t="str">
        <x:v>legacy_common_sample_8902245</x:v>
      </x:c>
      <x:c r="N177" s="25" t="n">
        <x:v>46211.51530107639</x:v>
      </x:c>
      <x:c r="O177" s="24" t="n">
        <x:v>8902245</x:v>
      </x:c>
      <x:c r="P177" t="str">
        <x:v>factor_report/gtja191_batch/gtja_164/ic_summary.csv</x:v>
      </x:c>
    </x:row>
    <x:row r="178">
      <x:c r="A178" s="22" t="n">
        <x:f>IF($E178="ranked",1+COUNTIFS($D$5:$D$546,$D178,$E$5:$E$546,"ranked",$F$5:$F$546,"&gt;"&amp;$F178),"")</x:f>
        <x:v>4</x:v>
      </x:c>
      <x:c r="B178" s="22" t="n">
        <x:f>IF($E178="ranked",1+COUNTIFS($D$5:$D$546,$D178,$E$5:$E$546,"ranked",$G$5:$G$546,"&gt;"&amp;$G178),"")</x:f>
        <x:v>22</x:v>
      </x:c>
      <x:c r="C178" t="str">
        <x:v>gtja_156</x:v>
      </x:c>
      <x:c r="D178" s="22" t="n">
        <x:v>10</x:v>
      </x:c>
      <x:c r="E178" t="str">
        <x:v>ranked</x:v>
      </x:c>
      <x:c r="F178" s="23" t="n">
        <x:v>0.05501076023105661</x:v>
      </x:c>
      <x:c r="G178" s="23" t="n">
        <x:f>ABS(F178)</x:f>
        <x:v>0.05501076023105661</x:v>
      </x:c>
      <x:c r="H178" s="23" t="str">
        <x:f>IF(F178&gt;=0,"positive","negative")</x:f>
        <x:v>positive</x:v>
      </x:c>
      <x:c r="I178" s="23" t="n">
        <x:v>0.10600342168223865</x:v>
      </x:c>
      <x:c r="J178" s="23" t="n">
        <x:v>0.5189526843384331</x:v>
      </x:c>
      <x:c r="K178" s="23" t="n">
        <x:v>0.7026619789050729</x:v>
      </x:c>
      <x:c r="L178" s="24" t="n">
        <x:v>1991</x:v>
      </x:c>
      <x:c r="M178" t="str">
        <x:v>legacy_common_sample_8902245</x:v>
      </x:c>
      <x:c r="N178" s="25" t="n">
        <x:v>46211.50185851852</x:v>
      </x:c>
      <x:c r="O178" s="24" t="n">
        <x:v>8902245</x:v>
      </x:c>
      <x:c r="P178" t="str">
        <x:v>factor_report/gtja191_batch/gtja_156/ic_summary.csv</x:v>
      </x:c>
    </x:row>
    <x:row r="179">
      <x:c r="A179" s="22" t="n">
        <x:f>IF($E179="ranked",1+COUNTIFS($D$5:$D$546,$D179,$E$5:$E$546,"ranked",$F$5:$F$546,"&gt;"&amp;$F179),"")</x:f>
        <x:v>5</x:v>
      </x:c>
      <x:c r="B179" s="22" t="n">
        <x:f>IF($E179="ranked",1+COUNTIFS($D$5:$D$546,$D179,$E$5:$E$546,"ranked",$G$5:$G$546,"&gt;"&amp;$G179),"")</x:f>
        <x:v>25</x:v>
      </x:c>
      <x:c r="C179" t="str">
        <x:v>gtja_140</x:v>
      </x:c>
      <x:c r="D179" s="22" t="n">
        <x:v>10</x:v>
      </x:c>
      <x:c r="E179" t="str">
        <x:v>ranked</x:v>
      </x:c>
      <x:c r="F179" s="23" t="n">
        <x:v>0.05335274590122334</x:v>
      </x:c>
      <x:c r="G179" s="23" t="n">
        <x:f>ABS(F179)</x:f>
        <x:v>0.05335274590122334</x:v>
      </x:c>
      <x:c r="H179" s="23" t="str">
        <x:f>IF(F179&gt;=0,"positive","negative")</x:f>
        <x:v>positive</x:v>
      </x:c>
      <x:c r="I179" s="23" t="n">
        <x:v>0.09601044245599819</x:v>
      </x:c>
      <x:c r="J179" s="23" t="n">
        <x:v>0.5556973235038993</x:v>
      </x:c>
      <x:c r="K179" s="23" t="n">
        <x:v>0.7295501022494888</x:v>
      </x:c>
      <x:c r="L179" s="24" t="n">
        <x:v>1956</x:v>
      </x:c>
      <x:c r="M179" t="str">
        <x:v>legacy_common_sample_8902245</x:v>
      </x:c>
      <x:c r="N179" s="25" t="n">
        <x:v>46211.441442916665</x:v>
      </x:c>
      <x:c r="O179" s="24" t="n">
        <x:v>8902245</x:v>
      </x:c>
      <x:c r="P179" t="str">
        <x:v>factor_report/gtja191_batch/gtja_140/ic_summary.csv</x:v>
      </x:c>
    </x:row>
    <x:row r="180">
      <x:c r="A180" s="22" t="n">
        <x:f>IF($E180="ranked",1+COUNTIFS($D$5:$D$546,$D180,$E$5:$E$546,"ranked",$F$5:$F$546,"&gt;"&amp;$F180),"")</x:f>
        <x:v>6</x:v>
      </x:c>
      <x:c r="B180" s="22" t="n">
        <x:f>IF($E180="ranked",1+COUNTIFS($D$5:$D$546,$D180,$E$5:$E$546,"ranked",$G$5:$G$546,"&gt;"&amp;$G180),"")</x:f>
        <x:v>26</x:v>
      </x:c>
      <x:c r="C180" t="str">
        <x:v>gtja_144</x:v>
      </x:c>
      <x:c r="D180" s="22" t="n">
        <x:v>10</x:v>
      </x:c>
      <x:c r="E180" t="str">
        <x:v>ranked</x:v>
      </x:c>
      <x:c r="F180" s="23" t="n">
        <x:v>0.052773687297313424</x:v>
      </x:c>
      <x:c r="G180" s="23" t="n">
        <x:f>ABS(F180)</x:f>
        <x:v>0.052773687297313424</x:v>
      </x:c>
      <x:c r="H180" s="23" t="str">
        <x:f>IF(F180&gt;=0,"positive","negative")</x:f>
        <x:v>positive</x:v>
      </x:c>
      <x:c r="I180" s="23" t="n">
        <x:v>0.154843361609323</x:v>
      </x:c>
      <x:c r="J180" s="23" t="n">
        <x:v>0.3408198242974335</x:v>
      </x:c>
      <x:c r="K180" s="23" t="n">
        <x:v>0.6609743847312908</x:v>
      </x:c>
      <x:c r="L180" s="24" t="n">
        <x:v>1991</x:v>
      </x:c>
      <x:c r="M180" t="str">
        <x:v>legacy_common_sample_8902245</x:v>
      </x:c>
      <x:c r="N180" s="25" t="n">
        <x:v>46211.45256542824</x:v>
      </x:c>
      <x:c r="O180" s="24" t="n">
        <x:v>8902245</x:v>
      </x:c>
      <x:c r="P180" t="str">
        <x:v>factor_report/gtja191_batch/gtja_144/ic_summary.csv</x:v>
      </x:c>
    </x:row>
    <x:row r="181">
      <x:c r="A181" s="22" t="n">
        <x:f>IF($E181="ranked",1+COUNTIFS($D$5:$D$546,$D181,$E$5:$E$546,"ranked",$F$5:$F$546,"&gt;"&amp;$F181),"")</x:f>
        <x:v>7</x:v>
      </x:c>
      <x:c r="B181" s="22" t="n">
        <x:f>IF($E181="ranked",1+COUNTIFS($D$5:$D$546,$D181,$E$5:$E$546,"ranked",$G$5:$G$546,"&gt;"&amp;$G181),"")</x:f>
        <x:v>27</x:v>
      </x:c>
      <x:c r="C181" t="str">
        <x:v>gtja_121</x:v>
      </x:c>
      <x:c r="D181" s="22" t="n">
        <x:v>10</x:v>
      </x:c>
      <x:c r="E181" t="str">
        <x:v>ranked</x:v>
      </x:c>
      <x:c r="F181" s="23" t="n">
        <x:v>0.052749039392317676</x:v>
      </x:c>
      <x:c r="G181" s="23" t="n">
        <x:f>ABS(F181)</x:f>
        <x:v>0.052749039392317676</x:v>
      </x:c>
      <x:c r="H181" s="23" t="str">
        <x:f>IF(F181&gt;=0,"positive","negative")</x:f>
        <x:v>positive</x:v>
      </x:c>
      <x:c r="I181" s="23" t="n">
        <x:v>0.13027001578266867</x:v>
      </x:c>
      <x:c r="J181" s="23" t="n">
        <x:v>0.40492080295990485</x:v>
      </x:c>
      <x:c r="K181" s="23" t="n">
        <x:v>0.6609137055837564</x:v>
      </x:c>
      <x:c r="L181" s="24" t="n">
        <x:v>1970</x:v>
      </x:c>
      <x:c r="M181" t="str">
        <x:v>legacy_common_sample_8902245</x:v>
      </x:c>
      <x:c r="N181" s="25" t="n">
        <x:v>46211.40481090278</x:v>
      </x:c>
      <x:c r="O181" s="24" t="n">
        <x:v>8902245</x:v>
      </x:c>
      <x:c r="P181" t="str">
        <x:v>factor_report/gtja191_batch/gtja_121/ic_summary.csv</x:v>
      </x:c>
    </x:row>
    <x:row r="182">
      <x:c r="A182" s="22" t="n">
        <x:f>IF($E182="ranked",1+COUNTIFS($D$5:$D$546,$D182,$E$5:$E$546,"ranked",$F$5:$F$546,"&gt;"&amp;$F182),"")</x:f>
        <x:v>8</x:v>
      </x:c>
      <x:c r="B182" s="22" t="n">
        <x:f>IF($E182="ranked",1+COUNTIFS($D$5:$D$546,$D182,$E$5:$E$546,"ranked",$G$5:$G$546,"&gt;"&amp;$G182),"")</x:f>
        <x:v>33</x:v>
      </x:c>
      <x:c r="C182" t="str">
        <x:v>gtja_099</x:v>
      </x:c>
      <x:c r="D182" s="22" t="n">
        <x:v>10</x:v>
      </x:c>
      <x:c r="E182" t="str">
        <x:v>ranked</x:v>
      </x:c>
      <x:c r="F182" s="23" t="n">
        <x:v>0.05085190347772375</x:v>
      </x:c>
      <x:c r="G182" s="23" t="n">
        <x:f>ABS(F182)</x:f>
        <x:v>0.05085190347772375</x:v>
      </x:c>
      <x:c r="H182" s="23" t="str">
        <x:f>IF(F182&gt;=0,"positive","negative")</x:f>
        <x:v>positive</x:v>
      </x:c>
      <x:c r="I182" s="23" t="n">
        <x:v>0.06362683782511426</x:v>
      </x:c>
      <x:c r="J182" s="23" t="n">
        <x:v>0.799220976806927</x:v>
      </x:c>
      <x:c r="K182" s="23" t="n">
        <x:v>0.8011049723756906</x:v>
      </x:c>
      <x:c r="L182" s="24" t="n">
        <x:v>1991</x:v>
      </x:c>
      <x:c r="M182" t="str">
        <x:v>legacy_common_sample_8902245</x:v>
      </x:c>
      <x:c r="N182" s="25" t="n">
        <x:v>46211.34822918982</x:v>
      </x:c>
      <x:c r="O182" s="24" t="n">
        <x:v>8902245</x:v>
      </x:c>
      <x:c r="P182" t="str">
        <x:v>factor_report/gtja191_batch/gtja_099/ic_summary.csv</x:v>
      </x:c>
    </x:row>
    <x:row r="183">
      <x:c r="A183" s="22" t="n">
        <x:f>IF($E183="ranked",1+COUNTIFS($D$5:$D$546,$D183,$E$5:$E$546,"ranked",$F$5:$F$546,"&gt;"&amp;$F183),"")</x:f>
        <x:v>9</x:v>
      </x:c>
      <x:c r="B183" s="22" t="n">
        <x:f>IF($E183="ranked",1+COUNTIFS($D$5:$D$546,$D183,$E$5:$E$546,"ranked",$G$5:$G$546,"&gt;"&amp;$G183),"")</x:f>
        <x:v>34</x:v>
      </x:c>
      <x:c r="C183" t="str">
        <x:v>gtja_083</x:v>
      </x:c>
      <x:c r="D183" s="22" t="n">
        <x:v>10</x:v>
      </x:c>
      <x:c r="E183" t="str">
        <x:v>ranked</x:v>
      </x:c>
      <x:c r="F183" s="23" t="n">
        <x:v>0.050828634987576136</x:v>
      </x:c>
      <x:c r="G183" s="23" t="n">
        <x:f>ABS(F183)</x:f>
        <x:v>0.050828634987576136</x:v>
      </x:c>
      <x:c r="H183" s="23" t="str">
        <x:f>IF(F183&gt;=0,"positive","negative")</x:f>
        <x:v>positive</x:v>
      </x:c>
      <x:c r="I183" s="23" t="n">
        <x:v>0.06367666348899453</x:v>
      </x:c>
      <x:c r="J183" s="23" t="n">
        <x:v>0.7982301867364805</x:v>
      </x:c>
      <x:c r="K183" s="23" t="n">
        <x:v>0.7965846308387745</x:v>
      </x:c>
      <x:c r="L183" s="24" t="n">
        <x:v>1991</x:v>
      </x:c>
      <x:c r="M183" t="str">
        <x:v>legacy_common_sample_8902245</x:v>
      </x:c>
      <x:c r="N183" s="25" t="n">
        <x:v>46211.31746125</x:v>
      </x:c>
      <x:c r="O183" s="24" t="n">
        <x:v>8902245</x:v>
      </x:c>
      <x:c r="P183" t="str">
        <x:v>factor_report/gtja191_batch/gtja_083/ic_summary.csv</x:v>
      </x:c>
    </x:row>
    <x:row r="184">
      <x:c r="A184" s="22" t="n">
        <x:f>IF($E184="ranked",1+COUNTIFS($D$5:$D$546,$D184,$E$5:$E$546,"ranked",$F$5:$F$546,"&gt;"&amp;$F184),"")</x:f>
        <x:v>10</x:v>
      </x:c>
      <x:c r="B184" s="22" t="n">
        <x:f>IF($E184="ranked",1+COUNTIFS($D$5:$D$546,$D184,$E$5:$E$546,"ranked",$G$5:$G$546,"&gt;"&amp;$G184),"")</x:f>
        <x:v>39</x:v>
      </x:c>
      <x:c r="C184" t="str">
        <x:v>gtja_061</x:v>
      </x:c>
      <x:c r="D184" s="22" t="n">
        <x:v>10</x:v>
      </x:c>
      <x:c r="E184" t="str">
        <x:v>ranked</x:v>
      </x:c>
      <x:c r="F184" s="23" t="n">
        <x:v>0.0476882830147672</x:v>
      </x:c>
      <x:c r="G184" s="23" t="n">
        <x:f>ABS(F184)</x:f>
        <x:v>0.0476882830147672</x:v>
      </x:c>
      <x:c r="H184" s="23" t="str">
        <x:f>IF(F184&gt;=0,"positive","negative")</x:f>
        <x:v>positive</x:v>
      </x:c>
      <x:c r="I184" s="23" t="n">
        <x:v>0.0920964784862326</x:v>
      </x:c>
      <x:c r="J184" s="23" t="n">
        <x:v>0.5178078879736543</x:v>
      </x:c>
      <x:c r="K184" s="23" t="n">
        <x:v>0.7087827426810478</x:v>
      </x:c>
      <x:c r="L184" s="24" t="n">
        <x:v>1947</x:v>
      </x:c>
      <x:c r="M184" t="str">
        <x:v>legacy_common_sample_8902245</x:v>
      </x:c>
      <x:c r="N184" s="25" t="n">
        <x:v>46211.287648680554</x:v>
      </x:c>
      <x:c r="O184" s="24" t="n">
        <x:v>8902245</x:v>
      </x:c>
      <x:c r="P184" t="str">
        <x:v>factor_report/gtja191_batch/gtja_061/ic_summary.csv</x:v>
      </x:c>
    </x:row>
    <x:row r="185">
      <x:c r="A185" s="22" t="n">
        <x:f>IF($E185="ranked",1+COUNTIFS($D$5:$D$546,$D185,$E$5:$E$546,"ranked",$F$5:$F$546,"&gt;"&amp;$F185),"")</x:f>
        <x:v>11</x:v>
      </x:c>
      <x:c r="B185" s="22" t="n">
        <x:f>IF($E185="ranked",1+COUNTIFS($D$5:$D$546,$D185,$E$5:$E$546,"ranked",$G$5:$G$546,"&gt;"&amp;$G185),"")</x:f>
        <x:v>42</x:v>
      </x:c>
      <x:c r="C185" t="str">
        <x:v>gtja_062</x:v>
      </x:c>
      <x:c r="D185" s="22" t="n">
        <x:v>10</x:v>
      </x:c>
      <x:c r="E185" t="str">
        <x:v>ranked</x:v>
      </x:c>
      <x:c r="F185" s="23" t="n">
        <x:v>0.045392270522241325</x:v>
      </x:c>
      <x:c r="G185" s="23" t="n">
        <x:f>ABS(F185)</x:f>
        <x:v>0.045392270522241325</x:v>
      </x:c>
      <x:c r="H185" s="23" t="str">
        <x:f>IF(F185&gt;=0,"positive","negative")</x:f>
        <x:v>positive</x:v>
      </x:c>
      <x:c r="I185" s="23" t="n">
        <x:v>0.06397345193807814</x:v>
      </x:c>
      <x:c r="J185" s="23" t="n">
        <x:v>0.7095485572074162</x:v>
      </x:c>
      <x:c r="K185" s="23" t="n">
        <x:v>0.7709693621295831</x:v>
      </x:c>
      <x:c r="L185" s="24" t="n">
        <x:v>1991</x:v>
      </x:c>
      <x:c r="M185" t="str">
        <x:v>legacy_common_sample_8902245</x:v>
      </x:c>
      <x:c r="N185" s="25" t="n">
        <x:v>46211.290294004626</x:v>
      </x:c>
      <x:c r="O185" s="24" t="n">
        <x:v>8902245</x:v>
      </x:c>
      <x:c r="P185" t="str">
        <x:v>factor_report/gtja191_batch/gtja_062/ic_summary.csv</x:v>
      </x:c>
    </x:row>
    <x:row r="186">
      <x:c r="A186" s="22" t="n">
        <x:f>IF($E186="ranked",1+COUNTIFS($D$5:$D$546,$D186,$E$5:$E$546,"ranked",$F$5:$F$546,"&gt;"&amp;$F186),"")</x:f>
        <x:v>12</x:v>
      </x:c>
      <x:c r="B186" s="22" t="n">
        <x:f>IF($E186="ranked",1+COUNTIFS($D$5:$D$546,$D186,$E$5:$E$546,"ranked",$G$5:$G$546,"&gt;"&amp;$G186),"")</x:f>
        <x:v>46</x:v>
      </x:c>
      <x:c r="C186" t="str">
        <x:v>gtja_157</x:v>
      </x:c>
      <x:c r="D186" s="22" t="n">
        <x:v>10</x:v>
      </x:c>
      <x:c r="E186" t="str">
        <x:v>ranked</x:v>
      </x:c>
      <x:c r="F186" s="23" t="n">
        <x:v>0.044669140138907784</x:v>
      </x:c>
      <x:c r="G186" s="23" t="n">
        <x:f>ABS(F186)</x:f>
        <x:v>0.044669140138907784</x:v>
      </x:c>
      <x:c r="H186" s="23" t="str">
        <x:f>IF(F186&gt;=0,"positive","negative")</x:f>
        <x:v>positive</x:v>
      </x:c>
      <x:c r="I186" s="23" t="n">
        <x:v>0.1080889058868639</x:v>
      </x:c>
      <x:c r="J186" s="23" t="n">
        <x:v>0.4132629502759769</x:v>
      </x:c>
      <x:c r="K186" s="23" t="n">
        <x:v>0.6700150678051231</x:v>
      </x:c>
      <x:c r="L186" s="24" t="n">
        <x:v>1991</x:v>
      </x:c>
      <x:c r="M186" t="str">
        <x:v>legacy_common_sample_8902245</x:v>
      </x:c>
      <x:c r="N186" s="25" t="n">
        <x:v>46211.50636057871</x:v>
      </x:c>
      <x:c r="O186" s="24" t="n">
        <x:v>8902245</x:v>
      </x:c>
      <x:c r="P186" t="str">
        <x:v>factor_report/gtja191_batch/gtja_157/ic_summary.csv</x:v>
      </x:c>
    </x:row>
    <x:row r="187">
      <x:c r="A187" s="22" t="n">
        <x:f>IF($E187="ranked",1+COUNTIFS($D$5:$D$546,$D187,$E$5:$E$546,"ranked",$F$5:$F$546,"&gt;"&amp;$F187),"")</x:f>
        <x:v>13</x:v>
      </x:c>
      <x:c r="B187" s="22" t="n">
        <x:f>IF($E187="ranked",1+COUNTIFS($D$5:$D$546,$D187,$E$5:$E$546,"ranked",$G$5:$G$546,"&gt;"&amp;$G187),"")</x:f>
        <x:v>52</x:v>
      </x:c>
      <x:c r="C187" t="str">
        <x:v>gtja_120</x:v>
      </x:c>
      <x:c r="D187" s="22" t="n">
        <x:v>10</x:v>
      </x:c>
      <x:c r="E187" t="str">
        <x:v>ranked</x:v>
      </x:c>
      <x:c r="F187" s="23" t="n">
        <x:v>0.04280983328161368</x:v>
      </x:c>
      <x:c r="G187" s="23" t="n">
        <x:f>ABS(F187)</x:f>
        <x:v>0.04280983328161368</x:v>
      </x:c>
      <x:c r="H187" s="23" t="str">
        <x:f>IF(F187&gt;=0,"positive","negative")</x:f>
        <x:v>positive</x:v>
      </x:c>
      <x:c r="I187" s="23" t="n">
        <x:v>0.14817752102517875</x:v>
      </x:c>
      <x:c r="J187" s="23" t="n">
        <x:v>0.2889090935347698</x:v>
      </x:c>
      <x:c r="K187" s="23" t="n">
        <x:v>0.6057257659467604</x:v>
      </x:c>
      <x:c r="L187" s="24" t="n">
        <x:v>1991</x:v>
      </x:c>
      <x:c r="M187" t="str">
        <x:v>legacy_common_sample_8902245</x:v>
      </x:c>
      <x:c r="N187" s="25" t="n">
        <x:v>46211.39541752315</x:v>
      </x:c>
      <x:c r="O187" s="24" t="n">
        <x:v>8902245</x:v>
      </x:c>
      <x:c r="P187" t="str">
        <x:v>factor_report/gtja191_batch/gtja_120/ic_summary.csv</x:v>
      </x:c>
    </x:row>
    <x:row r="188">
      <x:c r="A188" s="22" t="n">
        <x:f>IF($E188="ranked",1+COUNTIFS($D$5:$D$546,$D188,$E$5:$E$546,"ranked",$F$5:$F$546,"&gt;"&amp;$F188),"")</x:f>
        <x:v>14</x:v>
      </x:c>
      <x:c r="B188" s="22" t="n">
        <x:f>IF($E188="ranked",1+COUNTIFS($D$5:$D$546,$D188,$E$5:$E$546,"ranked",$G$5:$G$546,"&gt;"&amp;$G188),"")</x:f>
        <x:v>53</x:v>
      </x:c>
      <x:c r="C188" t="str">
        <x:v>gtja_046</x:v>
      </x:c>
      <x:c r="D188" s="22" t="n">
        <x:v>10</x:v>
      </x:c>
      <x:c r="E188" t="str">
        <x:v>ranked</x:v>
      </x:c>
      <x:c r="F188" s="23" t="n">
        <x:v>0.04280589597514839</x:v>
      </x:c>
      <x:c r="G188" s="23" t="n">
        <x:f>ABS(F188)</x:f>
        <x:v>0.04280589597514839</x:v>
      </x:c>
      <x:c r="H188" s="23" t="str">
        <x:f>IF(F188&gt;=0,"positive","negative")</x:f>
        <x:v>positive</x:v>
      </x:c>
      <x:c r="I188" s="23" t="n">
        <x:v>0.13582111413615888</x:v>
      </x:c>
      <x:c r="J188" s="23" t="n">
        <x:v>0.3151637817683931</x:v>
      </x:c>
      <x:c r="K188" s="23" t="n">
        <x:v>0.6122551481667504</x:v>
      </x:c>
      <x:c r="L188" s="24" t="n">
        <x:v>1991</x:v>
      </x:c>
      <x:c r="M188" t="str">
        <x:v>legacy_common_sample_8902245</x:v>
      </x:c>
      <x:c r="N188" s="25" t="n">
        <x:v>46211.26878402778</x:v>
      </x:c>
      <x:c r="O188" s="24" t="n">
        <x:v>8902245</x:v>
      </x:c>
      <x:c r="P188" t="str">
        <x:v>factor_report/gtja191_batch/gtja_046/ic_summary.csv</x:v>
      </x:c>
    </x:row>
    <x:row r="189">
      <x:c r="A189" s="22" t="n">
        <x:f>IF($E189="ranked",1+COUNTIFS($D$5:$D$546,$D189,$E$5:$E$546,"ranked",$F$5:$F$546,"&gt;"&amp;$F189),"")</x:f>
        <x:v>15</x:v>
      </x:c>
      <x:c r="B189" s="22" t="n">
        <x:f>IF($E189="ranked",1+COUNTIFS($D$5:$D$546,$D189,$E$5:$E$546,"ranked",$G$5:$G$546,"&gt;"&amp;$G189),"")</x:f>
        <x:v>54</x:v>
      </x:c>
      <x:c r="C189" t="str">
        <x:v>gtja_016</x:v>
      </x:c>
      <x:c r="D189" s="22" t="n">
        <x:v>10</x:v>
      </x:c>
      <x:c r="E189" t="str">
        <x:v>ranked</x:v>
      </x:c>
      <x:c r="F189" s="23" t="n">
        <x:v>0.04278155068223139</x:v>
      </x:c>
      <x:c r="G189" s="23" t="n">
        <x:f>ABS(F189)</x:f>
        <x:v>0.04278155068223139</x:v>
      </x:c>
      <x:c r="H189" s="23" t="str">
        <x:f>IF(F189&gt;=0,"positive","negative")</x:f>
        <x:v>positive</x:v>
      </x:c>
      <x:c r="I189" s="23" t="n">
        <x:v>0.06002003616988767</x:v>
      </x:c>
      <x:c r="J189" s="23" t="n">
        <x:v>0.712787819073243</x:v>
      </x:c>
      <x:c r="K189" s="23" t="n">
        <x:v>0.7533902561526871</x:v>
      </x:c>
      <x:c r="L189" s="24" t="n">
        <x:v>1991</x:v>
      </x:c>
      <x:c r="M189" t="str">
        <x:v>legacy_common_sample_8902245</x:v>
      </x:c>
      <x:c r="N189" s="25" t="n">
        <x:v>46211.19679032407</x:v>
      </x:c>
      <x:c r="O189" s="24" t="n">
        <x:v>8902245</x:v>
      </x:c>
      <x:c r="P189" t="str">
        <x:v>factor_report/gtja191_batch/gtja_016/ic_summary.csv</x:v>
      </x:c>
    </x:row>
    <x:row r="190">
      <x:c r="A190" s="22" t="n">
        <x:f>IF($E190="ranked",1+COUNTIFS($D$5:$D$546,$D190,$E$5:$E$546,"ranked",$F$5:$F$546,"&gt;"&amp;$F190),"")</x:f>
        <x:v>16</x:v>
      </x:c>
      <x:c r="B190" s="22" t="n">
        <x:f>IF($E190="ranked",1+COUNTIFS($D$5:$D$546,$D190,$E$5:$E$546,"ranked",$G$5:$G$546,"&gt;"&amp;$G190),"")</x:f>
        <x:v>59</x:v>
      </x:c>
      <x:c r="C190" t="str">
        <x:v>gtja_090</x:v>
      </x:c>
      <x:c r="D190" s="22" t="n">
        <x:v>10</x:v>
      </x:c>
      <x:c r="E190" t="str">
        <x:v>ranked</x:v>
      </x:c>
      <x:c r="F190" s="23" t="n">
        <x:v>0.04144801085758182</x:v>
      </x:c>
      <x:c r="G190" s="23" t="n">
        <x:f>ABS(F190)</x:f>
        <x:v>0.04144801085758182</x:v>
      </x:c>
      <x:c r="H190" s="23" t="str">
        <x:f>IF(F190&gt;=0,"positive","negative")</x:f>
        <x:v>positive</x:v>
      </x:c>
      <x:c r="I190" s="23" t="n">
        <x:v>0.05917888052152929</x:v>
      </x:c>
      <x:c r="J190" s="23" t="n">
        <x:v>0.700385179515233</x:v>
      </x:c>
      <x:c r="K190" s="23" t="n">
        <x:v>0.772978402812657</x:v>
      </x:c>
      <x:c r="L190" s="24" t="n">
        <x:v>1991</x:v>
      </x:c>
      <x:c r="M190" t="str">
        <x:v>legacy_common_sample_8902245</x:v>
      </x:c>
      <x:c r="N190" s="25" t="n">
        <x:v>46211.33284847222</x:v>
      </x:c>
      <x:c r="O190" s="24" t="n">
        <x:v>8902245</x:v>
      </x:c>
      <x:c r="P190" t="str">
        <x:v>factor_report/gtja191_batch/gtja_090/ic_summary.csv</x:v>
      </x:c>
    </x:row>
    <x:row r="191">
      <x:c r="A191" s="22" t="n">
        <x:f>IF($E191="ranked",1+COUNTIFS($D$5:$D$546,$D191,$E$5:$E$546,"ranked",$F$5:$F$546,"&gt;"&amp;$F191),"")</x:f>
        <x:v>17</x:v>
      </x:c>
      <x:c r="B191" s="22" t="n">
        <x:f>IF($E191="ranked",1+COUNTIFS($D$5:$D$546,$D191,$E$5:$E$546,"ranked",$G$5:$G$546,"&gt;"&amp;$G191),"")</x:f>
        <x:v>63</x:v>
      </x:c>
      <x:c r="C191" t="str">
        <x:v>gtja_185</x:v>
      </x:c>
      <x:c r="D191" s="22" t="n">
        <x:v>10</x:v>
      </x:c>
      <x:c r="E191" t="str">
        <x:v>ranked</x:v>
      </x:c>
      <x:c r="F191" s="23" t="n">
        <x:v>0.03876024836720656</x:v>
      </x:c>
      <x:c r="G191" s="23" t="n">
        <x:f>ABS(F191)</x:f>
        <x:v>0.03876024836720656</x:v>
      </x:c>
      <x:c r="H191" s="23" t="str">
        <x:f>IF(F191&gt;=0,"positive","negative")</x:f>
        <x:v>positive</x:v>
      </x:c>
      <x:c r="I191" s="23" t="n">
        <x:v>0.10360042939084213</x:v>
      </x:c>
      <x:c r="J191" s="23" t="n">
        <x:v>0.37413212083301284</x:v>
      </x:c>
      <x:c r="K191" s="23" t="n">
        <x:v>0.6880964339527875</x:v>
      </x:c>
      <x:c r="L191" s="24" t="n">
        <x:v>1991</x:v>
      </x:c>
      <x:c r="M191" t="str">
        <x:v>legacy_common_sample_8902245</x:v>
      </x:c>
      <x:c r="N191" s="25" t="n">
        <x:v>46211.545996712965</x:v>
      </x:c>
      <x:c r="O191" s="24" t="n">
        <x:v>8902245</x:v>
      </x:c>
      <x:c r="P191" t="str">
        <x:v>factor_report/gtja191_batch/gtja_185/ic_summary.csv</x:v>
      </x:c>
    </x:row>
    <x:row r="192">
      <x:c r="A192" s="22" t="n">
        <x:f>IF($E192="ranked",1+COUNTIFS($D$5:$D$546,$D192,$E$5:$E$546,"ranked",$F$5:$F$546,"&gt;"&amp;$F192),"")</x:f>
        <x:v>18</x:v>
      </x:c>
      <x:c r="B192" s="22" t="n">
        <x:f>IF($E192="ranked",1+COUNTIFS($D$5:$D$546,$D192,$E$5:$E$546,"ranked",$G$5:$G$546,"&gt;"&amp;$G192),"")</x:f>
        <x:v>65</x:v>
      </x:c>
      <x:c r="C192" t="str">
        <x:v>gtja_034</x:v>
      </x:c>
      <x:c r="D192" s="22" t="n">
        <x:v>10</x:v>
      </x:c>
      <x:c r="E192" t="str">
        <x:v>ranked</x:v>
      </x:c>
      <x:c r="F192" s="23" t="n">
        <x:v>0.03805878762791508</x:v>
      </x:c>
      <x:c r="G192" s="23" t="n">
        <x:f>ABS(F192)</x:f>
        <x:v>0.03805878762791508</x:v>
      </x:c>
      <x:c r="H192" s="23" t="str">
        <x:f>IF(F192&gt;=0,"positive","negative")</x:f>
        <x:v>positive</x:v>
      </x:c>
      <x:c r="I192" s="23" t="n">
        <x:v>0.132688738618553</x:v>
      </x:c>
      <x:c r="J192" s="23" t="n">
        <x:v>0.2868275636964535</x:v>
      </x:c>
      <x:c r="K192" s="23" t="n">
        <x:v>0.6012054244098443</x:v>
      </x:c>
      <x:c r="L192" s="24" t="n">
        <x:v>1991</x:v>
      </x:c>
      <x:c r="M192" t="str">
        <x:v>legacy_common_sample_8902245</x:v>
      </x:c>
      <x:c r="N192" s="25" t="n">
        <x:v>46211.230695833336</x:v>
      </x:c>
      <x:c r="O192" s="24" t="n">
        <x:v>8902245</x:v>
      </x:c>
      <x:c r="P192" t="str">
        <x:v>factor_report/gtja191_batch/gtja_034/ic_summary.csv</x:v>
      </x:c>
    </x:row>
    <x:row r="193">
      <x:c r="A193" s="22" t="n">
        <x:f>IF($E193="ranked",1+COUNTIFS($D$5:$D$546,$D193,$E$5:$E$546,"ranked",$F$5:$F$546,"&gt;"&amp;$F193),"")</x:f>
        <x:v>19</x:v>
      </x:c>
      <x:c r="B193" s="22" t="n">
        <x:f>IF($E193="ranked",1+COUNTIFS($D$5:$D$546,$D193,$E$5:$E$546,"ranked",$G$5:$G$546,"&gt;"&amp;$G193),"")</x:f>
        <x:v>67</x:v>
      </x:c>
      <x:c r="C193" t="str">
        <x:v>gtja_105</x:v>
      </x:c>
      <x:c r="D193" s="22" t="n">
        <x:v>10</x:v>
      </x:c>
      <x:c r="E193" t="str">
        <x:v>ranked</x:v>
      </x:c>
      <x:c r="F193" s="23" t="n">
        <x:v>0.03704915011384955</x:v>
      </x:c>
      <x:c r="G193" s="23" t="n">
        <x:f>ABS(F193)</x:f>
        <x:v>0.03704915011384955</x:v>
      </x:c>
      <x:c r="H193" s="23" t="str">
        <x:f>IF(F193&gt;=0,"positive","negative")</x:f>
        <x:v>positive</x:v>
      </x:c>
      <x:c r="I193" s="23" t="n">
        <x:v>0.055502901526657475</x:v>
      </x:c>
      <x:c r="J193" s="23" t="n">
        <x:v>0.6675173566566646</x:v>
      </x:c>
      <x:c r="K193" s="23" t="n">
        <x:v>0.747865394274234</x:v>
      </x:c>
      <x:c r="L193" s="24" t="n">
        <x:v>1991</x:v>
      </x:c>
      <x:c r="M193" t="str">
        <x:v>legacy_common_sample_8902245</x:v>
      </x:c>
      <x:c r="N193" s="25" t="n">
        <x:v>46211.35838456018</x:v>
      </x:c>
      <x:c r="O193" s="24" t="n">
        <x:v>8902245</x:v>
      </x:c>
      <x:c r="P193" t="str">
        <x:v>factor_report/gtja191_batch/gtja_105/ic_summary.csv</x:v>
      </x:c>
    </x:row>
    <x:row r="194">
      <x:c r="A194" s="22" t="n">
        <x:f>IF($E194="ranked",1+COUNTIFS($D$5:$D$546,$D194,$E$5:$E$546,"ranked",$F$5:$F$546,"&gt;"&amp;$F194),"")</x:f>
        <x:v>20</x:v>
      </x:c>
      <x:c r="B194" s="22" t="n">
        <x:f>IF($E194="ranked",1+COUNTIFS($D$5:$D$546,$D194,$E$5:$E$546,"ranked",$G$5:$G$546,"&gt;"&amp;$G194),"")</x:f>
        <x:v>71</x:v>
      </x:c>
      <x:c r="C194" t="str">
        <x:v>gtja_032</x:v>
      </x:c>
      <x:c r="D194" s="22" t="n">
        <x:v>10</x:v>
      </x:c>
      <x:c r="E194" t="str">
        <x:v>ranked</x:v>
      </x:c>
      <x:c r="F194" s="23" t="n">
        <x:v>0.03607090076309309</x:v>
      </x:c>
      <x:c r="G194" s="23" t="n">
        <x:f>ABS(F194)</x:f>
        <x:v>0.03607090076309309</x:v>
      </x:c>
      <x:c r="H194" s="23" t="str">
        <x:f>IF(F194&gt;=0,"positive","negative")</x:f>
        <x:v>positive</x:v>
      </x:c>
      <x:c r="I194" s="23" t="n">
        <x:v>0.052213115253562745</x:v>
      </x:c>
      <x:c r="J194" s="23" t="n">
        <x:v>0.6908398510206074</x:v>
      </x:c>
      <x:c r="K194" s="23" t="n">
        <x:v>0.7649422400803616</x:v>
      </x:c>
      <x:c r="L194" s="24" t="n">
        <x:v>1991</x:v>
      </x:c>
      <x:c r="M194" t="str">
        <x:v>legacy_common_sample_8902245</x:v>
      </x:c>
      <x:c r="N194" s="25" t="n">
        <x:v>46211.2231158912</x:v>
      </x:c>
      <x:c r="O194" s="24" t="n">
        <x:v>8902245</x:v>
      </x:c>
      <x:c r="P194" t="str">
        <x:v>factor_report/gtja191_batch/gtja_032/ic_summary.csv</x:v>
      </x:c>
    </x:row>
    <x:row r="195">
      <x:c r="A195" s="22" t="n">
        <x:f>IF($E195="ranked",1+COUNTIFS($D$5:$D$546,$D195,$E$5:$E$546,"ranked",$F$5:$F$546,"&gt;"&amp;$F195),"")</x:f>
        <x:v>21</x:v>
      </x:c>
      <x:c r="B195" s="22" t="n">
        <x:f>IF($E195="ranked",1+COUNTIFS($D$5:$D$546,$D195,$E$5:$E$546,"ranked",$G$5:$G$546,"&gt;"&amp;$G195),"")</x:f>
        <x:v>74</x:v>
      </x:c>
      <x:c r="C195" t="str">
        <x:v>gtja_064</x:v>
      </x:c>
      <x:c r="D195" s="22" t="n">
        <x:v>10</x:v>
      </x:c>
      <x:c r="E195" t="str">
        <x:v>ranked</x:v>
      </x:c>
      <x:c r="F195" s="23" t="n">
        <x:v>0.035302286603448786</x:v>
      </x:c>
      <x:c r="G195" s="23" t="n">
        <x:f>ABS(F195)</x:f>
        <x:v>0.035302286603448786</x:v>
      </x:c>
      <x:c r="H195" s="23" t="str">
        <x:f>IF(F195&gt;=0,"positive","negative")</x:f>
        <x:v>positive</x:v>
      </x:c>
      <x:c r="I195" s="23" t="n">
        <x:v>0.05048674595371734</x:v>
      </x:c>
      <x:c r="J195" s="23" t="n">
        <x:v>0.699238699911684</x:v>
      </x:c>
      <x:c r="K195" s="23" t="n">
        <x:v>0.7660550458715596</x:v>
      </x:c>
      <x:c r="L195" s="24" t="n">
        <x:v>1962</x:v>
      </x:c>
      <x:c r="M195" t="str">
        <x:v>legacy_common_sample_8902245</x:v>
      </x:c>
      <x:c r="N195" s="25" t="n">
        <x:v>46211.2933559838</x:v>
      </x:c>
      <x:c r="O195" s="24" t="n">
        <x:v>8902245</x:v>
      </x:c>
      <x:c r="P195" t="str">
        <x:v>factor_report/gtja191_batch/gtja_064/ic_summary.csv</x:v>
      </x:c>
    </x:row>
    <x:row r="196">
      <x:c r="A196" s="22" t="n">
        <x:f>IF($E196="ranked",1+COUNTIFS($D$5:$D$546,$D196,$E$5:$E$546,"ranked",$F$5:$F$546,"&gt;"&amp;$F196),"")</x:f>
        <x:v>22</x:v>
      </x:c>
      <x:c r="B196" s="22" t="n">
        <x:f>IF($E196="ranked",1+COUNTIFS($D$5:$D$546,$D196,$E$5:$E$546,"ranked",$G$5:$G$546,"&gt;"&amp;$G196),"")</x:f>
        <x:v>76</x:v>
      </x:c>
      <x:c r="C196" t="str">
        <x:v>gtja_077</x:v>
      </x:c>
      <x:c r="D196" s="22" t="n">
        <x:v>10</x:v>
      </x:c>
      <x:c r="E196" t="str">
        <x:v>ranked</x:v>
      </x:c>
      <x:c r="F196" s="23" t="n">
        <x:v>0.035037501642073206</x:v>
      </x:c>
      <x:c r="G196" s="23" t="n">
        <x:f>ABS(F196)</x:f>
        <x:v>0.035037501642073206</x:v>
      </x:c>
      <x:c r="H196" s="23" t="str">
        <x:f>IF(F196&gt;=0,"positive","negative")</x:f>
        <x:v>positive</x:v>
      </x:c>
      <x:c r="I196" s="23" t="n">
        <x:v>0.08890781930598611</x:v>
      </x:c>
      <x:c r="J196" s="23" t="n">
        <x:v>0.3940879656657393</x:v>
      </x:c>
      <x:c r="K196" s="23" t="n">
        <x:v>0.6659969864389754</x:v>
      </x:c>
      <x:c r="L196" s="24" t="n">
        <x:v>1991</x:v>
      </x:c>
      <x:c r="M196" t="str">
        <x:v>legacy_common_sample_8902245</x:v>
      </x:c>
      <x:c r="N196" s="25" t="n">
        <x:v>46211.309369814815</x:v>
      </x:c>
      <x:c r="O196" s="24" t="n">
        <x:v>8902245</x:v>
      </x:c>
      <x:c r="P196" t="str">
        <x:v>factor_report/gtja191_batch/gtja_077/ic_summary.csv</x:v>
      </x:c>
    </x:row>
    <x:row r="197">
      <x:c r="A197" s="22" t="n">
        <x:f>IF($E197="ranked",1+COUNTIFS($D$5:$D$546,$D197,$E$5:$E$546,"ranked",$F$5:$F$546,"&gt;"&amp;$F197),"")</x:f>
        <x:v>23</x:v>
      </x:c>
      <x:c r="B197" s="22" t="n">
        <x:f>IF($E197="ranked",1+COUNTIFS($D$5:$D$546,$D197,$E$5:$E$546,"ranked",$G$5:$G$546,"&gt;"&amp;$G197),"")</x:f>
        <x:v>78</x:v>
      </x:c>
      <x:c r="C197" t="str">
        <x:v>gtja_049</x:v>
      </x:c>
      <x:c r="D197" s="22" t="n">
        <x:v>10</x:v>
      </x:c>
      <x:c r="E197" t="str">
        <x:v>ranked</x:v>
      </x:c>
      <x:c r="F197" s="23" t="n">
        <x:v>0.03477123378486243</x:v>
      </x:c>
      <x:c r="G197" s="23" t="n">
        <x:f>ABS(F197)</x:f>
        <x:v>0.03477123378486243</x:v>
      </x:c>
      <x:c r="H197" s="23" t="str">
        <x:f>IF(F197&gt;=0,"positive","negative")</x:f>
        <x:v>positive</x:v>
      </x:c>
      <x:c r="I197" s="23" t="n">
        <x:v>0.11981679299964852</x:v>
      </x:c>
      <x:c r="J197" s="23" t="n">
        <x:v>0.29020334223905014</x:v>
      </x:c>
      <x:c r="K197" s="23" t="n">
        <x:v>0.6162732295328981</x:v>
      </x:c>
      <x:c r="L197" s="24" t="n">
        <x:v>1991</x:v>
      </x:c>
      <x:c r="M197" t="str">
        <x:v>legacy_common_sample_8902245</x:v>
      </x:c>
      <x:c r="N197" s="25" t="n">
        <x:v>46211.27667114583</x:v>
      </x:c>
      <x:c r="O197" s="24" t="n">
        <x:v>8902245</x:v>
      </x:c>
      <x:c r="P197" t="str">
        <x:v>factor_report/gtja191_batch/gtja_049/ic_summary.csv</x:v>
      </x:c>
    </x:row>
    <x:row r="198">
      <x:c r="A198" s="22" t="n">
        <x:f>IF($E198="ranked",1+COUNTIFS($D$5:$D$546,$D198,$E$5:$E$546,"ranked",$F$5:$F$546,"&gt;"&amp;$F198),"")</x:f>
        <x:v>24</x:v>
      </x:c>
      <x:c r="B198" s="22" t="n">
        <x:f>IF($E198="ranked",1+COUNTIFS($D$5:$D$546,$D198,$E$5:$E$546,"ranked",$G$5:$G$546,"&gt;"&amp;$G198),"")</x:f>
        <x:v>84</x:v>
      </x:c>
      <x:c r="C198" t="str">
        <x:v>gtja_035</x:v>
      </x:c>
      <x:c r="D198" s="22" t="n">
        <x:v>10</x:v>
      </x:c>
      <x:c r="E198" t="str">
        <x:v>ranked</x:v>
      </x:c>
      <x:c r="F198" s="23" t="n">
        <x:v>0.033680898953476535</x:v>
      </x:c>
      <x:c r="G198" s="23" t="n">
        <x:f>ABS(F198)</x:f>
        <x:v>0.033680898953476535</x:v>
      </x:c>
      <x:c r="H198" s="23" t="str">
        <x:f>IF(F198&gt;=0,"positive","negative")</x:f>
        <x:v>positive</x:v>
      </x:c>
      <x:c r="I198" s="23" t="n">
        <x:v>0.09795333147615004</x:v>
      </x:c>
      <x:c r="J198" s="23" t="n">
        <x:v>0.34384638527253414</x:v>
      </x:c>
      <x:c r="K198" s="23" t="n">
        <x:v>0.6494224008036162</x:v>
      </x:c>
      <x:c r="L198" s="24" t="n">
        <x:v>1991</x:v>
      </x:c>
      <x:c r="M198" t="str">
        <x:v>legacy_common_sample_8902245</x:v>
      </x:c>
      <x:c r="N198" s="25" t="n">
        <x:v>46211.2335940162</x:v>
      </x:c>
      <x:c r="O198" s="24" t="n">
        <x:v>8902245</x:v>
      </x:c>
      <x:c r="P198" t="str">
        <x:v>factor_report/gtja191_batch/gtja_035/ic_summary.csv</x:v>
      </x:c>
    </x:row>
    <x:row r="199">
      <x:c r="A199" s="22" t="n">
        <x:f>IF($E199="ranked",1+COUNTIFS($D$5:$D$546,$D199,$E$5:$E$546,"ranked",$F$5:$F$546,"&gt;"&amp;$F199),"")</x:f>
        <x:v>25</x:v>
      </x:c>
      <x:c r="B199" s="22" t="n">
        <x:f>IF($E199="ranked",1+COUNTIFS($D$5:$D$546,$D199,$E$5:$E$546,"ranked",$G$5:$G$546,"&gt;"&amp;$G199),"")</x:f>
        <x:v>85</x:v>
      </x:c>
      <x:c r="C199" t="str">
        <x:v>gtja_139</x:v>
      </x:c>
      <x:c r="D199" s="22" t="n">
        <x:v>10</x:v>
      </x:c>
      <x:c r="E199" t="str">
        <x:v>ranked</x:v>
      </x:c>
      <x:c r="F199" s="23" t="n">
        <x:v>0.033631748401149325</x:v>
      </x:c>
      <x:c r="G199" s="23" t="n">
        <x:f>ABS(F199)</x:f>
        <x:v>0.033631748401149325</x:v>
      </x:c>
      <x:c r="H199" s="23" t="str">
        <x:f>IF(F199&gt;=0,"positive","negative")</x:f>
        <x:v>positive</x:v>
      </x:c>
      <x:c r="I199" s="23" t="n">
        <x:v>0.07414383776056378</x:v>
      </x:c>
      <x:c r="J199" s="23" t="n">
        <x:v>0.45360139718904124</x:v>
      </x:c>
      <x:c r="K199" s="23" t="n">
        <x:v>0.6785534907081868</x:v>
      </x:c>
      <x:c r="L199" s="24" t="n">
        <x:v>1991</x:v>
      </x:c>
      <x:c r="M199" t="str">
        <x:v>legacy_common_sample_8902245</x:v>
      </x:c>
      <x:c r="N199" s="25" t="n">
        <x:v>46211.435147662036</x:v>
      </x:c>
      <x:c r="O199" s="24" t="n">
        <x:v>8902245</x:v>
      </x:c>
      <x:c r="P199" t="str">
        <x:v>factor_report/gtja191_batch/gtja_139/ic_summary.csv</x:v>
      </x:c>
    </x:row>
    <x:row r="200">
      <x:c r="A200" s="22" t="n">
        <x:f>IF($E200="ranked",1+COUNTIFS($D$5:$D$546,$D200,$E$5:$E$546,"ranked",$F$5:$F$546,"&gt;"&amp;$F200),"")</x:f>
        <x:v>26</x:v>
      </x:c>
      <x:c r="B200" s="22" t="n">
        <x:f>IF($E200="ranked",1+COUNTIFS($D$5:$D$546,$D200,$E$5:$E$546,"ranked",$G$5:$G$546,"&gt;"&amp;$G200),"")</x:f>
        <x:v>87</x:v>
      </x:c>
      <x:c r="C200" t="str">
        <x:v>gtja_103</x:v>
      </x:c>
      <x:c r="D200" s="22" t="n">
        <x:v>10</x:v>
      </x:c>
      <x:c r="E200" t="str">
        <x:v>ranked</x:v>
      </x:c>
      <x:c r="F200" s="23" t="n">
        <x:v>0.03330244144600269</x:v>
      </x:c>
      <x:c r="G200" s="23" t="n">
        <x:f>ABS(F200)</x:f>
        <x:v>0.03330244144600269</x:v>
      </x:c>
      <x:c r="H200" s="23" t="str">
        <x:f>IF(F200&gt;=0,"positive","negative")</x:f>
        <x:v>positive</x:v>
      </x:c>
      <x:c r="I200" s="23" t="n">
        <x:v>0.10277969324317926</x:v>
      </x:c>
      <x:c r="J200" s="23" t="n">
        <x:v>0.32401771590433043</x:v>
      </x:c>
      <x:c r="K200" s="23" t="n">
        <x:v>0.6017076845806127</x:v>
      </x:c>
      <x:c r="L200" s="24" t="n">
        <x:v>1991</x:v>
      </x:c>
      <x:c r="M200" t="str">
        <x:v>legacy_common_sample_8902245</x:v>
      </x:c>
      <x:c r="N200" s="25" t="n">
        <x:v>46211.35333019676</x:v>
      </x:c>
      <x:c r="O200" s="24" t="n">
        <x:v>8902245</x:v>
      </x:c>
      <x:c r="P200" t="str">
        <x:v>factor_report/gtja191_batch/gtja_103/ic_summary.csv</x:v>
      </x:c>
    </x:row>
    <x:row r="201">
      <x:c r="A201" s="22" t="n">
        <x:f>IF($E201="ranked",1+COUNTIFS($D$5:$D$546,$D201,$E$5:$E$546,"ranked",$F$5:$F$546,"&gt;"&amp;$F201),"")</x:f>
        <x:v>27</x:v>
      </x:c>
      <x:c r="B201" s="22" t="n">
        <x:f>IF($E201="ranked",1+COUNTIFS($D$5:$D$546,$D201,$E$5:$E$546,"ranked",$G$5:$G$546,"&gt;"&amp;$G201),"")</x:f>
        <x:v>96</x:v>
      </x:c>
      <x:c r="C201" t="str">
        <x:v>gtja_166</x:v>
      </x:c>
      <x:c r="D201" s="22" t="n">
        <x:v>10</x:v>
      </x:c>
      <x:c r="E201" t="str">
        <x:v>ranked</x:v>
      </x:c>
      <x:c r="F201" s="23" t="n">
        <x:v>0.030843813362062756</x:v>
      </x:c>
      <x:c r="G201" s="23" t="n">
        <x:f>ABS(F201)</x:f>
        <x:v>0.030843813362062756</x:v>
      </x:c>
      <x:c r="H201" s="23" t="str">
        <x:f>IF(F201&gt;=0,"positive","negative")</x:f>
        <x:v>positive</x:v>
      </x:c>
      <x:c r="I201" s="23" t="n">
        <x:v>0.08696498295327573</x:v>
      </x:c>
      <x:c r="J201" s="23" t="n">
        <x:v>0.3546693429312166</x:v>
      </x:c>
      <x:c r="K201" s="23" t="n">
        <x:v>0.6368658965344048</x:v>
      </x:c>
      <x:c r="L201" s="24" t="n">
        <x:v>1991</x:v>
      </x:c>
      <x:c r="M201" t="str">
        <x:v>legacy_common_sample_8902245</x:v>
      </x:c>
      <x:c r="N201" s="25" t="n">
        <x:v>46211.52024034722</x:v>
      </x:c>
      <x:c r="O201" s="24" t="n">
        <x:v>8902245</x:v>
      </x:c>
      <x:c r="P201" t="str">
        <x:v>factor_report/gtja191_batch/gtja_166/ic_summary.csv</x:v>
      </x:c>
    </x:row>
    <x:row r="202">
      <x:c r="A202" s="22" t="n">
        <x:f>IF($E202="ranked",1+COUNTIFS($D$5:$D$546,$D202,$E$5:$E$546,"ranked",$F$5:$F$546,"&gt;"&amp;$F202),"")</x:f>
        <x:v>28</x:v>
      </x:c>
      <x:c r="B202" s="22" t="n">
        <x:f>IF($E202="ranked",1+COUNTIFS($D$5:$D$546,$D202,$E$5:$E$546,"ranked",$G$5:$G$546,"&gt;"&amp;$G202),"")</x:f>
        <x:v>97</x:v>
      </x:c>
      <x:c r="C202" t="str">
        <x:v>gtja_033</x:v>
      </x:c>
      <x:c r="D202" s="22" t="n">
        <x:v>10</x:v>
      </x:c>
      <x:c r="E202" t="str">
        <x:v>ranked</x:v>
      </x:c>
      <x:c r="F202" s="23" t="n">
        <x:v>0.030623947788683107</x:v>
      </x:c>
      <x:c r="G202" s="23" t="n">
        <x:f>ABS(F202)</x:f>
        <x:v>0.030623947788683107</x:v>
      </x:c>
      <x:c r="H202" s="23" t="str">
        <x:f>IF(F202&gt;=0,"positive","negative")</x:f>
        <x:v>positive</x:v>
      </x:c>
      <x:c r="I202" s="23" t="n">
        <x:v>0.11567378323717986</x:v>
      </x:c>
      <x:c r="J202" s="23" t="n">
        <x:v>0.26474406673369666</x:v>
      </x:c>
      <x:c r="K202" s="23" t="n">
        <x:v>0.5975677169707021</x:v>
      </x:c>
      <x:c r="L202" s="24" t="n">
        <x:v>1809</x:v>
      </x:c>
      <x:c r="M202" t="str">
        <x:v>legacy_common_sample_8902245</x:v>
      </x:c>
      <x:c r="N202" s="25" t="n">
        <x:v>46211.22782114583</x:v>
      </x:c>
      <x:c r="O202" s="24" t="n">
        <x:v>8902245</x:v>
      </x:c>
      <x:c r="P202" t="str">
        <x:v>factor_report/gtja191_batch/gtja_033/ic_summary.csv</x:v>
      </x:c>
    </x:row>
    <x:row r="203">
      <x:c r="A203" s="22" t="n">
        <x:f>IF($E203="ranked",1+COUNTIFS($D$5:$D$546,$D203,$E$5:$E$546,"ranked",$F$5:$F$546,"&gt;"&amp;$F203),"")</x:f>
        <x:v>29</x:v>
      </x:c>
      <x:c r="B203" s="22" t="n">
        <x:f>IF($E203="ranked",1+COUNTIFS($D$5:$D$546,$D203,$E$5:$E$546,"ranked",$G$5:$G$546,"&gt;"&amp;$G203),"")</x:f>
        <x:v>98</x:v>
      </x:c>
      <x:c r="C203" t="str">
        <x:v>gtja_054</x:v>
      </x:c>
      <x:c r="D203" s="22" t="n">
        <x:v>10</x:v>
      </x:c>
      <x:c r="E203" t="str">
        <x:v>ranked</x:v>
      </x:c>
      <x:c r="F203" s="23" t="n">
        <x:v>0.030596478125827956</x:v>
      </x:c>
      <x:c r="G203" s="23" t="n">
        <x:f>ABS(F203)</x:f>
        <x:v>0.030596478125827956</x:v>
      </x:c>
      <x:c r="H203" s="23" t="str">
        <x:f>IF(F203&gt;=0,"positive","negative")</x:f>
        <x:v>positive</x:v>
      </x:c>
      <x:c r="I203" s="23" t="n">
        <x:v>0.11460406788306993</x:v>
      </x:c>
      <x:c r="J203" s="23" t="n">
        <x:v>0.26697549826106887</x:v>
      </x:c>
      <x:c r="K203" s="23" t="n">
        <x:v>0.6012054244098443</x:v>
      </x:c>
      <x:c r="L203" s="24" t="n">
        <x:v>1991</x:v>
      </x:c>
      <x:c r="M203" t="str">
        <x:v>legacy_common_sample_8902245</x:v>
      </x:c>
      <x:c r="N203" s="25" t="n">
        <x:v>46211.27909778935</x:v>
      </x:c>
      <x:c r="O203" s="24" t="n">
        <x:v>8902245</x:v>
      </x:c>
      <x:c r="P203" t="str">
        <x:v>factor_report/gtja191_batch/gtja_054/ic_summary.csv</x:v>
      </x:c>
    </x:row>
    <x:row r="204">
      <x:c r="A204" s="22" t="n">
        <x:f>IF($E204="ranked",1+COUNTIFS($D$5:$D$546,$D204,$E$5:$E$546,"ranked",$F$5:$F$546,"&gt;"&amp;$F204),"")</x:f>
        <x:v>30</x:v>
      </x:c>
      <x:c r="B204" s="22" t="n">
        <x:f>IF($E204="ranked",1+COUNTIFS($D$5:$D$546,$D204,$E$5:$E$546,"ranked",$G$5:$G$546,"&gt;"&amp;$G204),"")</x:f>
        <x:v>99</x:v>
      </x:c>
      <x:c r="C204" t="str">
        <x:v>gtja_190</x:v>
      </x:c>
      <x:c r="D204" s="22" t="n">
        <x:v>10</x:v>
      </x:c>
      <x:c r="E204" t="str">
        <x:v>ranked</x:v>
      </x:c>
      <x:c r="F204" s="23" t="n">
        <x:v>0.02983995003744111</x:v>
      </x:c>
      <x:c r="G204" s="23" t="n">
        <x:f>ABS(F204)</x:f>
        <x:v>0.02983995003744111</x:v>
      </x:c>
      <x:c r="H204" s="23" t="str">
        <x:f>IF(F204&gt;=0,"positive","negative")</x:f>
        <x:v>positive</x:v>
      </x:c>
      <x:c r="I204" s="23" t="n">
        <x:v>0.07715753599318576</x:v>
      </x:c>
      <x:c r="J204" s="23" t="n">
        <x:v>0.38674057761611846</x:v>
      </x:c>
      <x:c r="K204" s="23" t="n">
        <x:v>0.6438975389251632</x:v>
      </x:c>
      <x:c r="L204" s="24" t="n">
        <x:v>1991</x:v>
      </x:c>
      <x:c r="M204" t="str">
        <x:v>legacy_common_sample_8902245</x:v>
      </x:c>
      <x:c r="N204" s="25" t="n">
        <x:v>46211.55394319444</x:v>
      </x:c>
      <x:c r="O204" s="24" t="n">
        <x:v>8902245</x:v>
      </x:c>
      <x:c r="P204" t="str">
        <x:v>factor_report/gtja191_batch/gtja_190/ic_summary.csv</x:v>
      </x:c>
    </x:row>
    <x:row r="205">
      <x:c r="A205" s="22" t="n">
        <x:f>IF($E205="ranked",1+COUNTIFS($D$5:$D$546,$D205,$E$5:$E$546,"ranked",$F$5:$F$546,"&gt;"&amp;$F205),"")</x:f>
        <x:v>31</x:v>
      </x:c>
      <x:c r="B205" s="22" t="n">
        <x:f>IF($E205="ranked",1+COUNTIFS($D$5:$D$546,$D205,$E$5:$E$546,"ranked",$G$5:$G$546,"&gt;"&amp;$G205),"")</x:f>
        <x:v>100</x:v>
      </x:c>
      <x:c r="C205" t="str">
        <x:v>gtja_148</x:v>
      </x:c>
      <x:c r="D205" s="22" t="n">
        <x:v>10</x:v>
      </x:c>
      <x:c r="E205" t="str">
        <x:v>ranked</x:v>
      </x:c>
      <x:c r="F205" s="23" t="n">
        <x:v>0.029721592729636395</x:v>
      </x:c>
      <x:c r="G205" s="23" t="n">
        <x:f>ABS(F205)</x:f>
        <x:v>0.029721592729636395</x:v>
      </x:c>
      <x:c r="H205" s="23" t="str">
        <x:f>IF(F205&gt;=0,"positive","negative")</x:f>
        <x:v>positive</x:v>
      </x:c>
      <x:c r="I205" s="23" t="n">
        <x:v>0.09209976179930796</x:v>
      </x:c>
      <x:c r="J205" s="23" t="n">
        <x:v>0.32271085341568956</x:v>
      </x:c>
      <x:c r="K205" s="23" t="n">
        <x:v>0.627718765806778</x:v>
      </x:c>
      <x:c r="L205" s="24" t="n">
        <x:v>1977</x:v>
      </x:c>
      <x:c r="M205" t="str">
        <x:v>legacy_common_sample_8902245</x:v>
      </x:c>
      <x:c r="N205" s="25" t="n">
        <x:v>46211.47057563657</x:v>
      </x:c>
      <x:c r="O205" s="24" t="n">
        <x:v>8902245</x:v>
      </x:c>
      <x:c r="P205" t="str">
        <x:v>factor_report/gtja191_batch/gtja_148/ic_summary.csv</x:v>
      </x:c>
    </x:row>
    <x:row r="206">
      <x:c r="A206" s="22" t="n">
        <x:f>IF($E206="ranked",1+COUNTIFS($D$5:$D$546,$D206,$E$5:$E$546,"ranked",$F$5:$F$546,"&gt;"&amp;$F206),"")</x:f>
        <x:v>32</x:v>
      </x:c>
      <x:c r="B206" s="22" t="n">
        <x:f>IF($E206="ranked",1+COUNTIFS($D$5:$D$546,$D206,$E$5:$E$546,"ranked",$G$5:$G$546,"&gt;"&amp;$G206),"")</x:f>
        <x:v>101</x:v>
      </x:c>
      <x:c r="C206" t="str">
        <x:v>gtja_154</x:v>
      </x:c>
      <x:c r="D206" s="22" t="n">
        <x:v>10</x:v>
      </x:c>
      <x:c r="E206" t="str">
        <x:v>ranked</x:v>
      </x:c>
      <x:c r="F206" s="23" t="n">
        <x:v>0.029524560602556423</x:v>
      </x:c>
      <x:c r="G206" s="23" t="n">
        <x:f>ABS(F206)</x:f>
        <x:v>0.029524560602556423</x:v>
      </x:c>
      <x:c r="H206" s="23" t="str">
        <x:f>IF(F206&gt;=0,"positive","negative")</x:f>
        <x:v>positive</x:v>
      </x:c>
      <x:c r="I206" s="23" t="n">
        <x:v>0.0810234334057085</x:v>
      </x:c>
      <x:c r="J206" s="23" t="n">
        <x:v>0.3643953281357276</x:v>
      </x:c>
      <x:c r="K206" s="23" t="n">
        <x:v>0.6357258499730167</x:v>
      </x:c>
      <x:c r="L206" s="24" t="n">
        <x:v>1853</x:v>
      </x:c>
      <x:c r="M206" t="str">
        <x:v>legacy_common_sample_8902245</x:v>
      </x:c>
      <x:c r="N206" s="25" t="n">
        <x:v>46211.49520696759</x:v>
      </x:c>
      <x:c r="O206" s="24" t="n">
        <x:v>8902245</x:v>
      </x:c>
      <x:c r="P206" t="str">
        <x:v>factor_report/gtja191_batch/gtja_154/ic_summary.csv</x:v>
      </x:c>
    </x:row>
    <x:row r="207">
      <x:c r="A207" s="22" t="n">
        <x:f>IF($E207="ranked",1+COUNTIFS($D$5:$D$546,$D207,$E$5:$E$546,"ranked",$F$5:$F$546,"&gt;"&amp;$F207),"")</x:f>
        <x:v>33</x:v>
      </x:c>
      <x:c r="B207" s="22" t="n">
        <x:f>IF($E207="ranked",1+COUNTIFS($D$5:$D$546,$D207,$E$5:$E$546,"ranked",$G$5:$G$546,"&gt;"&amp;$G207),"")</x:f>
        <x:v>102</x:v>
      </x:c>
      <x:c r="C207" t="str">
        <x:v>gtja_098</x:v>
      </x:c>
      <x:c r="D207" s="22" t="n">
        <x:v>10</x:v>
      </x:c>
      <x:c r="E207" t="str">
        <x:v>ranked</x:v>
      </x:c>
      <x:c r="F207" s="23" t="n">
        <x:v>0.029519967003921076</x:v>
      </x:c>
      <x:c r="G207" s="23" t="n">
        <x:f>ABS(F207)</x:f>
        <x:v>0.029519967003921076</x:v>
      </x:c>
      <x:c r="H207" s="23" t="str">
        <x:f>IF(F207&gt;=0,"positive","negative")</x:f>
        <x:v>positive</x:v>
      </x:c>
      <x:c r="I207" s="23" t="n">
        <x:v>0.10716074914773877</x:v>
      </x:c>
      <x:c r="J207" s="23" t="n">
        <x:v>0.27547369012158485</x:v>
      </x:c>
      <x:c r="K207" s="23" t="n">
        <x:v>0.6112506278252134</x:v>
      </x:c>
      <x:c r="L207" s="24" t="n">
        <x:v>1991</x:v>
      </x:c>
      <x:c r="M207" t="str">
        <x:v>legacy_common_sample_8902245</x:v>
      </x:c>
      <x:c r="N207" s="25" t="n">
        <x:v>46211.34572662037</x:v>
      </x:c>
      <x:c r="O207" s="24" t="n">
        <x:v>8902245</x:v>
      </x:c>
      <x:c r="P207" t="str">
        <x:v>factor_report/gtja191_batch/gtja_098/ic_summary.csv</x:v>
      </x:c>
    </x:row>
    <x:row r="208">
      <x:c r="A208" s="22" t="n">
        <x:f>IF($E208="ranked",1+COUNTIFS($D$5:$D$546,$D208,$E$5:$E$546,"ranked",$F$5:$F$546,"&gt;"&amp;$F208),"")</x:f>
        <x:v>34</x:v>
      </x:c>
      <x:c r="B208" s="22" t="n">
        <x:f>IF($E208="ranked",1+COUNTIFS($D$5:$D$546,$D208,$E$5:$E$546,"ranked",$G$5:$G$546,"&gt;"&amp;$G208),"")</x:f>
        <x:v>103</x:v>
      </x:c>
      <x:c r="C208" t="str">
        <x:v>gtja_008</x:v>
      </x:c>
      <x:c r="D208" s="22" t="n">
        <x:v>10</x:v>
      </x:c>
      <x:c r="E208" t="str">
        <x:v>ranked</x:v>
      </x:c>
      <x:c r="F208" s="23" t="n">
        <x:v>0.029069252476887388</x:v>
      </x:c>
      <x:c r="G208" s="23" t="n">
        <x:f>ABS(F208)</x:f>
        <x:v>0.029069252476887388</x:v>
      </x:c>
      <x:c r="H208" s="23" t="str">
        <x:f>IF(F208&gt;=0,"positive","negative")</x:f>
        <x:v>positive</x:v>
      </x:c>
      <x:c r="I208" s="23" t="n">
        <x:v>0.12645840561009833</x:v>
      </x:c>
      <x:c r="J208" s="23" t="n">
        <x:v>0.22987204635898134</x:v>
      </x:c>
      <x:c r="K208" s="23" t="n">
        <x:v>0.5826217980914113</x:v>
      </x:c>
      <x:c r="L208" s="24" t="n">
        <x:v>1991</x:v>
      </x:c>
      <x:c r="M208" t="str">
        <x:v>legacy_common_sample_8902245</x:v>
      </x:c>
      <x:c r="N208" s="25" t="n">
        <x:v>46211.178455532405</x:v>
      </x:c>
      <x:c r="O208" s="24" t="n">
        <x:v>8902245</x:v>
      </x:c>
      <x:c r="P208" t="str">
        <x:v>factor_report/gtja191_batch/gtja_008/ic_summary.csv</x:v>
      </x:c>
    </x:row>
    <x:row r="209">
      <x:c r="A209" s="22" t="n">
        <x:f>IF($E209="ranked",1+COUNTIFS($D$5:$D$546,$D209,$E$5:$E$546,"ranked",$F$5:$F$546,"&gt;"&amp;$F209),"")</x:f>
        <x:v>35</x:v>
      </x:c>
      <x:c r="B209" s="22" t="n">
        <x:f>IF($E209="ranked",1+COUNTIFS($D$5:$D$546,$D209,$E$5:$E$546,"ranked",$G$5:$G$546,"&gt;"&amp;$G209),"")</x:f>
        <x:v>104</x:v>
      </x:c>
      <x:c r="C209" t="str">
        <x:v>gtja_026</x:v>
      </x:c>
      <x:c r="D209" s="22" t="n">
        <x:v>10</x:v>
      </x:c>
      <x:c r="E209" t="str">
        <x:v>ranked</x:v>
      </x:c>
      <x:c r="F209" s="23" t="n">
        <x:v>0.027736643204687658</x:v>
      </x:c>
      <x:c r="G209" s="23" t="n">
        <x:f>ABS(F209)</x:f>
        <x:v>0.027736643204687658</x:v>
      </x:c>
      <x:c r="H209" s="23" t="str">
        <x:f>IF(F209&gt;=0,"positive","negative")</x:f>
        <x:v>positive</x:v>
      </x:c>
      <x:c r="I209" s="23" t="n">
        <x:v>0.12826922904020086</x:v>
      </x:c>
      <x:c r="J209" s="23" t="n">
        <x:v>0.2162377010623079</x:v>
      </x:c>
      <x:c r="K209" s="23" t="n">
        <x:v>0.5768595041322314</x:v>
      </x:c>
      <x:c r="L209" s="24" t="n">
        <x:v>1815</x:v>
      </x:c>
      <x:c r="M209" t="str">
        <x:v>legacy_common_sample_8902245</x:v>
      </x:c>
      <x:c r="N209" s="25" t="n">
        <x:v>46211.21334347222</x:v>
      </x:c>
      <x:c r="O209" s="24" t="n">
        <x:v>8902245</x:v>
      </x:c>
      <x:c r="P209" t="str">
        <x:v>factor_report/gtja191_batch/gtja_026/ic_summary.csv</x:v>
      </x:c>
    </x:row>
    <x:row r="210">
      <x:c r="A210" s="22" t="n">
        <x:f>IF($E210="ranked",1+COUNTIFS($D$5:$D$546,$D210,$E$5:$E$546,"ranked",$F$5:$F$546,"&gt;"&amp;$F210),"")</x:f>
        <x:v>36</x:v>
      </x:c>
      <x:c r="B210" s="22" t="n">
        <x:f>IF($E210="ranked",1+COUNTIFS($D$5:$D$546,$D210,$E$5:$E$546,"ranked",$G$5:$G$546,"&gt;"&amp;$G210),"")</x:f>
        <x:v>105</x:v>
      </x:c>
      <x:c r="C210" t="str">
        <x:v>gtja_168</x:v>
      </x:c>
      <x:c r="D210" s="22" t="n">
        <x:v>10</x:v>
      </x:c>
      <x:c r="E210" t="str">
        <x:v>ranked</x:v>
      </x:c>
      <x:c r="F210" s="23" t="n">
        <x:v>0.02736438952349721</x:v>
      </x:c>
      <x:c r="G210" s="23" t="n">
        <x:f>ABS(F210)</x:f>
        <x:v>0.02736438952349721</x:v>
      </x:c>
      <x:c r="H210" s="23" t="str">
        <x:f>IF(F210&gt;=0,"positive","negative")</x:f>
        <x:v>positive</x:v>
      </x:c>
      <x:c r="I210" s="23" t="n">
        <x:v>0.08383360621500861</x:v>
      </x:c>
      <x:c r="J210" s="23" t="n">
        <x:v>0.3264131266560999</x:v>
      </x:c>
      <x:c r="K210" s="23" t="n">
        <x:v>0.6438975389251632</x:v>
      </x:c>
      <x:c r="L210" s="24" t="n">
        <x:v>1991</x:v>
      </x:c>
      <x:c r="M210" t="str">
        <x:v>legacy_common_sample_8902245</x:v>
      </x:c>
      <x:c r="N210" s="25" t="n">
        <x:v>46211.52286168982</x:v>
      </x:c>
      <x:c r="O210" s="24" t="n">
        <x:v>8902245</x:v>
      </x:c>
      <x:c r="P210" t="str">
        <x:v>factor_report/gtja191_batch/gtja_168/ic_summary.csv</x:v>
      </x:c>
    </x:row>
    <x:row r="211">
      <x:c r="A211" s="22" t="n">
        <x:f>IF($E211="ranked",1+COUNTIFS($D$5:$D$546,$D211,$E$5:$E$546,"ranked",$F$5:$F$546,"&gt;"&amp;$F211),"")</x:f>
        <x:v>37</x:v>
      </x:c>
      <x:c r="B211" s="22" t="n">
        <x:f>IF($E211="ranked",1+COUNTIFS($D$5:$D$546,$D211,$E$5:$E$546,"ranked",$G$5:$G$546,"&gt;"&amp;$G211),"")</x:f>
        <x:v>107</x:v>
      </x:c>
      <x:c r="C211" t="str">
        <x:v>gtja_184</x:v>
      </x:c>
      <x:c r="D211" s="22" t="n">
        <x:v>10</x:v>
      </x:c>
      <x:c r="E211" t="str">
        <x:v>ranked</x:v>
      </x:c>
      <x:c r="F211" s="23" t="n">
        <x:v>0.02710165719105542</x:v>
      </x:c>
      <x:c r="G211" s="23" t="n">
        <x:f>ABS(F211)</x:f>
        <x:v>0.02710165719105542</x:v>
      </x:c>
      <x:c r="H211" s="23" t="str">
        <x:f>IF(F211&gt;=0,"positive","negative")</x:f>
        <x:v>positive</x:v>
      </x:c>
      <x:c r="I211" s="23" t="n">
        <x:v>0.10365133916922002</x:v>
      </x:c>
      <x:c r="J211" s="23" t="n">
        <x:v>0.26146943597911027</x:v>
      </x:c>
      <x:c r="K211" s="23" t="n">
        <x:v>0.6122228231476474</x:v>
      </x:c>
      <x:c r="L211" s="24" t="n">
        <x:v>1849</x:v>
      </x:c>
      <x:c r="M211" t="str">
        <x:v>legacy_common_sample_8902245</x:v>
      </x:c>
      <x:c r="N211" s="25" t="n">
        <x:v>46211.54342018518</x:v>
      </x:c>
      <x:c r="O211" s="24" t="n">
        <x:v>8902245</x:v>
      </x:c>
      <x:c r="P211" t="str">
        <x:v>factor_report/gtja191_batch/gtja_184/ic_summary.csv</x:v>
      </x:c>
    </x:row>
    <x:row r="212">
      <x:c r="A212" s="22" t="n">
        <x:f>IF($E212="ranked",1+COUNTIFS($D$5:$D$546,$D212,$E$5:$E$546,"ranked",$F$5:$F$546,"&gt;"&amp;$F212),"")</x:f>
        <x:v>38</x:v>
      </x:c>
      <x:c r="B212" s="22" t="n">
        <x:f>IF($E212="ranked",1+COUNTIFS($D$5:$D$546,$D212,$E$5:$E$546,"ranked",$G$5:$G$546,"&gt;"&amp;$G212),"")</x:f>
        <x:v>110</x:v>
      </x:c>
      <x:c r="C212" t="str">
        <x:v>gtja_017</x:v>
      </x:c>
      <x:c r="D212" s="22" t="n">
        <x:v>10</x:v>
      </x:c>
      <x:c r="E212" t="str">
        <x:v>ranked</x:v>
      </x:c>
      <x:c r="F212" s="23" t="n">
        <x:v>0.026452121278683006</x:v>
      </x:c>
      <x:c r="G212" s="23" t="n">
        <x:f>ABS(F212)</x:f>
        <x:v>0.026452121278683006</x:v>
      </x:c>
      <x:c r="H212" s="23" t="str">
        <x:f>IF(F212&gt;=0,"positive","negative")</x:f>
        <x:v>positive</x:v>
      </x:c>
      <x:c r="I212" s="23" t="n">
        <x:v>0.12507453656076656</x:v>
      </x:c>
      <x:c r="J212" s="23" t="n">
        <x:v>0.21149085981886837</x:v>
      </x:c>
      <x:c r="K212" s="23" t="n">
        <x:v>0.5765946760421898</x:v>
      </x:c>
      <x:c r="L212" s="24" t="n">
        <x:v>1991</x:v>
      </x:c>
      <x:c r="M212" t="str">
        <x:v>legacy_common_sample_8902245</x:v>
      </x:c>
      <x:c r="N212" s="25" t="n">
        <x:v>46211.200878738426</x:v>
      </x:c>
      <x:c r="O212" s="24" t="n">
        <x:v>8902245</x:v>
      </x:c>
      <x:c r="P212" t="str">
        <x:v>factor_report/gtja191_batch/gtja_017/ic_summary.csv</x:v>
      </x:c>
    </x:row>
    <x:row r="213">
      <x:c r="A213" s="22" t="n">
        <x:f>IF($E213="ranked",1+COUNTIFS($D$5:$D$546,$D213,$E$5:$E$546,"ranked",$F$5:$F$546,"&gt;"&amp;$F213),"")</x:f>
        <x:v>39</x:v>
      </x:c>
      <x:c r="B213" s="22" t="n">
        <x:f>IF($E213="ranked",1+COUNTIFS($D$5:$D$546,$D213,$E$5:$E$546,"ranked",$G$5:$G$546,"&gt;"&amp;$G213),"")</x:f>
        <x:v>111</x:v>
      </x:c>
      <x:c r="C213" t="str">
        <x:v>gtja_065</x:v>
      </x:c>
      <x:c r="D213" s="22" t="n">
        <x:v>10</x:v>
      </x:c>
      <x:c r="E213" t="str">
        <x:v>ranked</x:v>
      </x:c>
      <x:c r="F213" s="23" t="n">
        <x:v>0.025976389900272553</x:v>
      </x:c>
      <x:c r="G213" s="23" t="n">
        <x:f>ABS(F213)</x:f>
        <x:v>0.025976389900272553</x:v>
      </x:c>
      <x:c r="H213" s="23" t="str">
        <x:f>IF(F213&gt;=0,"positive","negative")</x:f>
        <x:v>positive</x:v>
      </x:c>
      <x:c r="I213" s="23" t="n">
        <x:v>0.12824361310834087</x:v>
      </x:c>
      <x:c r="J213" s="23" t="n">
        <x:v>0.2025550377961323</x:v>
      </x:c>
      <x:c r="K213" s="23" t="n">
        <x:v>0.5735811150175791</x:v>
      </x:c>
      <x:c r="L213" s="24" t="n">
        <x:v>1991</x:v>
      </x:c>
      <x:c r="M213" t="str">
        <x:v>legacy_common_sample_8902245</x:v>
      </x:c>
      <x:c r="N213" s="25" t="n">
        <x:v>46211.29584099537</x:v>
      </x:c>
      <x:c r="O213" s="24" t="n">
        <x:v>8902245</x:v>
      </x:c>
      <x:c r="P213" t="str">
        <x:v>factor_report/gtja191_batch/gtja_065/ic_summary.csv</x:v>
      </x:c>
    </x:row>
    <x:row r="214">
      <x:c r="A214" s="22" t="n">
        <x:f>IF($E214="ranked",1+COUNTIFS($D$5:$D$546,$D214,$E$5:$E$546,"ranked",$F$5:$F$546,"&gt;"&amp;$F214),"")</x:f>
        <x:v>40</x:v>
      </x:c>
      <x:c r="B214" s="22" t="n">
        <x:f>IF($E214="ranked",1+COUNTIFS($D$5:$D$546,$D214,$E$5:$E$546,"ranked",$G$5:$G$546,"&gt;"&amp;$G214),"")</x:f>
        <x:v>114</x:v>
      </x:c>
      <x:c r="C214" t="str">
        <x:v>gtja_025</x:v>
      </x:c>
      <x:c r="D214" s="22" t="n">
        <x:v>10</x:v>
      </x:c>
      <x:c r="E214" t="str">
        <x:v>ranked</x:v>
      </x:c>
      <x:c r="F214" s="23" t="n">
        <x:v>0.02562738492603111</x:v>
      </x:c>
      <x:c r="G214" s="23" t="n">
        <x:f>ABS(F214)</x:f>
        <x:v>0.02562738492603111</x:v>
      </x:c>
      <x:c r="H214" s="23" t="str">
        <x:f>IF(F214&gt;=0,"positive","negative")</x:f>
        <x:v>positive</x:v>
      </x:c>
      <x:c r="I214" s="23" t="n">
        <x:v>0.12495399546577021</x:v>
      </x:c>
      <x:c r="J214" s="23" t="n">
        <x:v>0.20509456164650175</x:v>
      </x:c>
      <x:c r="K214" s="23" t="n">
        <x:v>0.5636464702612562</x:v>
      </x:c>
      <x:c r="L214" s="24" t="n">
        <x:v>1799</x:v>
      </x:c>
      <x:c r="M214" t="str">
        <x:v>legacy_common_sample_8902245</x:v>
      </x:c>
      <x:c r="N214" s="25" t="n">
        <x:v>46211.209765810185</x:v>
      </x:c>
      <x:c r="O214" s="24" t="n">
        <x:v>8902245</x:v>
      </x:c>
      <x:c r="P214" t="str">
        <x:v>factor_report/gtja191_batch/gtja_025/ic_summary.csv</x:v>
      </x:c>
    </x:row>
    <x:row r="215">
      <x:c r="A215" s="22" t="n">
        <x:f>IF($E215="ranked",1+COUNTIFS($D$5:$D$546,$D215,$E$5:$E$546,"ranked",$F$5:$F$546,"&gt;"&amp;$F215),"")</x:f>
        <x:v>41</x:v>
      </x:c>
      <x:c r="B215" s="22" t="n">
        <x:f>IF($E215="ranked",1+COUNTIFS($D$5:$D$546,$D215,$E$5:$E$546,"ranked",$G$5:$G$546,"&gt;"&amp;$G215),"")</x:f>
        <x:v>115</x:v>
      </x:c>
      <x:c r="C215" t="str">
        <x:v>gtja_086</x:v>
      </x:c>
      <x:c r="D215" s="22" t="n">
        <x:v>10</x:v>
      </x:c>
      <x:c r="E215" t="str">
        <x:v>ranked</x:v>
      </x:c>
      <x:c r="F215" s="23" t="n">
        <x:v>0.025539523204946915</x:v>
      </x:c>
      <x:c r="G215" s="23" t="n">
        <x:f>ABS(F215)</x:f>
        <x:v>0.025539523204946915</x:v>
      </x:c>
      <x:c r="H215" s="23" t="str">
        <x:f>IF(F215&gt;=0,"positive","negative")</x:f>
        <x:v>positive</x:v>
      </x:c>
      <x:c r="I215" s="23" t="n">
        <x:v>0.09729114568561431</x:v>
      </x:c>
      <x:c r="J215" s="23" t="n">
        <x:v>0.2625061409747922</x:v>
      </x:c>
      <x:c r="K215" s="23" t="n">
        <x:v>0.6092415871421396</x:v>
      </x:c>
      <x:c r="L215" s="24" t="n">
        <x:v>1991</x:v>
      </x:c>
      <x:c r="M215" t="str">
        <x:v>legacy_common_sample_8902245</x:v>
      </x:c>
      <x:c r="N215" s="25" t="n">
        <x:v>46211.32645658565</x:v>
      </x:c>
      <x:c r="O215" s="24" t="n">
        <x:v>8902245</x:v>
      </x:c>
      <x:c r="P215" t="str">
        <x:v>factor_report/gtja191_batch/gtja_086/ic_summary.csv</x:v>
      </x:c>
    </x:row>
    <x:row r="216">
      <x:c r="A216" s="22" t="n">
        <x:f>IF($E216="ranked",1+COUNTIFS($D$5:$D$546,$D216,$E$5:$E$546,"ranked",$F$5:$F$546,"&gt;"&amp;$F216),"")</x:f>
        <x:v>42</x:v>
      </x:c>
      <x:c r="B216" s="22" t="n">
        <x:f>IF($E216="ranked",1+COUNTIFS($D$5:$D$546,$D216,$E$5:$E$546,"ranked",$G$5:$G$546,"&gt;"&amp;$G216),"")</x:f>
        <x:v>116</x:v>
      </x:c>
      <x:c r="C216" t="str">
        <x:v>gtja_001</x:v>
      </x:c>
      <x:c r="D216" s="22" t="n">
        <x:v>10</x:v>
      </x:c>
      <x:c r="E216" t="str">
        <x:v>ranked</x:v>
      </x:c>
      <x:c r="F216" s="23" t="n">
        <x:v>0.02543854179141846</x:v>
      </x:c>
      <x:c r="G216" s="23" t="n">
        <x:f>ABS(F216)</x:f>
        <x:v>0.02543854179141846</x:v>
      </x:c>
      <x:c r="H216" s="23" t="str">
        <x:f>IF(F216&gt;=0,"positive","negative")</x:f>
        <x:v>positive</x:v>
      </x:c>
      <x:c r="I216" s="23" t="n">
        <x:v>0.05750669907208947</x:v>
      </x:c>
      <x:c r="J216" s="23" t="n">
        <x:v>0.44235788528792297</x:v>
      </x:c>
      <x:c r="K216" s="23" t="n">
        <x:v>0.6695128076343546</x:v>
      </x:c>
      <x:c r="L216" s="24" t="n">
        <x:v>1991</x:v>
      </x:c>
      <x:c r="M216" t="str">
        <x:v>legacy_common_sample_8902245</x:v>
      </x:c>
      <x:c r="N216" s="25" t="n">
        <x:v>46211.15197799769</x:v>
      </x:c>
      <x:c r="O216" s="24" t="n">
        <x:v>8902245</x:v>
      </x:c>
      <x:c r="P216" t="str">
        <x:v>factor_report/gtja191_batch/gtja_001/ic_summary.csv</x:v>
      </x:c>
    </x:row>
    <x:row r="217">
      <x:c r="A217" s="22" t="n">
        <x:f>IF($E217="ranked",1+COUNTIFS($D$5:$D$546,$D217,$E$5:$E$546,"ranked",$F$5:$F$546,"&gt;"&amp;$F217),"")</x:f>
        <x:v>43</x:v>
      </x:c>
      <x:c r="B217" s="22" t="n">
        <x:f>IF($E217="ranked",1+COUNTIFS($D$5:$D$546,$D217,$E$5:$E$546,"ranked",$G$5:$G$546,"&gt;"&amp;$G217),"")</x:f>
        <x:v>117</x:v>
      </x:c>
      <x:c r="C217" t="str">
        <x:v>gtja_087</x:v>
      </x:c>
      <x:c r="D217" s="22" t="n">
        <x:v>10</x:v>
      </x:c>
      <x:c r="E217" t="str">
        <x:v>ranked</x:v>
      </x:c>
      <x:c r="F217" s="23" t="n">
        <x:v>0.025257446979528055</x:v>
      </x:c>
      <x:c r="G217" s="23" t="n">
        <x:f>ABS(F217)</x:f>
        <x:v>0.025257446979528055</x:v>
      </x:c>
      <x:c r="H217" s="23" t="str">
        <x:f>IF(F217&gt;=0,"positive","negative")</x:f>
        <x:v>positive</x:v>
      </x:c>
      <x:c r="I217" s="23" t="n">
        <x:v>0.08909173682014304</x:v>
      </x:c>
      <x:c r="J217" s="23" t="n">
        <x:v>0.28349932194629207</x:v>
      </x:c>
      <x:c r="K217" s="23" t="n">
        <x:v>0.6012054244098443</x:v>
      </x:c>
      <x:c r="L217" s="24" t="n">
        <x:v>1991</x:v>
      </x:c>
      <x:c r="M217" t="str">
        <x:v>legacy_common_sample_8902245</x:v>
      </x:c>
      <x:c r="N217" s="25" t="n">
        <x:v>46211.33017637731</x:v>
      </x:c>
      <x:c r="O217" s="24" t="n">
        <x:v>8902245</x:v>
      </x:c>
      <x:c r="P217" t="str">
        <x:v>factor_report/gtja191_batch/gtja_087/ic_summary.csv</x:v>
      </x:c>
    </x:row>
    <x:row r="218">
      <x:c r="A218" s="22" t="n">
        <x:f>IF($E218="ranked",1+COUNTIFS($D$5:$D$546,$D218,$E$5:$E$546,"ranked",$F$5:$F$546,"&gt;"&amp;$F218),"")</x:f>
        <x:v>44</x:v>
      </x:c>
      <x:c r="B218" s="22" t="n">
        <x:f>IF($E218="ranked",1+COUNTIFS($D$5:$D$546,$D218,$E$5:$E$546,"ranked",$G$5:$G$546,"&gt;"&amp;$G218),"")</x:f>
        <x:v>118</x:v>
      </x:c>
      <x:c r="C218" t="str">
        <x:v>gtja_056</x:v>
      </x:c>
      <x:c r="D218" s="22" t="n">
        <x:v>10</x:v>
      </x:c>
      <x:c r="E218" t="str">
        <x:v>ranked</x:v>
      </x:c>
      <x:c r="F218" s="23" t="n">
        <x:v>0.024696541184129516</x:v>
      </x:c>
      <x:c r="G218" s="23" t="n">
        <x:f>ABS(F218)</x:f>
        <x:v>0.024696541184129516</x:v>
      </x:c>
      <x:c r="H218" s="23" t="str">
        <x:f>IF(F218&gt;=0,"positive","negative")</x:f>
        <x:v>positive</x:v>
      </x:c>
      <x:c r="I218" s="23" t="n">
        <x:v>0.08441852211642062</x:v>
      </x:c>
      <x:c r="J218" s="23" t="n">
        <x:v>0.2925488455018295</x:v>
      </x:c>
      <x:c r="K218" s="23" t="n">
        <x:v>0.6045454545454545</x:v>
      </x:c>
      <x:c r="L218" s="24" t="n">
        <x:v>1980</x:v>
      </x:c>
      <x:c r="M218" t="str">
        <x:v>legacy_common_sample_8902245</x:v>
      </x:c>
      <x:c r="N218" s="25" t="n">
        <x:v>46211.28159711805</x:v>
      </x:c>
      <x:c r="O218" s="24" t="n">
        <x:v>8902245</x:v>
      </x:c>
      <x:c r="P218" t="str">
        <x:v>factor_report/gtja191_batch/gtja_056/ic_summary.csv</x:v>
      </x:c>
    </x:row>
    <x:row r="219">
      <x:c r="A219" s="22" t="n">
        <x:f>IF($E219="ranked",1+COUNTIFS($D$5:$D$546,$D219,$E$5:$E$546,"ranked",$F$5:$F$546,"&gt;"&amp;$F219),"")</x:f>
        <x:v>45</x:v>
      </x:c>
      <x:c r="B219" s="22" t="n">
        <x:f>IF($E219="ranked",1+COUNTIFS($D$5:$D$546,$D219,$E$5:$E$546,"ranked",$G$5:$G$546,"&gt;"&amp;$G219),"")</x:f>
        <x:v>120</x:v>
      </x:c>
      <x:c r="C219" t="str">
        <x:v>gtja_113</x:v>
      </x:c>
      <x:c r="D219" s="22" t="n">
        <x:v>10</x:v>
      </x:c>
      <x:c r="E219" t="str">
        <x:v>ranked</x:v>
      </x:c>
      <x:c r="F219" s="23" t="n">
        <x:v>0.022923565843053446</x:v>
      </x:c>
      <x:c r="G219" s="23" t="n">
        <x:f>ABS(F219)</x:f>
        <x:v>0.022923565843053446</x:v>
      </x:c>
      <x:c r="H219" s="23" t="str">
        <x:f>IF(F219&gt;=0,"positive","negative")</x:f>
        <x:v>positive</x:v>
      </x:c>
      <x:c r="I219" s="23" t="n">
        <x:v>0.05654185175707284</x:v>
      </x:c>
      <x:c r="J219" s="23" t="n">
        <x:v>0.40542651382453054</x:v>
      </x:c>
      <x:c r="K219" s="23" t="n">
        <x:v>0.6659969864389754</x:v>
      </x:c>
      <x:c r="L219" s="24" t="n">
        <x:v>1991</x:v>
      </x:c>
      <x:c r="M219" t="str">
        <x:v>legacy_common_sample_8902245</x:v>
      </x:c>
      <x:c r="N219" s="25" t="n">
        <x:v>46211.366626724535</x:v>
      </x:c>
      <x:c r="O219" s="24" t="n">
        <x:v>8902245</x:v>
      </x:c>
      <x:c r="P219" t="str">
        <x:v>factor_report/gtja191_batch/gtja_113/ic_summary.csv</x:v>
      </x:c>
    </x:row>
    <x:row r="220">
      <x:c r="A220" s="22" t="n">
        <x:f>IF($E220="ranked",1+COUNTIFS($D$5:$D$546,$D220,$E$5:$E$546,"ranked",$F$5:$F$546,"&gt;"&amp;$F220),"")</x:f>
        <x:v>46</x:v>
      </x:c>
      <x:c r="B220" s="22" t="n">
        <x:f>IF($E220="ranked",1+COUNTIFS($D$5:$D$546,$D220,$E$5:$E$546,"ranked",$G$5:$G$546,"&gt;"&amp;$G220),"")</x:f>
        <x:v>121</x:v>
      </x:c>
      <x:c r="C220" t="str">
        <x:v>gtja_048</x:v>
      </x:c>
      <x:c r="D220" s="22" t="n">
        <x:v>10</x:v>
      </x:c>
      <x:c r="E220" t="str">
        <x:v>ranked</x:v>
      </x:c>
      <x:c r="F220" s="23" t="n">
        <x:v>0.022741292802513278</x:v>
      </x:c>
      <x:c r="G220" s="23" t="n">
        <x:f>ABS(F220)</x:f>
        <x:v>0.022741292802513278</x:v>
      </x:c>
      <x:c r="H220" s="23" t="str">
        <x:f>IF(F220&gt;=0,"positive","negative")</x:f>
        <x:v>positive</x:v>
      </x:c>
      <x:c r="I220" s="23" t="n">
        <x:v>0.09853818497318383</x:v>
      </x:c>
      <x:c r="J220" s="23" t="n">
        <x:v>0.23078660124196615</x:v>
      </x:c>
      <x:c r="K220" s="23" t="n">
        <x:v>0.5926670015067805</x:v>
      </x:c>
      <x:c r="L220" s="24" t="n">
        <x:v>1991</x:v>
      </x:c>
      <x:c r="M220" t="str">
        <x:v>legacy_common_sample_8902245</x:v>
      </x:c>
      <x:c r="N220" s="25" t="n">
        <x:v>46211.27421923611</x:v>
      </x:c>
      <x:c r="O220" s="24" t="n">
        <x:v>8902245</x:v>
      </x:c>
      <x:c r="P220" t="str">
        <x:v>factor_report/gtja191_batch/gtja_048/ic_summary.csv</x:v>
      </x:c>
    </x:row>
    <x:row r="221">
      <x:c r="A221" s="22" t="n">
        <x:f>IF($E221="ranked",1+COUNTIFS($D$5:$D$546,$D221,$E$5:$E$546,"ranked",$F$5:$F$546,"&gt;"&amp;$F221),"")</x:f>
        <x:v>47</x:v>
      </x:c>
      <x:c r="B221" s="22" t="n">
        <x:f>IF($E221="ranked",1+COUNTIFS($D$5:$D$546,$D221,$E$5:$E$546,"ranked",$G$5:$G$546,"&gt;"&amp;$G221),"")</x:f>
        <x:v>123</x:v>
      </x:c>
      <x:c r="C221" t="str">
        <x:v>gtja_038</x:v>
      </x:c>
      <x:c r="D221" s="22" t="n">
        <x:v>10</x:v>
      </x:c>
      <x:c r="E221" t="str">
        <x:v>ranked</x:v>
      </x:c>
      <x:c r="F221" s="23" t="n">
        <x:v>0.022366618714618012</x:v>
      </x:c>
      <x:c r="G221" s="23" t="n">
        <x:f>ABS(F221)</x:f>
        <x:v>0.022366618714618012</x:v>
      </x:c>
      <x:c r="H221" s="23" t="str">
        <x:f>IF(F221&gt;=0,"positive","negative")</x:f>
        <x:v>positive</x:v>
      </x:c>
      <x:c r="I221" s="23" t="n">
        <x:v>0.07811720635842967</x:v>
      </x:c>
      <x:c r="J221" s="23" t="n">
        <x:v>0.2863212825608736</x:v>
      </x:c>
      <x:c r="K221" s="23" t="n">
        <x:v>0.6212958312405826</x:v>
      </x:c>
      <x:c r="L221" s="24" t="n">
        <x:v>1991</x:v>
      </x:c>
      <x:c r="M221" t="str">
        <x:v>legacy_common_sample_8902245</x:v>
      </x:c>
      <x:c r="N221" s="25" t="n">
        <x:v>46211.24138539352</x:v>
      </x:c>
      <x:c r="O221" s="24" t="n">
        <x:v>8902245</x:v>
      </x:c>
      <x:c r="P221" t="str">
        <x:v>factor_report/gtja191_batch/gtja_038/ic_summary.csv</x:v>
      </x:c>
    </x:row>
    <x:row r="222">
      <x:c r="A222" s="22" t="n">
        <x:f>IF($E222="ranked",1+COUNTIFS($D$5:$D$546,$D222,$E$5:$E$546,"ranked",$F$5:$F$546,"&gt;"&amp;$F222),"")</x:f>
        <x:v>48</x:v>
      </x:c>
      <x:c r="B222" s="22" t="n">
        <x:f>IF($E222="ranked",1+COUNTIFS($D$5:$D$546,$D222,$E$5:$E$546,"ranked",$G$5:$G$546,"&gt;"&amp;$G222),"")</x:f>
        <x:v>125</x:v>
      </x:c>
      <x:c r="C222" t="str">
        <x:v>gtja_136</x:v>
      </x:c>
      <x:c r="D222" s="22" t="n">
        <x:v>10</x:v>
      </x:c>
      <x:c r="E222" t="str">
        <x:v>ranked</x:v>
      </x:c>
      <x:c r="F222" s="23" t="n">
        <x:v>0.022192194068804304</x:v>
      </x:c>
      <x:c r="G222" s="23" t="n">
        <x:f>ABS(F222)</x:f>
        <x:v>0.022192194068804304</x:v>
      </x:c>
      <x:c r="H222" s="23" t="str">
        <x:f>IF(F222&gt;=0,"positive","negative")</x:f>
        <x:v>positive</x:v>
      </x:c>
      <x:c r="I222" s="23" t="n">
        <x:v>0.07372370694543334</x:v>
      </x:c>
      <x:c r="J222" s="23" t="n">
        <x:v>0.301018423900332</x:v>
      </x:c>
      <x:c r="K222" s="23" t="n">
        <x:v>0.6328478151682572</x:v>
      </x:c>
      <x:c r="L222" s="24" t="n">
        <x:v>1991</x:v>
      </x:c>
      <x:c r="M222" t="str">
        <x:v>legacy_common_sample_8902245</x:v>
      </x:c>
      <x:c r="N222" s="25" t="n">
        <x:v>46211.42709479167</x:v>
      </x:c>
      <x:c r="O222" s="24" t="n">
        <x:v>8902245</x:v>
      </x:c>
      <x:c r="P222" t="str">
        <x:v>factor_report/gtja191_batch/gtja_136/ic_summary.csv</x:v>
      </x:c>
    </x:row>
    <x:row r="223">
      <x:c r="A223" s="22" t="n">
        <x:f>IF($E223="ranked",1+COUNTIFS($D$5:$D$546,$D223,$E$5:$E$546,"ranked",$F$5:$F$546,"&gt;"&amp;$F223),"")</x:f>
        <x:v>49</x:v>
      </x:c>
      <x:c r="B223" s="22" t="n">
        <x:f>IF($E223="ranked",1+COUNTIFS($D$5:$D$546,$D223,$E$5:$E$546,"ranked",$G$5:$G$546,"&gt;"&amp;$G223),"")</x:f>
        <x:v>127</x:v>
      </x:c>
      <x:c r="C223" t="str">
        <x:v>gtja_101</x:v>
      </x:c>
      <x:c r="D223" s="22" t="n">
        <x:v>10</x:v>
      </x:c>
      <x:c r="E223" t="str">
        <x:v>ranked</x:v>
      </x:c>
      <x:c r="F223" s="23" t="n">
        <x:v>0.02186142074971069</x:v>
      </x:c>
      <x:c r="G223" s="23" t="n">
        <x:f>ABS(F223)</x:f>
        <x:v>0.02186142074971069</x:v>
      </x:c>
      <x:c r="H223" s="23" t="str">
        <x:f>IF(F223&gt;=0,"positive","negative")</x:f>
        <x:v>positive</x:v>
      </x:c>
      <x:c r="I223" s="23" t="n">
        <x:v>0.05539518381716089</x:v>
      </x:c>
      <x:c r="J223" s="23" t="n">
        <x:v>0.3946447911765613</x:v>
      </x:c>
      <x:c r="K223" s="23" t="n">
        <x:v>0.6598984771573604</x:v>
      </x:c>
      <x:c r="L223" s="24" t="n">
        <x:v>1970</x:v>
      </x:c>
      <x:c r="M223" t="str">
        <x:v>legacy_common_sample_8902245</x:v>
      </x:c>
      <x:c r="N223" s="25" t="n">
        <x:v>46211.35053340278</x:v>
      </x:c>
      <x:c r="O223" s="24" t="n">
        <x:v>8902245</x:v>
      </x:c>
      <x:c r="P223" t="str">
        <x:v>factor_report/gtja191_batch/gtja_101/ic_summary.csv</x:v>
      </x:c>
    </x:row>
    <x:row r="224">
      <x:c r="A224" s="22" t="n">
        <x:f>IF($E224="ranked",1+COUNTIFS($D$5:$D$546,$D224,$E$5:$E$546,"ranked",$F$5:$F$546,"&gt;"&amp;$F224),"")</x:f>
        <x:v>50</x:v>
      </x:c>
      <x:c r="B224" s="22" t="n">
        <x:f>IF($E224="ranked",1+COUNTIFS($D$5:$D$546,$D224,$E$5:$E$546,"ranked",$G$5:$G$546,"&gt;"&amp;$G224),"")</x:f>
        <x:v>129</x:v>
      </x:c>
      <x:c r="C224" t="str">
        <x:v>gtja_108</x:v>
      </x:c>
      <x:c r="D224" s="22" t="n">
        <x:v>10</x:v>
      </x:c>
      <x:c r="E224" t="str">
        <x:v>ranked</x:v>
      </x:c>
      <x:c r="F224" s="23" t="n">
        <x:v>0.021305135627949195</x:v>
      </x:c>
      <x:c r="G224" s="23" t="n">
        <x:f>ABS(F224)</x:f>
        <x:v>0.021305135627949195</x:v>
      </x:c>
      <x:c r="H224" s="23" t="str">
        <x:f>IF(F224&gt;=0,"positive","negative")</x:f>
        <x:v>positive</x:v>
      </x:c>
      <x:c r="I224" s="23" t="n">
        <x:v>0.07875033393800031</x:v>
      </x:c>
      <x:c r="J224" s="23" t="n">
        <x:v>0.2705402575781153</x:v>
      </x:c>
      <x:c r="K224" s="23" t="n">
        <x:v>0.6093506493506493</x:v>
      </x:c>
      <x:c r="L224" s="24" t="n">
        <x:v>1925</x:v>
      </x:c>
      <x:c r="M224" t="str">
        <x:v>legacy_common_sample_8902245</x:v>
      </x:c>
      <x:c r="N224" s="25" t="n">
        <x:v>46211.360724976854</x:v>
      </x:c>
      <x:c r="O224" s="24" t="n">
        <x:v>8902245</x:v>
      </x:c>
      <x:c r="P224" t="str">
        <x:v>factor_report/gtja191_batch/gtja_108/ic_summary.csv</x:v>
      </x:c>
    </x:row>
    <x:row r="225">
      <x:c r="A225" s="22" t="n">
        <x:f>IF($E225="ranked",1+COUNTIFS($D$5:$D$546,$D225,$E$5:$E$546,"ranked",$F$5:$F$546,"&gt;"&amp;$F225),"")</x:f>
        <x:v>51</x:v>
      </x:c>
      <x:c r="B225" s="22" t="n">
        <x:f>IF($E225="ranked",1+COUNTIFS($D$5:$D$546,$D225,$E$5:$E$546,"ranked",$G$5:$G$546,"&gt;"&amp;$G225),"")</x:f>
        <x:v>130</x:v>
      </x:c>
      <x:c r="C225" t="str">
        <x:v>gtja_092</x:v>
      </x:c>
      <x:c r="D225" s="22" t="n">
        <x:v>10</x:v>
      </x:c>
      <x:c r="E225" t="str">
        <x:v>ranked</x:v>
      </x:c>
      <x:c r="F225" s="23" t="n">
        <x:v>0.020594322057518277</x:v>
      </x:c>
      <x:c r="G225" s="23" t="n">
        <x:f>ABS(F225)</x:f>
        <x:v>0.020594322057518277</x:v>
      </x:c>
      <x:c r="H225" s="23" t="str">
        <x:f>IF(F225&gt;=0,"positive","negative")</x:f>
        <x:v>positive</x:v>
      </x:c>
      <x:c r="I225" s="23" t="n">
        <x:v>0.07853710402334353</x:v>
      </x:c>
      <x:c r="J225" s="23" t="n">
        <x:v>0.2622241081285228</x:v>
      </x:c>
      <x:c r="K225" s="23" t="n">
        <x:v>0.595108695652174</x:v>
      </x:c>
      <x:c r="L225" s="24" t="n">
        <x:v>1840</x:v>
      </x:c>
      <x:c r="M225" t="str">
        <x:v>legacy_common_sample_8902245</x:v>
      </x:c>
      <x:c r="N225" s="25" t="n">
        <x:v>46211.339528993056</x:v>
      </x:c>
      <x:c r="O225" s="24" t="n">
        <x:v>8902245</x:v>
      </x:c>
      <x:c r="P225" t="str">
        <x:v>factor_report/gtja191_batch/gtja_092/ic_summary.csv</x:v>
      </x:c>
    </x:row>
    <x:row r="226">
      <x:c r="A226" s="22" t="n">
        <x:f>IF($E226="ranked",1+COUNTIFS($D$5:$D$546,$D226,$E$5:$E$546,"ranked",$F$5:$F$546,"&gt;"&amp;$F226),"")</x:f>
        <x:v>52</x:v>
      </x:c>
      <x:c r="B226" s="22" t="n">
        <x:f>IF($E226="ranked",1+COUNTIFS($D$5:$D$546,$D226,$E$5:$E$546,"ranked",$G$5:$G$546,"&gt;"&amp;$G226),"")</x:f>
        <x:v>131</x:v>
      </x:c>
      <x:c r="C226" t="str">
        <x:v>gtja_072</x:v>
      </x:c>
      <x:c r="D226" s="22" t="n">
        <x:v>10</x:v>
      </x:c>
      <x:c r="E226" t="str">
        <x:v>ranked</x:v>
      </x:c>
      <x:c r="F226" s="23" t="n">
        <x:v>0.020469736367572655</x:v>
      </x:c>
      <x:c r="G226" s="23" t="n">
        <x:f>ABS(F226)</x:f>
        <x:v>0.020469736367572655</x:v>
      </x:c>
      <x:c r="H226" s="23" t="str">
        <x:f>IF(F226&gt;=0,"positive","negative")</x:f>
        <x:v>positive</x:v>
      </x:c>
      <x:c r="I226" s="23" t="n">
        <x:v>0.13068413116098807</x:v>
      </x:c>
      <x:c r="J226" s="23" t="n">
        <x:v>0.1566352103022842</x:v>
      </x:c>
      <x:c r="K226" s="23" t="n">
        <x:v>0.5308890005022602</x:v>
      </x:c>
      <x:c r="L226" s="24" t="n">
        <x:v>1991</x:v>
      </x:c>
      <x:c r="M226" t="str">
        <x:v>legacy_common_sample_8902245</x:v>
      </x:c>
      <x:c r="N226" s="25" t="n">
        <x:v>46211.29907770833</x:v>
      </x:c>
      <x:c r="O226" s="24" t="n">
        <x:v>8902245</x:v>
      </x:c>
      <x:c r="P226" t="str">
        <x:v>factor_report/gtja191_batch/gtja_072/ic_summary.csv</x:v>
      </x:c>
    </x:row>
    <x:row r="227">
      <x:c r="A227" s="22" t="n">
        <x:f>IF($E227="ranked",1+COUNTIFS($D$5:$D$546,$D227,$E$5:$E$546,"ranked",$F$5:$F$546,"&gt;"&amp;$F227),"")</x:f>
        <x:v>53</x:v>
      </x:c>
      <x:c r="B227" s="22" t="n">
        <x:f>IF($E227="ranked",1+COUNTIFS($D$5:$D$546,$D227,$E$5:$E$546,"ranked",$G$5:$G$546,"&gt;"&amp;$G227),"")</x:f>
        <x:v>134</x:v>
      </x:c>
      <x:c r="C227" t="str">
        <x:v>gtja_082</x:v>
      </x:c>
      <x:c r="D227" s="22" t="n">
        <x:v>10</x:v>
      </x:c>
      <x:c r="E227" t="str">
        <x:v>ranked</x:v>
      </x:c>
      <x:c r="F227" s="23" t="n">
        <x:v>0.019699206520663495</x:v>
      </x:c>
      <x:c r="G227" s="23" t="n">
        <x:f>ABS(F227)</x:f>
        <x:v>0.019699206520663495</x:v>
      </x:c>
      <x:c r="H227" s="23" t="str">
        <x:f>IF(F227&gt;=0,"positive","negative")</x:f>
        <x:v>positive</x:v>
      </x:c>
      <x:c r="I227" s="23" t="n">
        <x:v>0.13194206204058712</x:v>
      </x:c>
      <x:c r="J227" s="23" t="n">
        <x:v>0.14930194523262613</x:v>
      </x:c>
      <x:c r="K227" s="23" t="n">
        <x:v>0.5238573581115018</x:v>
      </x:c>
      <x:c r="L227" s="24" t="n">
        <x:v>1991</x:v>
      </x:c>
      <x:c r="M227" t="str">
        <x:v>legacy_common_sample_8902245</x:v>
      </x:c>
      <x:c r="N227" s="25" t="n">
        <x:v>46211.314943969905</x:v>
      </x:c>
      <x:c r="O227" s="24" t="n">
        <x:v>8902245</x:v>
      </x:c>
      <x:c r="P227" t="str">
        <x:v>factor_report/gtja191_batch/gtja_082/ic_summary.csv</x:v>
      </x:c>
    </x:row>
    <x:row r="228">
      <x:c r="A228" s="22" t="n">
        <x:f>IF($E228="ranked",1+COUNTIFS($D$5:$D$546,$D228,$E$5:$E$546,"ranked",$F$5:$F$546,"&gt;"&amp;$F228),"")</x:f>
        <x:v>54</x:v>
      </x:c>
      <x:c r="B228" s="22" t="n">
        <x:f>IF($E228="ranked",1+COUNTIFS($D$5:$D$546,$D228,$E$5:$E$546,"ranked",$G$5:$G$546,"&gt;"&amp;$G228),"")</x:f>
        <x:v>135</x:v>
      </x:c>
      <x:c r="C228" t="str">
        <x:v>gtja_047</x:v>
      </x:c>
      <x:c r="D228" s="22" t="n">
        <x:v>10</x:v>
      </x:c>
      <x:c r="E228" t="str">
        <x:v>ranked</x:v>
      </x:c>
      <x:c r="F228" s="23" t="n">
        <x:v>0.01954156887494311</x:v>
      </x:c>
      <x:c r="G228" s="23" t="n">
        <x:f>ABS(F228)</x:f>
        <x:v>0.01954156887494311</x:v>
      </x:c>
      <x:c r="H228" s="23" t="str">
        <x:f>IF(F228&gt;=0,"positive","negative")</x:f>
        <x:v>positive</x:v>
      </x:c>
      <x:c r="I228" s="23" t="n">
        <x:v>0.12771917807536412</x:v>
      </x:c>
      <x:c r="J228" s="23" t="n">
        <x:v>0.1530041859759862</x:v>
      </x:c>
      <x:c r="K228" s="23" t="n">
        <x:v>0.532898041185334</x:v>
      </x:c>
      <x:c r="L228" s="24" t="n">
        <x:v>1991</x:v>
      </x:c>
      <x:c r="M228" t="str">
        <x:v>legacy_common_sample_8902245</x:v>
      </x:c>
      <x:c r="N228" s="25" t="n">
        <x:v>46211.27178611111</x:v>
      </x:c>
      <x:c r="O228" s="24" t="n">
        <x:v>8902245</x:v>
      </x:c>
      <x:c r="P228" t="str">
        <x:v>factor_report/gtja191_batch/gtja_047/ic_summary.csv</x:v>
      </x:c>
    </x:row>
    <x:row r="229">
      <x:c r="A229" s="22" t="n">
        <x:f>IF($E229="ranked",1+COUNTIFS($D$5:$D$546,$D229,$E$5:$E$546,"ranked",$F$5:$F$546,"&gt;"&amp;$F229),"")</x:f>
        <x:v>55</x:v>
      </x:c>
      <x:c r="B229" s="22" t="n">
        <x:f>IF($E229="ranked",1+COUNTIFS($D$5:$D$546,$D229,$E$5:$E$546,"ranked",$G$5:$G$546,"&gt;"&amp;$G229),"")</x:f>
        <x:v>136</x:v>
      </x:c>
      <x:c r="C229" t="str">
        <x:v>gtja_130</x:v>
      </x:c>
      <x:c r="D229" s="22" t="n">
        <x:v>10</x:v>
      </x:c>
      <x:c r="E229" t="str">
        <x:v>ranked</x:v>
      </x:c>
      <x:c r="F229" s="23" t="n">
        <x:v>0.019332473959898393</x:v>
      </x:c>
      <x:c r="G229" s="23" t="n">
        <x:f>ABS(F229)</x:f>
        <x:v>0.019332473959898393</x:v>
      </x:c>
      <x:c r="H229" s="23" t="str">
        <x:f>IF(F229&gt;=0,"positive","negative")</x:f>
        <x:v>positive</x:v>
      </x:c>
      <x:c r="I229" s="23" t="n">
        <x:v>0.05693808940221937</x:v>
      </x:c>
      <x:c r="J229" s="23" t="n">
        <x:v>0.33953499604334875</x:v>
      </x:c>
      <x:c r="K229" s="23" t="n">
        <x:v>0.6373681567051733</x:v>
      </x:c>
      <x:c r="L229" s="24" t="n">
        <x:v>1991</x:v>
      </x:c>
      <x:c r="M229" t="str">
        <x:v>legacy_common_sample_8902245</x:v>
      </x:c>
      <x:c r="N229" s="25" t="n">
        <x:v>46211.42025105324</x:v>
      </x:c>
      <x:c r="O229" s="24" t="n">
        <x:v>8902245</x:v>
      </x:c>
      <x:c r="P229" t="str">
        <x:v>factor_report/gtja191_batch/gtja_130/ic_summary.csv</x:v>
      </x:c>
    </x:row>
    <x:row r="230">
      <x:c r="A230" s="22" t="n">
        <x:f>IF($E230="ranked",1+COUNTIFS($D$5:$D$546,$D230,$E$5:$E$546,"ranked",$F$5:$F$546,"&gt;"&amp;$F230),"")</x:f>
        <x:v>56</x:v>
      </x:c>
      <x:c r="B230" s="22" t="n">
        <x:f>IF($E230="ranked",1+COUNTIFS($D$5:$D$546,$D230,$E$5:$E$546,"ranked",$G$5:$G$546,"&gt;"&amp;$G230),"")</x:f>
        <x:v>138</x:v>
      </x:c>
      <x:c r="C230" t="str">
        <x:v>gtja_006</x:v>
      </x:c>
      <x:c r="D230" s="22" t="n">
        <x:v>10</x:v>
      </x:c>
      <x:c r="E230" t="str">
        <x:v>ranked</x:v>
      </x:c>
      <x:c r="F230" s="23" t="n">
        <x:v>0.018833424828975622</x:v>
      </x:c>
      <x:c r="G230" s="23" t="n">
        <x:f>ABS(F230)</x:f>
        <x:v>0.018833424828975622</x:v>
      </x:c>
      <x:c r="H230" s="23" t="str">
        <x:f>IF(F230&gt;=0,"positive","negative")</x:f>
        <x:v>positive</x:v>
      </x:c>
      <x:c r="I230" s="23" t="n">
        <x:v>0.09707905734149924</x:v>
      </x:c>
      <x:c r="J230" s="23" t="n">
        <x:v>0.19400090343609808</x:v>
      </x:c>
      <x:c r="K230" s="23" t="n">
        <x:v>0.5650426921145153</x:v>
      </x:c>
      <x:c r="L230" s="24" t="n">
        <x:v>1991</x:v>
      </x:c>
      <x:c r="M230" t="str">
        <x:v>legacy_common_sample_8902245</x:v>
      </x:c>
      <x:c r="N230" s="25" t="n">
        <x:v>46211.17062405092</x:v>
      </x:c>
      <x:c r="O230" s="24" t="n">
        <x:v>8902245</x:v>
      </x:c>
      <x:c r="P230" t="str">
        <x:v>factor_report/gtja191_batch/gtja_006/ic_summary.csv</x:v>
      </x:c>
    </x:row>
    <x:row r="231">
      <x:c r="A231" s="22" t="n">
        <x:f>IF($E231="ranked",1+COUNTIFS($D$5:$D$546,$D231,$E$5:$E$546,"ranked",$F$5:$F$546,"&gt;"&amp;$F231),"")</x:f>
        <x:v>57</x:v>
      </x:c>
      <x:c r="B231" s="22" t="n">
        <x:f>IF($E231="ranked",1+COUNTIFS($D$5:$D$546,$D231,$E$5:$E$546,"ranked",$G$5:$G$546,"&gt;"&amp;$G231),"")</x:f>
        <x:v>139</x:v>
      </x:c>
      <x:c r="C231" t="str">
        <x:v>gtja_141</x:v>
      </x:c>
      <x:c r="D231" s="22" t="n">
        <x:v>10</x:v>
      </x:c>
      <x:c r="E231" t="str">
        <x:v>ranked</x:v>
      </x:c>
      <x:c r="F231" s="23" t="n">
        <x:v>0.0187110845344238</x:v>
      </x:c>
      <x:c r="G231" s="23" t="n">
        <x:f>ABS(F231)</x:f>
        <x:v>0.0187110845344238</x:v>
      </x:c>
      <x:c r="H231" s="23" t="str">
        <x:f>IF(F231&gt;=0,"positive","negative")</x:f>
        <x:v>positive</x:v>
      </x:c>
      <x:c r="I231" s="23" t="n">
        <x:v>0.039497246899380695</x:v>
      </x:c>
      <x:c r="J231" s="23" t="n">
        <x:v>0.4737313611272786</x:v>
      </x:c>
      <x:c r="K231" s="23" t="n">
        <x:v>0.67754897036665</x:v>
      </x:c>
      <x:c r="L231" s="24" t="n">
        <x:v>1991</x:v>
      </x:c>
      <x:c r="M231" t="str">
        <x:v>legacy_common_sample_8902245</x:v>
      </x:c>
      <x:c r="N231" s="25" t="n">
        <x:v>46211.443886967594</x:v>
      </x:c>
      <x:c r="O231" s="24" t="n">
        <x:v>8902245</x:v>
      </x:c>
      <x:c r="P231" t="str">
        <x:v>factor_report/gtja191_batch/gtja_141/ic_summary.csv</x:v>
      </x:c>
    </x:row>
    <x:row r="232">
      <x:c r="A232" s="22" t="n">
        <x:f>IF($E232="ranked",1+COUNTIFS($D$5:$D$546,$D232,$E$5:$E$546,"ranked",$F$5:$F$546,"&gt;"&amp;$F232),"")</x:f>
        <x:v>58</x:v>
      </x:c>
      <x:c r="B232" s="22" t="n">
        <x:f>IF($E232="ranked",1+COUNTIFS($D$5:$D$546,$D232,$E$5:$E$546,"ranked",$G$5:$G$546,"&gt;"&amp;$G232),"")</x:f>
        <x:v>142</x:v>
      </x:c>
      <x:c r="C232" t="str">
        <x:v>gtja_183</x:v>
      </x:c>
      <x:c r="D232" s="22" t="n">
        <x:v>10</x:v>
      </x:c>
      <x:c r="E232" t="str">
        <x:v>ranked</x:v>
      </x:c>
      <x:c r="F232" s="23" t="n">
        <x:v>0.01674646395746224</x:v>
      </x:c>
      <x:c r="G232" s="23" t="n">
        <x:f>ABS(F232)</x:f>
        <x:v>0.01674646395746224</x:v>
      </x:c>
      <x:c r="H232" s="23" t="str">
        <x:f>IF(F232&gt;=0,"positive","negative")</x:f>
        <x:v>positive</x:v>
      </x:c>
      <x:c r="I232" s="23" t="n">
        <x:v>0.08637433289463878</x:v>
      </x:c>
      <x:c r="J232" s="23" t="n">
        <x:v>0.1938824115479992</x:v>
      </x:c>
      <x:c r="K232" s="23" t="n">
        <x:v>0.5994949494949495</x:v>
      </x:c>
      <x:c r="L232" s="24" t="n">
        <x:v>1980</x:v>
      </x:c>
      <x:c r="M232" t="str">
        <x:v>legacy_common_sample_8902245</x:v>
      </x:c>
      <x:c r="N232" s="25" t="n">
        <x:v>46211.5411328125</x:v>
      </x:c>
      <x:c r="O232" s="24" t="n">
        <x:v>8902245</x:v>
      </x:c>
      <x:c r="P232" t="str">
        <x:v>factor_report/gtja191_batch/gtja_183/ic_summary.csv</x:v>
      </x:c>
    </x:row>
    <x:row r="233">
      <x:c r="A233" s="22" t="n">
        <x:f>IF($E233="ranked",1+COUNTIFS($D$5:$D$546,$D233,$E$5:$E$546,"ranked",$F$5:$F$546,"&gt;"&amp;$F233),"")</x:f>
        <x:v>59</x:v>
      </x:c>
      <x:c r="B233" s="22" t="n">
        <x:f>IF($E233="ranked",1+COUNTIFS($D$5:$D$546,$D233,$E$5:$E$546,"ranked",$G$5:$G$546,"&gt;"&amp;$G233),"")</x:f>
        <x:v>147</x:v>
      </x:c>
      <x:c r="C233" t="str">
        <x:v>gtja_037</x:v>
      </x:c>
      <x:c r="D233" s="22" t="n">
        <x:v>10</x:v>
      </x:c>
      <x:c r="E233" t="str">
        <x:v>ranked</x:v>
      </x:c>
      <x:c r="F233" s="23" t="n">
        <x:v>0.014642357715960992</x:v>
      </x:c>
      <x:c r="G233" s="23" t="n">
        <x:f>ABS(F233)</x:f>
        <x:v>0.014642357715960992</x:v>
      </x:c>
      <x:c r="H233" s="23" t="str">
        <x:f>IF(F233&gt;=0,"positive","negative")</x:f>
        <x:v>positive</x:v>
      </x:c>
      <x:c r="I233" s="23" t="n">
        <x:v>0.11433613339229906</x:v>
      </x:c>
      <x:c r="J233" s="23" t="n">
        <x:v>0.12806413232220784</x:v>
      </x:c>
      <x:c r="K233" s="23" t="n">
        <x:v>0.5484681064791562</x:v>
      </x:c>
      <x:c r="L233" s="24" t="n">
        <x:v>1991</x:v>
      </x:c>
      <x:c r="M233" t="str">
        <x:v>legacy_common_sample_8902245</x:v>
      </x:c>
      <x:c r="N233" s="25" t="n">
        <x:v>46211.237209722225</x:v>
      </x:c>
      <x:c r="O233" s="24" t="n">
        <x:v>8902245</x:v>
      </x:c>
      <x:c r="P233" t="str">
        <x:v>factor_report/gtja191_batch/gtja_037/ic_summary.csv</x:v>
      </x:c>
    </x:row>
    <x:row r="234">
      <x:c r="A234" s="22" t="n">
        <x:f>IF($E234="ranked",1+COUNTIFS($D$5:$D$546,$D234,$E$5:$E$546,"ranked",$F$5:$F$546,"&gt;"&amp;$F234),"")</x:f>
        <x:v>60</x:v>
      </x:c>
      <x:c r="B234" s="22" t="n">
        <x:f>IF($E234="ranked",1+COUNTIFS($D$5:$D$546,$D234,$E$5:$E$546,"ranked",$G$5:$G$546,"&gt;"&amp;$G234),"")</x:f>
        <x:v>153</x:v>
      </x:c>
      <x:c r="C234" t="str">
        <x:v>gtja_039</x:v>
      </x:c>
      <x:c r="D234" s="22" t="n">
        <x:v>10</x:v>
      </x:c>
      <x:c r="E234" t="str">
        <x:v>ranked</x:v>
      </x:c>
      <x:c r="F234" s="23" t="n">
        <x:v>0.012210149620699561</x:v>
      </x:c>
      <x:c r="G234" s="23" t="n">
        <x:f>ABS(F234)</x:f>
        <x:v>0.012210149620699561</x:v>
      </x:c>
      <x:c r="H234" s="23" t="str">
        <x:f>IF(F234&gt;=0,"positive","negative")</x:f>
        <x:v>positive</x:v>
      </x:c>
      <x:c r="I234" s="23" t="n">
        <x:v>0.09738862275595522</x:v>
      </x:c>
      <x:c r="J234" s="23" t="n">
        <x:v>0.125375524113292</x:v>
      </x:c>
      <x:c r="K234" s="23" t="n">
        <x:v>0.5524861878453039</x:v>
      </x:c>
      <x:c r="L234" s="24" t="n">
        <x:v>1810</x:v>
      </x:c>
      <x:c r="M234" t="str">
        <x:v>legacy_common_sample_8902245</x:v>
      </x:c>
      <x:c r="N234" s="25" t="n">
        <x:v>46211.24500390046</x:v>
      </x:c>
      <x:c r="O234" s="24" t="n">
        <x:v>8902245</x:v>
      </x:c>
      <x:c r="P234" t="str">
        <x:v>factor_report/gtja191_batch/gtja_039/ic_summary.csv</x:v>
      </x:c>
    </x:row>
    <x:row r="235">
      <x:c r="A235" s="22" t="n">
        <x:f>IF($E235="ranked",1+COUNTIFS($D$5:$D$546,$D235,$E$5:$E$546,"ranked",$F$5:$F$546,"&gt;"&amp;$F235),"")</x:f>
        <x:v>61</x:v>
      </x:c>
      <x:c r="B235" s="22" t="n">
        <x:f>IF($E235="ranked",1+COUNTIFS($D$5:$D$546,$D235,$E$5:$E$546,"ranked",$G$5:$G$546,"&gt;"&amp;$G235),"")</x:f>
        <x:v>154</x:v>
      </x:c>
      <x:c r="C235" t="str">
        <x:v>gtja_123</x:v>
      </x:c>
      <x:c r="D235" s="22" t="n">
        <x:v>10</x:v>
      </x:c>
      <x:c r="E235" t="str">
        <x:v>ranked</x:v>
      </x:c>
      <x:c r="F235" s="23" t="n">
        <x:v>0.011980777322754587</x:v>
      </x:c>
      <x:c r="G235" s="23" t="n">
        <x:f>ABS(F235)</x:f>
        <x:v>0.011980777322754587</x:v>
      </x:c>
      <x:c r="H235" s="23" t="str">
        <x:f>IF(F235&gt;=0,"positive","negative")</x:f>
        <x:v>positive</x:v>
      </x:c>
      <x:c r="I235" s="23" t="n">
        <x:v>0.05701727096237239</x:v>
      </x:c>
      <x:c r="J235" s="23" t="n">
        <x:v>0.21012540797789328</x:v>
      </x:c>
      <x:c r="K235" s="23" t="n">
        <x:v>0.58634742740703</x:v>
      </x:c>
      <x:c r="L235" s="24" t="n">
        <x:v>1963</x:v>
      </x:c>
      <x:c r="M235" t="str">
        <x:v>legacy_common_sample_8902245</x:v>
      </x:c>
      <x:c r="N235" s="25" t="n">
        <x:v>46211.407905775464</x:v>
      </x:c>
      <x:c r="O235" s="24" t="n">
        <x:v>8902245</x:v>
      </x:c>
      <x:c r="P235" t="str">
        <x:v>factor_report/gtja191_batch/gtja_123/ic_summary.csv</x:v>
      </x:c>
    </x:row>
    <x:row r="236">
      <x:c r="A236" s="22" t="n">
        <x:f>IF($E236="ranked",1+COUNTIFS($D$5:$D$546,$D236,$E$5:$E$546,"ranked",$F$5:$F$546,"&gt;"&amp;$F236),"")</x:f>
        <x:v>62</x:v>
      </x:c>
      <x:c r="B236" s="22" t="n">
        <x:f>IF($E236="ranked",1+COUNTIFS($D$5:$D$546,$D236,$E$5:$E$546,"ranked",$G$5:$G$546,"&gt;"&amp;$G236),"")</x:f>
        <x:v>156</x:v>
      </x:c>
      <x:c r="C236" t="str">
        <x:v>gtja_013</x:v>
      </x:c>
      <x:c r="D236" s="22" t="n">
        <x:v>10</x:v>
      </x:c>
      <x:c r="E236" t="str">
        <x:v>ranked</x:v>
      </x:c>
      <x:c r="F236" s="23" t="n">
        <x:v>0.011452862954066247</x:v>
      </x:c>
      <x:c r="G236" s="23" t="n">
        <x:f>ABS(F236)</x:f>
        <x:v>0.011452862954066247</x:v>
      </x:c>
      <x:c r="H236" s="23" t="str">
        <x:f>IF(F236&gt;=0,"positive","negative")</x:f>
        <x:v>positive</x:v>
      </x:c>
      <x:c r="I236" s="23" t="n">
        <x:v>0.12270115444722708</x:v>
      </x:c>
      <x:c r="J236" s="23" t="n">
        <x:v>0.0933394881707657</x:v>
      </x:c>
      <x:c r="K236" s="23" t="n">
        <x:v>0.5278754394776495</x:v>
      </x:c>
      <x:c r="L236" s="24" t="n">
        <x:v>1991</x:v>
      </x:c>
      <x:c r="M236" t="str">
        <x:v>legacy_common_sample_8902245</x:v>
      </x:c>
      <x:c r="N236" s="25" t="n">
        <x:v>46211.18888071759</x:v>
      </x:c>
      <x:c r="O236" s="24" t="n">
        <x:v>8902245</x:v>
      </x:c>
      <x:c r="P236" t="str">
        <x:v>factor_report/gtja191_batch/gtja_013/ic_summary.csv</x:v>
      </x:c>
    </x:row>
    <x:row r="237">
      <x:c r="A237" s="22" t="n">
        <x:f>IF($E237="ranked",1+COUNTIFS($D$5:$D$546,$D237,$E$5:$E$546,"ranked",$F$5:$F$546,"&gt;"&amp;$F237),"")</x:f>
        <x:v>63</x:v>
      </x:c>
      <x:c r="B237" s="22" t="n">
        <x:f>IF($E237="ranked",1+COUNTIFS($D$5:$D$546,$D237,$E$5:$E$546,"ranked",$G$5:$G$546,"&gt;"&amp;$G237),"")</x:f>
        <x:v>158</x:v>
      </x:c>
      <x:c r="C237" t="str">
        <x:v>gtja_117</x:v>
      </x:c>
      <x:c r="D237" s="22" t="n">
        <x:v>10</x:v>
      </x:c>
      <x:c r="E237" t="str">
        <x:v>ranked</x:v>
      </x:c>
      <x:c r="F237" s="23" t="n">
        <x:v>0.010421149081802894</x:v>
      </x:c>
      <x:c r="G237" s="23" t="n">
        <x:f>ABS(F237)</x:f>
        <x:v>0.010421149081802894</x:v>
      </x:c>
      <x:c r="H237" s="23" t="str">
        <x:f>IF(F237&gt;=0,"positive","negative")</x:f>
        <x:v>positive</x:v>
      </x:c>
      <x:c r="I237" s="23" t="n">
        <x:v>0.0934284991523459</x:v>
      </x:c>
      <x:c r="J237" s="23" t="n">
        <x:v>0.11154143731678717</x:v>
      </x:c>
      <x:c r="K237" s="23" t="n">
        <x:v>0.5213460572576595</x:v>
      </x:c>
      <x:c r="L237" s="24" t="n">
        <x:v>1991</x:v>
      </x:c>
      <x:c r="M237" t="str">
        <x:v>legacy_common_sample_8902245</x:v>
      </x:c>
      <x:c r="N237" s="25" t="n">
        <x:v>46211.384815150464</x:v>
      </x:c>
      <x:c r="O237" s="24" t="n">
        <x:v>8902245</x:v>
      </x:c>
      <x:c r="P237" t="str">
        <x:v>factor_report/gtja191_batch/gtja_117/ic_summary.csv</x:v>
      </x:c>
    </x:row>
    <x:row r="238">
      <x:c r="A238" s="22" t="n">
        <x:f>IF($E238="ranked",1+COUNTIFS($D$5:$D$546,$D238,$E$5:$E$546,"ranked",$F$5:$F$546,"&gt;"&amp;$F238),"")</x:f>
        <x:v>64</x:v>
      </x:c>
      <x:c r="B238" s="22" t="n">
        <x:f>IF($E238="ranked",1+COUNTIFS($D$5:$D$546,$D238,$E$5:$E$546,"ranked",$G$5:$G$546,"&gt;"&amp;$G238),"")</x:f>
        <x:v>159</x:v>
      </x:c>
      <x:c r="C238" t="str">
        <x:v>gtja_125</x:v>
      </x:c>
      <x:c r="D238" s="22" t="n">
        <x:v>10</x:v>
      </x:c>
      <x:c r="E238" t="str">
        <x:v>ranked</x:v>
      </x:c>
      <x:c r="F238" s="23" t="n">
        <x:v>0.010222219351592081</x:v>
      </x:c>
      <x:c r="G238" s="23" t="n">
        <x:f>ABS(F238)</x:f>
        <x:v>0.010222219351592081</x:v>
      </x:c>
      <x:c r="H238" s="23" t="str">
        <x:f>IF(F238&gt;=0,"positive","negative")</x:f>
        <x:v>positive</x:v>
      </x:c>
      <x:c r="I238" s="23" t="n">
        <x:v>0.0972860472893756</x:v>
      </x:c>
      <x:c r="J238" s="23" t="n">
        <x:v>0.10507384806360026</x:v>
      </x:c>
      <x:c r="K238" s="23" t="n">
        <x:v>0.5281653746770025</x:v>
      </x:c>
      <x:c r="L238" s="24" t="n">
        <x:v>1935</x:v>
      </x:c>
      <x:c r="M238" t="str">
        <x:v>legacy_common_sample_8902245</x:v>
      </x:c>
      <x:c r="N238" s="25" t="n">
        <x:v>46211.41519543981</x:v>
      </x:c>
      <x:c r="O238" s="24" t="n">
        <x:v>8902245</x:v>
      </x:c>
      <x:c r="P238" t="str">
        <x:v>factor_report/gtja191_batch/gtja_125/ic_summary.csv</x:v>
      </x:c>
    </x:row>
    <x:row r="239">
      <x:c r="A239" s="22" t="n">
        <x:f>IF($E239="ranked",1+COUNTIFS($D$5:$D$546,$D239,$E$5:$E$546,"ranked",$F$5:$F$546,"&gt;"&amp;$F239),"")</x:f>
        <x:v>65</x:v>
      </x:c>
      <x:c r="B239" s="22" t="n">
        <x:f>IF($E239="ranked",1+COUNTIFS($D$5:$D$546,$D239,$E$5:$E$546,"ranked",$G$5:$G$546,"&gt;"&amp;$G239),"")</x:f>
        <x:v>160</x:v>
      </x:c>
      <x:c r="C239" t="str">
        <x:v>gtja_085</x:v>
      </x:c>
      <x:c r="D239" s="22" t="n">
        <x:v>10</x:v>
      </x:c>
      <x:c r="E239" t="str">
        <x:v>ranked</x:v>
      </x:c>
      <x:c r="F239" s="23" t="n">
        <x:v>0.009101116867026332</x:v>
      </x:c>
      <x:c r="G239" s="23" t="n">
        <x:f>ABS(F239)</x:f>
        <x:v>0.009101116867026332</x:v>
      </x:c>
      <x:c r="H239" s="23" t="str">
        <x:f>IF(F239&gt;=0,"positive","negative")</x:f>
        <x:v>positive</x:v>
      </x:c>
      <x:c r="I239" s="23" t="n">
        <x:v>0.08057092252195697</x:v>
      </x:c>
      <x:c r="J239" s="23" t="n">
        <x:v>0.11295783369671758</x:v>
      </x:c>
      <x:c r="K239" s="23" t="n">
        <x:v>0.531893520843797</x:v>
      </x:c>
      <x:c r="L239" s="24" t="n">
        <x:v>1991</x:v>
      </x:c>
      <x:c r="M239" t="str">
        <x:v>legacy_common_sample_8902245</x:v>
      </x:c>
      <x:c r="N239" s="25" t="n">
        <x:v>46211.32386585648</x:v>
      </x:c>
      <x:c r="O239" s="24" t="n">
        <x:v>8902245</x:v>
      </x:c>
      <x:c r="P239" t="str">
        <x:v>factor_report/gtja191_batch/gtja_085/ic_summary.csv</x:v>
      </x:c>
    </x:row>
    <x:row r="240">
      <x:c r="A240" s="22" t="n">
        <x:f>IF($E240="ranked",1+COUNTIFS($D$5:$D$546,$D240,$E$5:$E$546,"ranked",$F$5:$F$546,"&gt;"&amp;$F240),"")</x:f>
        <x:v>66</x:v>
      </x:c>
      <x:c r="B240" s="22" t="n">
        <x:f>IF($E240="ranked",1+COUNTIFS($D$5:$D$546,$D240,$E$5:$E$546,"ranked",$G$5:$G$546,"&gt;"&amp;$G240),"")</x:f>
        <x:v>161</x:v>
      </x:c>
      <x:c r="C240" t="str">
        <x:v>gtja_114</x:v>
      </x:c>
      <x:c r="D240" s="22" t="n">
        <x:v>10</x:v>
      </x:c>
      <x:c r="E240" t="str">
        <x:v>ranked</x:v>
      </x:c>
      <x:c r="F240" s="23" t="n">
        <x:v>0.00891392515696735</x:v>
      </x:c>
      <x:c r="G240" s="23" t="n">
        <x:f>ABS(F240)</x:f>
        <x:v>0.00891392515696735</x:v>
      </x:c>
      <x:c r="H240" s="23" t="str">
        <x:f>IF(F240&gt;=0,"positive","negative")</x:f>
        <x:v>positive</x:v>
      </x:c>
      <x:c r="I240" s="23" t="n">
        <x:v>0.11771309318310749</x:v>
      </x:c>
      <x:c r="J240" s="23" t="n">
        <x:v>0.07572585951081395</x:v>
      </x:c>
      <x:c r="K240" s="23" t="n">
        <x:v>0.520843797086891</x:v>
      </x:c>
      <x:c r="L240" s="24" t="n">
        <x:v>1991</x:v>
      </x:c>
      <x:c r="M240" t="str">
        <x:v>legacy_common_sample_8902245</x:v>
      </x:c>
      <x:c r="N240" s="25" t="n">
        <x:v>46211.36905150463</x:v>
      </x:c>
      <x:c r="O240" s="24" t="n">
        <x:v>8902245</x:v>
      </x:c>
      <x:c r="P240" t="str">
        <x:v>factor_report/gtja191_batch/gtja_114/ic_summary.csv</x:v>
      </x:c>
    </x:row>
    <x:row r="241">
      <x:c r="A241" s="22" t="n">
        <x:f>IF($E241="ranked",1+COUNTIFS($D$5:$D$546,$D241,$E$5:$E$546,"ranked",$F$5:$F$546,"&gt;"&amp;$F241),"")</x:f>
        <x:v>67</x:v>
      </x:c>
      <x:c r="B241" s="22" t="n">
        <x:f>IF($E241="ranked",1+COUNTIFS($D$5:$D$546,$D241,$E$5:$E$546,"ranked",$G$5:$G$546,"&gt;"&amp;$G241),"")</x:f>
        <x:v>162</x:v>
      </x:c>
      <x:c r="C241" t="str">
        <x:v>gtja_104</x:v>
      </x:c>
      <x:c r="D241" s="22" t="n">
        <x:v>10</x:v>
      </x:c>
      <x:c r="E241" t="str">
        <x:v>ranked</x:v>
      </x:c>
      <x:c r="F241" s="23" t="n">
        <x:v>0.007983525906834345</x:v>
      </x:c>
      <x:c r="G241" s="23" t="n">
        <x:f>ABS(F241)</x:f>
        <x:v>0.007983525906834345</x:v>
      </x:c>
      <x:c r="H241" s="23" t="str">
        <x:f>IF(F241&gt;=0,"positive","negative")</x:f>
        <x:v>positive</x:v>
      </x:c>
      <x:c r="I241" s="23" t="n">
        <x:v>0.057706998425646236</x:v>
      </x:c>
      <x:c r="J241" s="23" t="n">
        <x:v>0.13834588740776188</x:v>
      </x:c>
      <x:c r="K241" s="23" t="n">
        <x:v>0.5560020090406831</x:v>
      </x:c>
      <x:c r="L241" s="24" t="n">
        <x:v>1991</x:v>
      </x:c>
      <x:c r="M241" t="str">
        <x:v>legacy_common_sample_8902245</x:v>
      </x:c>
      <x:c r="N241" s="25" t="n">
        <x:v>46211.35578873842</x:v>
      </x:c>
      <x:c r="O241" s="24" t="n">
        <x:v>8902245</x:v>
      </x:c>
      <x:c r="P241" t="str">
        <x:v>factor_report/gtja191_batch/gtja_104/ic_summary.csv</x:v>
      </x:c>
    </x:row>
    <x:row r="242">
      <x:c r="A242" s="22" t="n">
        <x:f>IF($E242="ranked",1+COUNTIFS($D$5:$D$546,$D242,$E$5:$E$546,"ranked",$F$5:$F$546,"&gt;"&amp;$F242),"")</x:f>
        <x:v>68</x:v>
      </x:c>
      <x:c r="B242" s="22" t="n">
        <x:f>IF($E242="ranked",1+COUNTIFS($D$5:$D$546,$D242,$E$5:$E$546,"ranked",$G$5:$G$546,"&gt;"&amp;$G242),"")</x:f>
        <x:v>163</x:v>
      </x:c>
      <x:c r="C242" t="str">
        <x:v>gtja_180</x:v>
      </x:c>
      <x:c r="D242" s="22" t="n">
        <x:v>10</x:v>
      </x:c>
      <x:c r="E242" t="str">
        <x:v>ranked</x:v>
      </x:c>
      <x:c r="F242" s="23" t="n">
        <x:v>0.007859838396532771</x:v>
      </x:c>
      <x:c r="G242" s="23" t="n">
        <x:f>ABS(F242)</x:f>
        <x:v>0.007859838396532771</x:v>
      </x:c>
      <x:c r="H242" s="23" t="str">
        <x:f>IF(F242&gt;=0,"positive","negative")</x:f>
        <x:v>positive</x:v>
      </x:c>
      <x:c r="I242" s="23" t="n">
        <x:v>0.07507463235858297</x:v>
      </x:c>
      <x:c r="J242" s="23" t="n">
        <x:v>0.10469366481864881</x:v>
      </x:c>
      <x:c r="K242" s="23" t="n">
        <x:v>0.5479658463083877</x:v>
      </x:c>
      <x:c r="L242" s="24" t="n">
        <x:v>1991</x:v>
      </x:c>
      <x:c r="M242" t="str">
        <x:v>legacy_common_sample_8902245</x:v>
      </x:c>
      <x:c r="N242" s="25" t="n">
        <x:v>46211.53854369213</x:v>
      </x:c>
      <x:c r="O242" s="24" t="n">
        <x:v>8902245</x:v>
      </x:c>
      <x:c r="P242" t="str">
        <x:v>factor_report/gtja191_batch/gtja_180/ic_summary.csv</x:v>
      </x:c>
    </x:row>
    <x:row r="243">
      <x:c r="A243" s="22" t="n">
        <x:f>IF($E243="ranked",1+COUNTIFS($D$5:$D$546,$D243,$E$5:$E$546,"ranked",$F$5:$F$546,"&gt;"&amp;$F243),"")</x:f>
        <x:v>69</x:v>
      </x:c>
      <x:c r="B243" s="22" t="n">
        <x:f>IF($E243="ranked",1+COUNTIFS($D$5:$D$546,$D243,$E$5:$E$546,"ranked",$G$5:$G$546,"&gt;"&amp;$G243),"")</x:f>
        <x:v>165</x:v>
      </x:c>
      <x:c r="C243" t="str">
        <x:v>gtja_115</x:v>
      </x:c>
      <x:c r="D243" s="22" t="n">
        <x:v>10</x:v>
      </x:c>
      <x:c r="E243" t="str">
        <x:v>ranked</x:v>
      </x:c>
      <x:c r="F243" s="23" t="n">
        <x:v>0.007737353715511953</x:v>
      </x:c>
      <x:c r="G243" s="23" t="n">
        <x:f>ABS(F243)</x:f>
        <x:v>0.007737353715511953</x:v>
      </x:c>
      <x:c r="H243" s="23" t="str">
        <x:f>IF(F243&gt;=0,"positive","negative")</x:f>
        <x:v>positive</x:v>
      </x:c>
      <x:c r="I243" s="23" t="n">
        <x:v>0.0643886303941607</x:v>
      </x:c>
      <x:c r="J243" s="23" t="n">
        <x:v>0.12016645901841765</x:v>
      </x:c>
      <x:c r="K243" s="23" t="n">
        <x:v>0.5374183827222502</x:v>
      </x:c>
      <x:c r="L243" s="24" t="n">
        <x:v>1991</x:v>
      </x:c>
      <x:c r="M243" t="str">
        <x:v>legacy_common_sample_8902245</x:v>
      </x:c>
      <x:c r="N243" s="25" t="n">
        <x:v>46211.375733472225</x:v>
      </x:c>
      <x:c r="O243" s="24" t="n">
        <x:v>8902245</x:v>
      </x:c>
      <x:c r="P243" t="str">
        <x:v>factor_report/gtja191_batch/gtja_115/ic_summary.csv</x:v>
      </x:c>
    </x:row>
    <x:row r="244">
      <x:c r="A244" s="22" t="n">
        <x:f>IF($E244="ranked",1+COUNTIFS($D$5:$D$546,$D244,$E$5:$E$546,"ranked",$F$5:$F$546,"&gt;"&amp;$F244),"")</x:f>
        <x:v>70</x:v>
      </x:c>
      <x:c r="B244" s="22" t="n">
        <x:f>IF($E244="ranked",1+COUNTIFS($D$5:$D$546,$D244,$E$5:$E$546,"ranked",$G$5:$G$546,"&gt;"&amp;$G244),"")</x:f>
        <x:v>167</x:v>
      </x:c>
      <x:c r="C244" t="str">
        <x:v>gtja_170</x:v>
      </x:c>
      <x:c r="D244" s="22" t="n">
        <x:v>10</x:v>
      </x:c>
      <x:c r="E244" t="str">
        <x:v>ranked</x:v>
      </x:c>
      <x:c r="F244" s="23" t="n">
        <x:v>0.006814785039770921</x:v>
      </x:c>
      <x:c r="G244" s="23" t="n">
        <x:f>ABS(F244)</x:f>
        <x:v>0.006814785039770921</x:v>
      </x:c>
      <x:c r="H244" s="23" t="str">
        <x:f>IF(F244&gt;=0,"positive","negative")</x:f>
        <x:v>positive</x:v>
      </x:c>
      <x:c r="I244" s="23" t="n">
        <x:v>0.1202017890590247</x:v>
      </x:c>
      <x:c r="J244" s="23" t="n">
        <x:v>0.056694539183809844</x:v>
      </x:c>
      <x:c r="K244" s="23" t="n">
        <x:v>0.4992466097438473</x:v>
      </x:c>
      <x:c r="L244" s="24" t="n">
        <x:v>1991</x:v>
      </x:c>
      <x:c r="M244" t="str">
        <x:v>legacy_common_sample_8902245</x:v>
      </x:c>
      <x:c r="N244" s="25" t="n">
        <x:v>46211.52554471065</x:v>
      </x:c>
      <x:c r="O244" s="24" t="n">
        <x:v>8902245</x:v>
      </x:c>
      <x:c r="P244" t="str">
        <x:v>factor_report/gtja191_batch/gtja_170/ic_summary.csv</x:v>
      </x:c>
    </x:row>
    <x:row r="245">
      <x:c r="A245" s="22" t="n">
        <x:f>IF($E245="ranked",1+COUNTIFS($D$5:$D$546,$D245,$E$5:$E$546,"ranked",$F$5:$F$546,"&gt;"&amp;$F245),"")</x:f>
        <x:v>71</x:v>
      </x:c>
      <x:c r="B245" s="22" t="n">
        <x:f>IF($E245="ranked",1+COUNTIFS($D$5:$D$546,$D245,$E$5:$E$546,"ranked",$G$5:$G$546,"&gt;"&amp;$G245),"")</x:f>
        <x:v>169</x:v>
      </x:c>
      <x:c r="C245" t="str">
        <x:v>gtja_165</x:v>
      </x:c>
      <x:c r="D245" s="22" t="n">
        <x:v>10</x:v>
      </x:c>
      <x:c r="E245" t="str">
        <x:v>ranked</x:v>
      </x:c>
      <x:c r="F245" s="23" t="n">
        <x:v>0.004761957217324623</x:v>
      </x:c>
      <x:c r="G245" s="23" t="n">
        <x:f>ABS(F245)</x:f>
        <x:v>0.004761957217324623</x:v>
      </x:c>
      <x:c r="H245" s="23" t="str">
        <x:f>IF(F245&gt;=0,"positive","negative")</x:f>
        <x:v>positive</x:v>
      </x:c>
      <x:c r="I245" s="23" t="n">
        <x:v>0.08510343411218707</x:v>
      </x:c>
      <x:c r="J245" s="23" t="n">
        <x:v>0.05595493609631784</x:v>
      </x:c>
      <x:c r="K245" s="23" t="n">
        <x:v>0.5167714884696016</x:v>
      </x:c>
      <x:c r="L245" s="24" t="n">
        <x:v>1908</x:v>
      </x:c>
      <x:c r="M245" t="str">
        <x:v>legacy_common_sample_8902245</x:v>
      </x:c>
      <x:c r="N245" s="25" t="n">
        <x:v>46211.5176621412</x:v>
      </x:c>
      <x:c r="O245" s="24" t="n">
        <x:v>8902245</x:v>
      </x:c>
      <x:c r="P245" t="str">
        <x:v>factor_report/gtja191_batch/gtja_165/ic_summary.csv</x:v>
      </x:c>
    </x:row>
    <x:row r="246">
      <x:c r="A246" s="22" t="n">
        <x:f>IF($E246="ranked",1+COUNTIFS($D$5:$D$546,$D246,$E$5:$E$546,"ranked",$F$5:$F$546,"&gt;"&amp;$F246),"")</x:f>
        <x:v>72</x:v>
      </x:c>
      <x:c r="B246" s="22" t="n">
        <x:f>IF($E246="ranked",1+COUNTIFS($D$5:$D$546,$D246,$E$5:$E$546,"ranked",$G$5:$G$546,"&gt;"&amp;$G246),"")</x:f>
        <x:v>172</x:v>
      </x:c>
      <x:c r="C246" t="str">
        <x:v>gtja_111</x:v>
      </x:c>
      <x:c r="D246" s="22" t="n">
        <x:v>10</x:v>
      </x:c>
      <x:c r="E246" t="str">
        <x:v>ranked</x:v>
      </x:c>
      <x:c r="F246" s="23" t="n">
        <x:v>0.0043128644724922645</x:v>
      </x:c>
      <x:c r="G246" s="23" t="n">
        <x:f>ABS(F246)</x:f>
        <x:v>0.0043128644724922645</x:v>
      </x:c>
      <x:c r="H246" s="23" t="str">
        <x:f>IF(F246&gt;=0,"positive","negative")</x:f>
        <x:v>positive</x:v>
      </x:c>
      <x:c r="I246" s="23" t="n">
        <x:v>0.09278976456057449</x:v>
      </x:c>
      <x:c r="J246" s="23" t="n">
        <x:v>0.04647995921658757</x:v>
      </x:c>
      <x:c r="K246" s="23" t="n">
        <x:v>0.5193370165745856</x:v>
      </x:c>
      <x:c r="L246" s="24" t="n">
        <x:v>1991</x:v>
      </x:c>
      <x:c r="M246" t="str">
        <x:v>legacy_common_sample_8902245</x:v>
      </x:c>
      <x:c r="N246" s="25" t="n">
        <x:v>46211.36424368055</x:v>
      </x:c>
      <x:c r="O246" s="24" t="n">
        <x:v>8902245</x:v>
      </x:c>
      <x:c r="P246" t="str">
        <x:v>factor_report/gtja191_batch/gtja_111/ic_summary.csv</x:v>
      </x:c>
    </x:row>
    <x:row r="247">
      <x:c r="A247" s="22" t="n">
        <x:f>IF($E247="ranked",1+COUNTIFS($D$5:$D$546,$D247,$E$5:$E$546,"ranked",$F$5:$F$546,"&gt;"&amp;$F247),"")</x:f>
        <x:v>73</x:v>
      </x:c>
      <x:c r="B247" s="22" t="n">
        <x:f>IF($E247="ranked",1+COUNTIFS($D$5:$D$546,$D247,$E$5:$E$546,"ranked",$G$5:$G$546,"&gt;"&amp;$G247),"")</x:f>
        <x:v>173</x:v>
      </x:c>
      <x:c r="C247" t="str">
        <x:v>gtja_163</x:v>
      </x:c>
      <x:c r="D247" s="22" t="n">
        <x:v>10</x:v>
      </x:c>
      <x:c r="E247" t="str">
        <x:v>ranked</x:v>
      </x:c>
      <x:c r="F247" s="23" t="n">
        <x:v>0.004280049698009344</x:v>
      </x:c>
      <x:c r="G247" s="23" t="n">
        <x:f>ABS(F247)</x:f>
        <x:v>0.004280049698009344</x:v>
      </x:c>
      <x:c r="H247" s="23" t="str">
        <x:f>IF(F247&gt;=0,"positive","negative")</x:f>
        <x:v>positive</x:v>
      </x:c>
      <x:c r="I247" s="23" t="n">
        <x:v>0.11505100717817177</x:v>
      </x:c>
      <x:c r="J247" s="23" t="n">
        <x:v>0.037201323160788315</x:v>
      </x:c>
      <x:c r="K247" s="23" t="n">
        <x:v>0.5052737317930688</x:v>
      </x:c>
      <x:c r="L247" s="24" t="n">
        <x:v>1991</x:v>
      </x:c>
      <x:c r="M247" t="str">
        <x:v>legacy_common_sample_8902245</x:v>
      </x:c>
      <x:c r="N247" s="25" t="n">
        <x:v>46211.5122449537</x:v>
      </x:c>
      <x:c r="O247" s="24" t="n">
        <x:v>8902245</x:v>
      </x:c>
      <x:c r="P247" t="str">
        <x:v>factor_report/gtja191_batch/gtja_163/ic_summary.csv</x:v>
      </x:c>
    </x:row>
    <x:row r="248">
      <x:c r="A248" s="22" t="n">
        <x:f>IF($E248="ranked",1+COUNTIFS($D$5:$D$546,$D248,$E$5:$E$546,"ranked",$F$5:$F$546,"&gt;"&amp;$F248),"")</x:f>
        <x:v>74</x:v>
      </x:c>
      <x:c r="B248" s="22" t="n">
        <x:f>IF($E248="ranked",1+COUNTIFS($D$5:$D$546,$D248,$E$5:$E$546,"ranked",$G$5:$G$546,"&gt;"&amp;$G248),"")</x:f>
        <x:v>174</x:v>
      </x:c>
      <x:c r="C248" t="str">
        <x:v>gtja_002</x:v>
      </x:c>
      <x:c r="D248" s="22" t="n">
        <x:v>10</x:v>
      </x:c>
      <x:c r="E248" t="str">
        <x:v>ranked</x:v>
      </x:c>
      <x:c r="F248" s="23" t="n">
        <x:v>0.003331327897083199</x:v>
      </x:c>
      <x:c r="G248" s="23" t="n">
        <x:f>ABS(F248)</x:f>
        <x:v>0.003331327897083199</x:v>
      </x:c>
      <x:c r="H248" s="23" t="str">
        <x:f>IF(F248&gt;=0,"positive","negative")</x:f>
        <x:v>positive</x:v>
      </x:c>
      <x:c r="I248" s="23" t="n">
        <x:v>0.09708540008217934</x:v>
      </x:c>
      <x:c r="J248" s="23" t="n">
        <x:v>0.03431337661752796</x:v>
      </x:c>
      <x:c r="K248" s="23" t="n">
        <x:v>0.5163234555499749</x:v>
      </x:c>
      <x:c r="L248" s="24" t="n">
        <x:v>1991</x:v>
      </x:c>
      <x:c r="M248" t="str">
        <x:v>legacy_common_sample_8902245</x:v>
      </x:c>
      <x:c r="N248" s="25" t="n">
        <x:v>46211.155761828704</x:v>
      </x:c>
      <x:c r="O248" s="24" t="n">
        <x:v>8902245</x:v>
      </x:c>
      <x:c r="P248" t="str">
        <x:v>factor_report/gtja191_batch/gtja_002/ic_summary.csv</x:v>
      </x:c>
    </x:row>
    <x:row r="249">
      <x:c r="A249" s="22" t="n">
        <x:f>IF($E249="ranked",1+COUNTIFS($D$5:$D$546,$D249,$E$5:$E$546,"ranked",$F$5:$F$546,"&gt;"&amp;$F249),"")</x:f>
        <x:v>75</x:v>
      </x:c>
      <x:c r="B249" s="22" t="n">
        <x:f>IF($E249="ranked",1+COUNTIFS($D$5:$D$546,$D249,$E$5:$E$546,"ranked",$G$5:$G$546,"&gt;"&amp;$G249),"")</x:f>
        <x:v>175</x:v>
      </x:c>
      <x:c r="C249" t="str">
        <x:v>gtja_073</x:v>
      </x:c>
      <x:c r="D249" s="22" t="n">
        <x:v>10</x:v>
      </x:c>
      <x:c r="E249" t="str">
        <x:v>ranked</x:v>
      </x:c>
      <x:c r="F249" s="23" t="n">
        <x:v>0.0030758054530690684</x:v>
      </x:c>
      <x:c r="G249" s="23" t="n">
        <x:f>ABS(F249)</x:f>
        <x:v>0.0030758054530690684</x:v>
      </x:c>
      <x:c r="H249" s="23" t="str">
        <x:f>IF(F249&gt;=0,"positive","negative")</x:f>
        <x:v>positive</x:v>
      </x:c>
      <x:c r="I249" s="23" t="n">
        <x:v>0.05679791113395078</x:v>
      </x:c>
      <x:c r="J249" s="23" t="n">
        <x:v>0.05415349599416016</x:v>
      </x:c>
      <x:c r="K249" s="23" t="n">
        <x:v>0.5429432446007032</x:v>
      </x:c>
      <x:c r="L249" s="24" t="n">
        <x:v>1991</x:v>
      </x:c>
      <x:c r="M249" t="str">
        <x:v>legacy_common_sample_8902245</x:v>
      </x:c>
      <x:c r="N249" s="25" t="n">
        <x:v>46211.30391246528</x:v>
      </x:c>
      <x:c r="O249" s="24" t="n">
        <x:v>8902245</x:v>
      </x:c>
      <x:c r="P249" t="str">
        <x:v>factor_report/gtja191_batch/gtja_073/ic_summary.csv</x:v>
      </x:c>
    </x:row>
    <x:row r="250">
      <x:c r="A250" s="22" t="n">
        <x:f>IF($E250="ranked",1+COUNTIFS($D$5:$D$546,$D250,$E$5:$E$546,"ranked",$F$5:$F$546,"&gt;"&amp;$F250),"")</x:f>
        <x:v>76</x:v>
      </x:c>
      <x:c r="B250" s="22" t="n">
        <x:f>IF($E250="ranked",1+COUNTIFS($D$5:$D$546,$D250,$E$5:$E$546,"ranked",$G$5:$G$546,"&gt;"&amp;$G250),"")</x:f>
        <x:v>177</x:v>
      </x:c>
      <x:c r="C250" t="str">
        <x:v>gtja_138</x:v>
      </x:c>
      <x:c r="D250" s="22" t="n">
        <x:v>10</x:v>
      </x:c>
      <x:c r="E250" t="str">
        <x:v>ranked</x:v>
      </x:c>
      <x:c r="F250" s="23" t="n">
        <x:v>0.0028396447418830703</x:v>
      </x:c>
      <x:c r="G250" s="23" t="n">
        <x:f>ABS(F250)</x:f>
        <x:v>0.0028396447418830703</x:v>
      </x:c>
      <x:c r="H250" s="23" t="str">
        <x:f>IF(F250&gt;=0,"positive","negative")</x:f>
        <x:v>positive</x:v>
      </x:c>
      <x:c r="I250" s="23" t="n">
        <x:v>0.22902868897523224</x:v>
      </x:c>
      <x:c r="J250" s="23" t="n">
        <x:v>0.012398642085359695</x:v>
      </x:c>
      <x:c r="K250" s="23" t="n">
        <x:v>0.5138961719979025</x:v>
      </x:c>
      <x:c r="L250" s="24" t="n">
        <x:v>1907</x:v>
      </x:c>
      <x:c r="M250" t="str">
        <x:v>legacy_common_sample_8902245</x:v>
      </x:c>
      <x:c r="N250" s="25" t="n">
        <x:v>46211.431942800926</x:v>
      </x:c>
      <x:c r="O250" s="24" t="n">
        <x:v>8902245</x:v>
      </x:c>
      <x:c r="P250" t="str">
        <x:v>factor_report/gtja191_batch/gtja_138/ic_summary.csv</x:v>
      </x:c>
    </x:row>
    <x:row r="251">
      <x:c r="A251" s="22" t="n">
        <x:f>IF($E251="ranked",1+COUNTIFS($D$5:$D$546,$D251,$E$5:$E$546,"ranked",$F$5:$F$546,"&gt;"&amp;$F251),"")</x:f>
        <x:v>77</x:v>
      </x:c>
      <x:c r="B251" s="22" t="n">
        <x:f>IF($E251="ranked",1+COUNTIFS($D$5:$D$546,$D251,$E$5:$E$546,"ranked",$G$5:$G$546,"&gt;"&amp;$G251),"")</x:f>
        <x:v>180</x:v>
      </x:c>
      <x:c r="C251" t="str">
        <x:v>gtja_119</x:v>
      </x:c>
      <x:c r="D251" s="22" t="n">
        <x:v>10</x:v>
      </x:c>
      <x:c r="E251" t="str">
        <x:v>ranked</x:v>
      </x:c>
      <x:c r="F251" s="23" t="n">
        <x:v>0.0011128183046609727</x:v>
      </x:c>
      <x:c r="G251" s="23" t="n">
        <x:f>ABS(F251)</x:f>
        <x:v>0.0011128183046609727</x:v>
      </x:c>
      <x:c r="H251" s="23" t="str">
        <x:f>IF(F251&gt;=0,"positive","negative")</x:f>
        <x:v>positive</x:v>
      </x:c>
      <x:c r="I251" s="23" t="n">
        <x:v>0.05215670566259264</x:v>
      </x:c>
      <x:c r="J251" s="23" t="n">
        <x:v>0.021336054310253306</x:v>
      </x:c>
      <x:c r="K251" s="23" t="n">
        <x:v>0.5143144148669011</x:v>
      </x:c>
      <x:c r="L251" s="24" t="n">
        <x:v>1991</x:v>
      </x:c>
      <x:c r="M251" t="str">
        <x:v>legacy_common_sample_8902245</x:v>
      </x:c>
      <x:c r="N251" s="25" t="n">
        <x:v>46211.39142025463</x:v>
      </x:c>
      <x:c r="O251" s="24" t="n">
        <x:v>8902245</x:v>
      </x:c>
      <x:c r="P251" t="str">
        <x:v>factor_report/gtja191_batch/gtja_119/ic_summary.csv</x:v>
      </x:c>
    </x:row>
    <x:row r="252">
      <x:c r="A252" s="22" t="n">
        <x:f>IF($E252="ranked",1+COUNTIFS($D$5:$D$546,$D252,$E$5:$E$546,"ranked",$F$5:$F$546,"&gt;"&amp;$F252),"")</x:f>
        <x:v>78</x:v>
      </x:c>
      <x:c r="B252" s="22" t="n">
        <x:f>IF($E252="ranked",1+COUNTIFS($D$5:$D$546,$D252,$E$5:$E$546,"ranked",$G$5:$G$546,"&gt;"&amp;$G252),"")</x:f>
        <x:v>182</x:v>
      </x:c>
      <x:c r="C252" t="str">
        <x:v>gtja_004</x:v>
      </x:c>
      <x:c r="D252" s="22" t="n">
        <x:v>10</x:v>
      </x:c>
      <x:c r="E252" t="str">
        <x:v>ranked</x:v>
      </x:c>
      <x:c r="F252" s="23" t="n">
        <x:v>0.00039597296901405636</x:v>
      </x:c>
      <x:c r="G252" s="23" t="n">
        <x:f>ABS(F252)</x:f>
        <x:v>0.00039597296901405636</x:v>
      </x:c>
      <x:c r="H252" s="23" t="str">
        <x:f>IF(F252&gt;=0,"positive","negative")</x:f>
        <x:v>positive</x:v>
      </x:c>
      <x:c r="I252" s="23" t="n">
        <x:v>0.06728270365550235</x:v>
      </x:c>
      <x:c r="J252" s="23" t="n">
        <x:v>0.005885211911838413</x:v>
      </x:c>
      <x:c r="K252" s="23" t="n">
        <x:v>0.46609743847312907</x:v>
      </x:c>
      <x:c r="L252" s="24" t="n">
        <x:v>1991</x:v>
      </x:c>
      <x:c r="M252" t="str">
        <x:v>legacy_common_sample_8902245</x:v>
      </x:c>
      <x:c r="N252" s="25" t="n">
        <x:v>46211.15884189815</x:v>
      </x:c>
      <x:c r="O252" s="24" t="n">
        <x:v>8902245</x:v>
      </x:c>
      <x:c r="P252" t="str">
        <x:v>factor_report/gtja191_batch/gtja_004/ic_summary.csv</x:v>
      </x:c>
    </x:row>
    <x:row r="253">
      <x:c r="A253" s="22" t="n">
        <x:f>IF($E253="ranked",1+COUNTIFS($D$5:$D$546,$D253,$E$5:$E$546,"ranked",$F$5:$F$546,"&gt;"&amp;$F253),"")</x:f>
        <x:v>79</x:v>
      </x:c>
      <x:c r="B253" s="22" t="n">
        <x:f>IF($E253="ranked",1+COUNTIFS($D$5:$D$546,$D253,$E$5:$E$546,"ranked",$G$5:$G$546,"&gt;"&amp;$G253),"")</x:f>
        <x:v>181</x:v>
      </x:c>
      <x:c r="C253" t="str">
        <x:v>gtja_142</x:v>
      </x:c>
      <x:c r="D253" s="22" t="n">
        <x:v>10</x:v>
      </x:c>
      <x:c r="E253" t="str">
        <x:v>ranked</x:v>
      </x:c>
      <x:c r="F253" s="23" t="n">
        <x:v>-0.0007659892413414567</x:v>
      </x:c>
      <x:c r="G253" s="23" t="n">
        <x:f>ABS(F253)</x:f>
        <x:v>0.0007659892413414567</x:v>
      </x:c>
      <x:c r="H253" s="23" t="str">
        <x:f>IF(F253&gt;=0,"positive","negative")</x:f>
        <x:v>negative</x:v>
      </x:c>
      <x:c r="I253" s="23" t="n">
        <x:v>0.10218567158630457</x:v>
      </x:c>
      <x:c r="J253" s="23" t="n">
        <x:v>-0.007496053306206566</x:v>
      </x:c>
      <x:c r="K253" s="23" t="n">
        <x:v>0.49874434957307884</x:v>
      </x:c>
      <x:c r="L253" s="24" t="n">
        <x:v>1991</x:v>
      </x:c>
      <x:c r="M253" t="str">
        <x:v>legacy_common_sample_8902245</x:v>
      </x:c>
      <x:c r="N253" s="25" t="n">
        <x:v>46211.45015293981</x:v>
      </x:c>
      <x:c r="O253" s="24" t="n">
        <x:v>8902245</x:v>
      </x:c>
      <x:c r="P253" t="str">
        <x:v>factor_report/gtja191_batch/gtja_142/ic_summary.csv</x:v>
      </x:c>
    </x:row>
    <x:row r="254">
      <x:c r="A254" s="22" t="n">
        <x:f>IF($E254="ranked",1+COUNTIFS($D$5:$D$546,$D254,$E$5:$E$546,"ranked",$F$5:$F$546,"&gt;"&amp;$F254),"")</x:f>
        <x:v>80</x:v>
      </x:c>
      <x:c r="B254" s="22" t="n">
        <x:f>IF($E254="ranked",1+COUNTIFS($D$5:$D$546,$D254,$E$5:$E$546,"ranked",$G$5:$G$546,"&gt;"&amp;$G254),"")</x:f>
        <x:v>179</x:v>
      </x:c>
      <x:c r="C254" t="str">
        <x:v>gtja_171</x:v>
      </x:c>
      <x:c r="D254" s="22" t="n">
        <x:v>10</x:v>
      </x:c>
      <x:c r="E254" t="str">
        <x:v>ranked</x:v>
      </x:c>
      <x:c r="F254" s="23" t="n">
        <x:v>-0.0015023745819483184</x:v>
      </x:c>
      <x:c r="G254" s="23" t="n">
        <x:f>ABS(F254)</x:f>
        <x:v>0.0015023745819483184</x:v>
      </x:c>
      <x:c r="H254" s="23" t="str">
        <x:f>IF(F254&gt;=0,"positive","negative")</x:f>
        <x:v>negative</x:v>
      </x:c>
      <x:c r="I254" s="23" t="n">
        <x:v>0.0979458021620016</x:v>
      </x:c>
      <x:c r="J254" s="23" t="n">
        <x:v>-0.01533883585396955</x:v>
      </x:c>
      <x:c r="K254" s="23" t="n">
        <x:v>0.47965846308387744</x:v>
      </x:c>
      <x:c r="L254" s="24" t="n">
        <x:v>1991</x:v>
      </x:c>
      <x:c r="M254" t="str">
        <x:v>legacy_common_sample_8902245</x:v>
      </x:c>
      <x:c r="N254" s="25" t="n">
        <x:v>46211.52808474537</x:v>
      </x:c>
      <x:c r="O254" s="24" t="n">
        <x:v>8902245</x:v>
      </x:c>
      <x:c r="P254" t="str">
        <x:v>factor_report/gtja191_batch/gtja_171/ic_summary.csv</x:v>
      </x:c>
    </x:row>
    <x:row r="255">
      <x:c r="A255" s="22" t="n">
        <x:f>IF($E255="ranked",1+COUNTIFS($D$5:$D$546,$D255,$E$5:$E$546,"ranked",$F$5:$F$546,"&gt;"&amp;$F255),"")</x:f>
        <x:v>81</x:v>
      </x:c>
      <x:c r="B255" s="22" t="n">
        <x:f>IF($E255="ranked",1+COUNTIFS($D$5:$D$546,$D255,$E$5:$E$546,"ranked",$G$5:$G$546,"&gt;"&amp;$G255),"")</x:f>
        <x:v>178</x:v>
      </x:c>
      <x:c r="C255" t="str">
        <x:v>gtja_186</x:v>
      </x:c>
      <x:c r="D255" s="22" t="n">
        <x:v>10</x:v>
      </x:c>
      <x:c r="E255" t="str">
        <x:v>ranked</x:v>
      </x:c>
      <x:c r="F255" s="23" t="n">
        <x:v>-0.0023580811704866154</x:v>
      </x:c>
      <x:c r="G255" s="23" t="n">
        <x:f>ABS(F255)</x:f>
        <x:v>0.0023580811704866154</x:v>
      </x:c>
      <x:c r="H255" s="23" t="str">
        <x:f>IF(F255&gt;=0,"positive","negative")</x:f>
        <x:v>negative</x:v>
      </x:c>
      <x:c r="I255" s="23" t="n">
        <x:v>0.08103642870233961</x:v>
      </x:c>
      <x:c r="J255" s="23" t="n">
        <x:v>-0.02909902630517249</x:v>
      </x:c>
      <x:c r="K255" s="23" t="n">
        <x:v>0.4635861376192868</x:v>
      </x:c>
      <x:c r="L255" s="24" t="n">
        <x:v>1991</x:v>
      </x:c>
      <x:c r="M255" t="str">
        <x:v>legacy_common_sample_8902245</x:v>
      </x:c>
      <x:c r="N255" s="25" t="n">
        <x:v>46211.5485016088</x:v>
      </x:c>
      <x:c r="O255" s="24" t="n">
        <x:v>8902245</x:v>
      </x:c>
      <x:c r="P255" t="str">
        <x:v>factor_report/gtja191_batch/gtja_186/ic_summary.csv</x:v>
      </x:c>
    </x:row>
    <x:row r="256">
      <x:c r="A256" s="22" t="n">
        <x:f>IF($E256="ranked",1+COUNTIFS($D$5:$D$546,$D256,$E$5:$E$546,"ranked",$F$5:$F$546,"&gt;"&amp;$F256),"")</x:f>
        <x:v>82</x:v>
      </x:c>
      <x:c r="B256" s="22" t="n">
        <x:f>IF($E256="ranked",1+COUNTIFS($D$5:$D$546,$D256,$E$5:$E$546,"ranked",$G$5:$G$546,"&gt;"&amp;$G256),"")</x:f>
        <x:v>176</x:v>
      </x:c>
      <x:c r="C256" t="str">
        <x:v>gtja_172</x:v>
      </x:c>
      <x:c r="D256" s="22" t="n">
        <x:v>10</x:v>
      </x:c>
      <x:c r="E256" t="str">
        <x:v>ranked</x:v>
      </x:c>
      <x:c r="F256" s="23" t="n">
        <x:v>-0.0028721415964441267</x:v>
      </x:c>
      <x:c r="G256" s="23" t="n">
        <x:f>ABS(F256)</x:f>
        <x:v>0.0028721415964441267</x:v>
      </x:c>
      <x:c r="H256" s="23" t="str">
        <x:f>IF(F256&gt;=0,"positive","negative")</x:f>
        <x:v>negative</x:v>
      </x:c>
      <x:c r="I256" s="23" t="n">
        <x:v>0.08067057032116376</x:v>
      </x:c>
      <x:c r="J256" s="23" t="n">
        <x:v>-0.03560333818156516</x:v>
      </x:c>
      <x:c r="K256" s="23" t="n">
        <x:v>0.4630838774485183</x:v>
      </x:c>
      <x:c r="L256" s="24" t="n">
        <x:v>1991</x:v>
      </x:c>
      <x:c r="M256" t="str">
        <x:v>legacy_common_sample_8902245</x:v>
      </x:c>
      <x:c r="N256" s="25" t="n">
        <x:v>46211.5309509838</x:v>
      </x:c>
      <x:c r="O256" s="24" t="n">
        <x:v>8902245</x:v>
      </x:c>
      <x:c r="P256" t="str">
        <x:v>factor_report/gtja191_batch/gtja_172/ic_summary.csv</x:v>
      </x:c>
    </x:row>
    <x:row r="257">
      <x:c r="A257" s="22" t="n">
        <x:f>IF($E257="ranked",1+COUNTIFS($D$5:$D$546,$D257,$E$5:$E$546,"ranked",$F$5:$F$546,"&gt;"&amp;$F257),"")</x:f>
        <x:v>83</x:v>
      </x:c>
      <x:c r="B257" s="22" t="n">
        <x:f>IF($E257="ranked",1+COUNTIFS($D$5:$D$546,$D257,$E$5:$E$546,"ranked",$G$5:$G$546,"&gt;"&amp;$G257),"")</x:f>
        <x:v>171</x:v>
      </x:c>
      <x:c r="C257" t="str">
        <x:v>gtja_076</x:v>
      </x:c>
      <x:c r="D257" s="22" t="n">
        <x:v>10</x:v>
      </x:c>
      <x:c r="E257" t="str">
        <x:v>ranked</x:v>
      </x:c>
      <x:c r="F257" s="23" t="n">
        <x:v>-0.004315535410730925</x:v>
      </x:c>
      <x:c r="G257" s="23" t="n">
        <x:f>ABS(F257)</x:f>
        <x:v>0.004315535410730925</x:v>
      </x:c>
      <x:c r="H257" s="23" t="str">
        <x:f>IF(F257&gt;=0,"positive","negative")</x:f>
        <x:v>negative</x:v>
      </x:c>
      <x:c r="I257" s="23" t="n">
        <x:v>0.06273108363519536</x:v>
      </x:c>
      <x:c r="J257" s="23" t="n">
        <x:v>-0.0687942111095573</x:v>
      </x:c>
      <x:c r="K257" s="23" t="n">
        <x:v>0.4289301858362632</x:v>
      </x:c>
      <x:c r="L257" s="24" t="n">
        <x:v>1991</x:v>
      </x:c>
      <x:c r="M257" t="str">
        <x:v>legacy_common_sample_8902245</x:v>
      </x:c>
      <x:c r="N257" s="25" t="n">
        <x:v>46211.30655486111</x:v>
      </x:c>
      <x:c r="O257" s="24" t="n">
        <x:v>8902245</x:v>
      </x:c>
      <x:c r="P257" t="str">
        <x:v>factor_report/gtja191_batch/gtja_076/ic_summary.csv</x:v>
      </x:c>
    </x:row>
    <x:row r="258">
      <x:c r="A258" s="22" t="n">
        <x:f>IF($E258="ranked",1+COUNTIFS($D$5:$D$546,$D258,$E$5:$E$546,"ranked",$F$5:$F$546,"&gt;"&amp;$F258),"")</x:f>
        <x:v>84</x:v>
      </x:c>
      <x:c r="B258" s="22" t="n">
        <x:f>IF($E258="ranked",1+COUNTIFS($D$5:$D$546,$D258,$E$5:$E$546,"ranked",$G$5:$G$546,"&gt;"&amp;$G258),"")</x:f>
        <x:v>170</x:v>
      </x:c>
      <x:c r="C258" t="str">
        <x:v>gtja_146</x:v>
      </x:c>
      <x:c r="D258" s="22" t="n">
        <x:v>10</x:v>
      </x:c>
      <x:c r="E258" t="str">
        <x:v>ranked</x:v>
      </x:c>
      <x:c r="F258" s="23" t="n">
        <x:v>-0.004380920010943611</x:v>
      </x:c>
      <x:c r="G258" s="23" t="n">
        <x:f>ABS(F258)</x:f>
        <x:v>0.004380920010943611</x:v>
      </x:c>
      <x:c r="H258" s="23" t="str">
        <x:f>IF(F258&gt;=0,"positive","negative")</x:f>
        <x:v>negative</x:v>
      </x:c>
      <x:c r="I258" s="23" t="n">
        <x:v>0.08271588615521461</x:v>
      </x:c>
      <x:c r="J258" s="23" t="n">
        <x:v>-0.05296346584165112</x:v>
      </x:c>
      <x:c r="K258" s="23" t="n">
        <x:v>0.46509291813159215</x:v>
      </x:c>
      <x:c r="L258" s="24" t="n">
        <x:v>1991</x:v>
      </x:c>
      <x:c r="M258" t="str">
        <x:v>legacy_common_sample_8902245</x:v>
      </x:c>
      <x:c r="N258" s="25" t="n">
        <x:v>46211.45605219907</x:v>
      </x:c>
      <x:c r="O258" s="24" t="n">
        <x:v>8902245</x:v>
      </x:c>
      <x:c r="P258" t="str">
        <x:v>factor_report/gtja191_batch/gtja_146/ic_summary.csv</x:v>
      </x:c>
    </x:row>
    <x:row r="259">
      <x:c r="A259" s="22" t="n">
        <x:f>IF($E259="ranked",1+COUNTIFS($D$5:$D$546,$D259,$E$5:$E$546,"ranked",$F$5:$F$546,"&gt;"&amp;$F259),"")</x:f>
        <x:v>85</x:v>
      </x:c>
      <x:c r="B259" s="22" t="n">
        <x:f>IF($E259="ranked",1+COUNTIFS($D$5:$D$546,$D259,$E$5:$E$546,"ranked",$G$5:$G$546,"&gt;"&amp;$G259),"")</x:f>
        <x:v>168</x:v>
      </x:c>
      <x:c r="C259" t="str">
        <x:v>gtja_091</x:v>
      </x:c>
      <x:c r="D259" s="22" t="n">
        <x:v>10</x:v>
      </x:c>
      <x:c r="E259" t="str">
        <x:v>ranked</x:v>
      </x:c>
      <x:c r="F259" s="23" t="n">
        <x:v>-0.005977281466886537</x:v>
      </x:c>
      <x:c r="G259" s="23" t="n">
        <x:f>ABS(F259)</x:f>
        <x:v>0.005977281466886537</x:v>
      </x:c>
      <x:c r="H259" s="23" t="str">
        <x:f>IF(F259&gt;=0,"positive","negative")</x:f>
        <x:v>negative</x:v>
      </x:c>
      <x:c r="I259" s="23" t="n">
        <x:v>0.10307528431063906</x:v>
      </x:c>
      <x:c r="J259" s="23" t="n">
        <x:v>-0.057989473488840856</x:v>
      </x:c>
      <x:c r="K259" s="23" t="n">
        <x:v>0.47513812154696133</x:v>
      </x:c>
      <x:c r="L259" s="24" t="n">
        <x:v>1991</x:v>
      </x:c>
      <x:c r="M259" t="str">
        <x:v>legacy_common_sample_8902245</x:v>
      </x:c>
      <x:c r="N259" s="25" t="n">
        <x:v>46211.33546769676</x:v>
      </x:c>
      <x:c r="O259" s="24" t="n">
        <x:v>8902245</x:v>
      </x:c>
      <x:c r="P259" t="str">
        <x:v>factor_report/gtja191_batch/gtja_091/ic_summary.csv</x:v>
      </x:c>
    </x:row>
    <x:row r="260">
      <x:c r="A260" s="22" t="n">
        <x:f>IF($E260="ranked",1+COUNTIFS($D$5:$D$546,$D260,$E$5:$E$546,"ranked",$F$5:$F$546,"&gt;"&amp;$F260),"")</x:f>
        <x:v>86</x:v>
      </x:c>
      <x:c r="B260" s="22" t="n">
        <x:f>IF($E260="ranked",1+COUNTIFS($D$5:$D$546,$D260,$E$5:$E$546,"ranked",$G$5:$G$546,"&gt;"&amp;$G260),"")</x:f>
        <x:v>166</x:v>
      </x:c>
      <x:c r="C260" t="str">
        <x:v>gtja_124</x:v>
      </x:c>
      <x:c r="D260" s="22" t="n">
        <x:v>10</x:v>
      </x:c>
      <x:c r="E260" t="str">
        <x:v>ranked</x:v>
      </x:c>
      <x:c r="F260" s="23" t="n">
        <x:v>-0.0069098824764696155</x:v>
      </x:c>
      <x:c r="G260" s="23" t="n">
        <x:f>ABS(F260)</x:f>
        <x:v>0.0069098824764696155</x:v>
      </x:c>
      <x:c r="H260" s="23" t="str">
        <x:f>IF(F260&gt;=0,"positive","negative")</x:f>
        <x:v>negative</x:v>
      </x:c>
      <x:c r="I260" s="23" t="n">
        <x:v>0.10527740637951538</x:v>
      </x:c>
      <x:c r="J260" s="23" t="n">
        <x:v>-0.0656349991332435</x:v>
      </x:c>
      <x:c r="K260" s="23" t="n">
        <x:v>0.4776494224008036</x:v>
      </x:c>
      <x:c r="L260" s="24" t="n">
        <x:v>1991</x:v>
      </x:c>
      <x:c r="M260" t="str">
        <x:v>legacy_common_sample_8902245</x:v>
      </x:c>
      <x:c r="N260" s="25" t="n">
        <x:v>46211.41230089121</x:v>
      </x:c>
      <x:c r="O260" s="24" t="n">
        <x:v>8902245</x:v>
      </x:c>
      <x:c r="P260" t="str">
        <x:v>factor_report/gtja191_batch/gtja_124/ic_summary.csv</x:v>
      </x:c>
    </x:row>
    <x:row r="261">
      <x:c r="A261" s="22" t="n">
        <x:f>IF($E261="ranked",1+COUNTIFS($D$5:$D$546,$D261,$E$5:$E$546,"ranked",$F$5:$F$546,"&gt;"&amp;$F261),"")</x:f>
        <x:v>87</x:v>
      </x:c>
      <x:c r="B261" s="22" t="n">
        <x:f>IF($E261="ranked",1+COUNTIFS($D$5:$D$546,$D261,$E$5:$E$546,"ranked",$G$5:$G$546,"&gt;"&amp;$G261),"")</x:f>
        <x:v>164</x:v>
      </x:c>
      <x:c r="C261" t="str">
        <x:v>gtja_162</x:v>
      </x:c>
      <x:c r="D261" s="22" t="n">
        <x:v>10</x:v>
      </x:c>
      <x:c r="E261" t="str">
        <x:v>ranked</x:v>
      </x:c>
      <x:c r="F261" s="23" t="n">
        <x:v>-0.007836269014980184</x:v>
      </x:c>
      <x:c r="G261" s="23" t="n">
        <x:f>ABS(F261)</x:f>
        <x:v>0.007836269014980184</x:v>
      </x:c>
      <x:c r="H261" s="23" t="str">
        <x:f>IF(F261&gt;=0,"positive","negative")</x:f>
        <x:v>negative</x:v>
      </x:c>
      <x:c r="I261" s="23" t="n">
        <x:v>0.1163811553507725</x:v>
      </x:c>
      <x:c r="J261" s="23" t="n">
        <x:v>-0.06733279963892513</x:v>
      </x:c>
      <x:c r="K261" s="23" t="n">
        <x:v>0.4861878453038674</x:v>
      </x:c>
      <x:c r="L261" s="24" t="n">
        <x:v>1991</x:v>
      </x:c>
      <x:c r="M261" t="str">
        <x:v>legacy_common_sample_8902245</x:v>
      </x:c>
      <x:c r="N261" s="25" t="n">
        <x:v>46211.50984748843</x:v>
      </x:c>
      <x:c r="O261" s="24" t="n">
        <x:v>8902245</x:v>
      </x:c>
      <x:c r="P261" t="str">
        <x:v>factor_report/gtja191_batch/gtja_162/ic_summary.csv</x:v>
      </x:c>
    </x:row>
    <x:row r="262">
      <x:c r="A262" s="22" t="n">
        <x:f>IF($E262="ranked",1+COUNTIFS($D$5:$D$546,$D262,$E$5:$E$546,"ranked",$F$5:$F$546,"&gt;"&amp;$F262),"")</x:f>
        <x:v>88</x:v>
      </x:c>
      <x:c r="B262" s="22" t="n">
        <x:f>IF($E262="ranked",1+COUNTIFS($D$5:$D$546,$D262,$E$5:$E$546,"ranked",$G$5:$G$546,"&gt;"&amp;$G262),"")</x:f>
        <x:v>157</x:v>
      </x:c>
      <x:c r="C262" t="str">
        <x:v>gtja_191</x:v>
      </x:c>
      <x:c r="D262" s="22" t="n">
        <x:v>10</x:v>
      </x:c>
      <x:c r="E262" t="str">
        <x:v>ranked</x:v>
      </x:c>
      <x:c r="F262" s="23" t="n">
        <x:v>-0.010643251959893268</x:v>
      </x:c>
      <x:c r="G262" s="23" t="n">
        <x:f>ABS(F262)</x:f>
        <x:v>0.010643251959893268</x:v>
      </x:c>
      <x:c r="H262" s="23" t="str">
        <x:f>IF(F262&gt;=0,"positive","negative")</x:f>
        <x:v>negative</x:v>
      </x:c>
      <x:c r="I262" s="23" t="n">
        <x:v>0.07719404974748015</x:v>
      </x:c>
      <x:c r="J262" s="23" t="n">
        <x:v>-0.13787658497915115</x:v>
      </x:c>
      <x:c r="K262" s="23" t="n">
        <x:v>0.4289301858362632</x:v>
      </x:c>
      <x:c r="L262" s="24" t="n">
        <x:v>1991</x:v>
      </x:c>
      <x:c r="M262" t="str">
        <x:v>legacy_common_sample_8902245</x:v>
      </x:c>
      <x:c r="N262" s="25" t="n">
        <x:v>46211.55645755787</x:v>
      </x:c>
      <x:c r="O262" s="24" t="n">
        <x:v>8902245</x:v>
      </x:c>
      <x:c r="P262" t="str">
        <x:v>factor_report/gtja191_batch/gtja_191/ic_summary.csv</x:v>
      </x:c>
    </x:row>
    <x:row r="263">
      <x:c r="A263" s="22" t="n">
        <x:f>IF($E263="ranked",1+COUNTIFS($D$5:$D$546,$D263,$E$5:$E$546,"ranked",$F$5:$F$546,"&gt;"&amp;$F263),"")</x:f>
        <x:v>89</x:v>
      </x:c>
      <x:c r="B263" s="22" t="n">
        <x:f>IF($E263="ranked",1+COUNTIFS($D$5:$D$546,$D263,$E$5:$E$546,"ranked",$G$5:$G$546,"&gt;"&amp;$G263),"")</x:f>
        <x:v>155</x:v>
      </x:c>
      <x:c r="C263" t="str">
        <x:v>gtja_178</x:v>
      </x:c>
      <x:c r="D263" s="22" t="n">
        <x:v>10</x:v>
      </x:c>
      <x:c r="E263" t="str">
        <x:v>ranked</x:v>
      </x:c>
      <x:c r="F263" s="23" t="n">
        <x:v>-0.011486471822643162</x:v>
      </x:c>
      <x:c r="G263" s="23" t="n">
        <x:f>ABS(F263)</x:f>
        <x:v>0.011486471822643162</x:v>
      </x:c>
      <x:c r="H263" s="23" t="str">
        <x:f>IF(F263&gt;=0,"positive","negative")</x:f>
        <x:v>negative</x:v>
      </x:c>
      <x:c r="I263" s="23" t="n">
        <x:v>0.10400808814059855</x:v>
      </x:c>
      <x:c r="J263" s="23" t="n">
        <x:v>-0.11043825560100387</x:v>
      </x:c>
      <x:c r="K263" s="23" t="n">
        <x:v>0.45102963335007534</x:v>
      </x:c>
      <x:c r="L263" s="24" t="n">
        <x:v>1991</x:v>
      </x:c>
      <x:c r="M263" t="str">
        <x:v>legacy_common_sample_8902245</x:v>
      </x:c>
      <x:c r="N263" s="25" t="n">
        <x:v>46211.5335721875</x:v>
      </x:c>
      <x:c r="O263" s="24" t="n">
        <x:v>8902245</x:v>
      </x:c>
      <x:c r="P263" t="str">
        <x:v>factor_report/gtja191_batch/gtja_178/ic_summary.csv</x:v>
      </x:c>
    </x:row>
    <x:row r="264">
      <x:c r="A264" s="22" t="n">
        <x:f>IF($E264="ranked",1+COUNTIFS($D$5:$D$546,$D264,$E$5:$E$546,"ranked",$F$5:$F$546,"&gt;"&amp;$F264),"")</x:f>
        <x:v>90</x:v>
      </x:c>
      <x:c r="B264" s="22" t="n">
        <x:f>IF($E264="ranked",1+COUNTIFS($D$5:$D$546,$D264,$E$5:$E$546,"ranked",$G$5:$G$546,"&gt;"&amp;$G264),"")</x:f>
        <x:v>152</x:v>
      </x:c>
      <x:c r="C264" t="str">
        <x:v>gtja_011</x:v>
      </x:c>
      <x:c r="D264" s="22" t="n">
        <x:v>10</x:v>
      </x:c>
      <x:c r="E264" t="str">
        <x:v>ranked</x:v>
      </x:c>
      <x:c r="F264" s="23" t="n">
        <x:v>-0.012854348658762733</x:v>
      </x:c>
      <x:c r="G264" s="23" t="n">
        <x:f>ABS(F264)</x:f>
        <x:v>0.012854348658762733</x:v>
      </x:c>
      <x:c r="H264" s="23" t="str">
        <x:f>IF(F264&gt;=0,"positive","negative")</x:f>
        <x:v>negative</x:v>
      </x:c>
      <x:c r="I264" s="23" t="n">
        <x:v>0.09087879715790441</x:v>
      </x:c>
      <x:c r="J264" s="23" t="n">
        <x:v>-0.14144496913210625</x:v>
      </x:c>
      <x:c r="K264" s="23" t="n">
        <x:v>0.4434957307885485</x:v>
      </x:c>
      <x:c r="L264" s="24" t="n">
        <x:v>1991</x:v>
      </x:c>
      <x:c r="M264" t="str">
        <x:v>legacy_common_sample_8902245</x:v>
      </x:c>
      <x:c r="N264" s="25" t="n">
        <x:v>46211.181871574074</x:v>
      </x:c>
      <x:c r="O264" s="24" t="n">
        <x:v>8902245</x:v>
      </x:c>
      <x:c r="P264" t="str">
        <x:v>factor_report/gtja191_batch/gtja_011/ic_summary.csv</x:v>
      </x:c>
    </x:row>
    <x:row r="265">
      <x:c r="A265" s="22" t="n">
        <x:f>IF($E265="ranked",1+COUNTIFS($D$5:$D$546,$D265,$E$5:$E$546,"ranked",$F$5:$F$546,"&gt;"&amp;$F265),"")</x:f>
        <x:v>91</x:v>
      </x:c>
      <x:c r="B265" s="22" t="n">
        <x:f>IF($E265="ranked",1+COUNTIFS($D$5:$D$546,$D265,$E$5:$E$546,"ranked",$G$5:$G$546,"&gt;"&amp;$G265),"")</x:f>
        <x:v>151</x:v>
      </x:c>
      <x:c r="C265" t="str">
        <x:v>gtja_188</x:v>
      </x:c>
      <x:c r="D265" s="22" t="n">
        <x:v>10</x:v>
      </x:c>
      <x:c r="E265" t="str">
        <x:v>ranked</x:v>
      </x:c>
      <x:c r="F265" s="23" t="n">
        <x:v>-0.013187674989053533</x:v>
      </x:c>
      <x:c r="G265" s="23" t="n">
        <x:f>ABS(F265)</x:f>
        <x:v>0.013187674989053533</x:v>
      </x:c>
      <x:c r="H265" s="23" t="str">
        <x:f>IF(F265&gt;=0,"positive","negative")</x:f>
        <x:v>negative</x:v>
      </x:c>
      <x:c r="I265" s="23" t="n">
        <x:v>0.07461248874333953</x:v>
      </x:c>
      <x:c r="J265" s="23" t="n">
        <x:v>-0.17674889567640598</x:v>
      </x:c>
      <x:c r="K265" s="23" t="n">
        <x:v>0.43043696634856854</x:v>
      </x:c>
      <x:c r="L265" s="24" t="n">
        <x:v>1991</x:v>
      </x:c>
      <x:c r="M265" t="str">
        <x:v>legacy_common_sample_8902245</x:v>
      </x:c>
      <x:c r="N265" s="25" t="n">
        <x:v>46211.55150134259</x:v>
      </x:c>
      <x:c r="O265" s="24" t="n">
        <x:v>8902245</x:v>
      </x:c>
      <x:c r="P265" t="str">
        <x:v>factor_report/gtja191_batch/gtja_188/ic_summary.csv</x:v>
      </x:c>
    </x:row>
    <x:row r="266">
      <x:c r="A266" s="22" t="n">
        <x:f>IF($E266="ranked",1+COUNTIFS($D$5:$D$546,$D266,$E$5:$E$546,"ranked",$F$5:$F$546,"&gt;"&amp;$F266),"")</x:f>
        <x:v>92</x:v>
      </x:c>
      <x:c r="B266" s="22" t="n">
        <x:f>IF($E266="ranked",1+COUNTIFS($D$5:$D$546,$D266,$E$5:$E$546,"ranked",$G$5:$G$546,"&gt;"&amp;$G266),"")</x:f>
        <x:v>150</x:v>
      </x:c>
      <x:c r="C266" t="str">
        <x:v>gtja_131</x:v>
      </x:c>
      <x:c r="D266" s="22" t="n">
        <x:v>10</x:v>
      </x:c>
      <x:c r="E266" t="str">
        <x:v>ranked</x:v>
      </x:c>
      <x:c r="F266" s="23" t="n">
        <x:v>-0.013333120838158815</x:v>
      </x:c>
      <x:c r="G266" s="23" t="n">
        <x:f>ABS(F266)</x:f>
        <x:v>0.013333120838158815</x:v>
      </x:c>
      <x:c r="H266" s="23" t="str">
        <x:f>IF(F266&gt;=0,"positive","negative")</x:f>
        <x:v>negative</x:v>
      </x:c>
      <x:c r="I266" s="23" t="n">
        <x:v>0.09633654628538404</x:v>
      </x:c>
      <x:c r="J266" s="23" t="n">
        <x:v>-0.13840148263838772</x:v>
      </x:c>
      <x:c r="K266" s="23" t="n">
        <x:v>0.4557477110885046</x:v>
      </x:c>
      <x:c r="L266" s="24" t="n">
        <x:v>1966</x:v>
      </x:c>
      <x:c r="M266" t="str">
        <x:v>legacy_common_sample_8902245</x:v>
      </x:c>
      <x:c r="N266" s="25" t="n">
        <x:v>46211.42457349537</x:v>
      </x:c>
      <x:c r="O266" s="24" t="n">
        <x:v>8902245</x:v>
      </x:c>
      <x:c r="P266" t="str">
        <x:v>factor_report/gtja191_batch/gtja_131/ic_summary.csv</x:v>
      </x:c>
    </x:row>
    <x:row r="267">
      <x:c r="A267" s="22" t="n">
        <x:f>IF($E267="ranked",1+COUNTIFS($D$5:$D$546,$D267,$E$5:$E$546,"ranked",$F$5:$F$546,"&gt;"&amp;$F267),"")</x:f>
        <x:v>93</x:v>
      </x:c>
      <x:c r="B267" s="22" t="n">
        <x:f>IF($E267="ranked",1+COUNTIFS($D$5:$D$546,$D267,$E$5:$E$546,"ranked",$G$5:$G$546,"&gt;"&amp;$G267),"")</x:f>
        <x:v>149</x:v>
      </x:c>
      <x:c r="C267" t="str">
        <x:v>gtja_028</x:v>
      </x:c>
      <x:c r="D267" s="22" t="n">
        <x:v>10</x:v>
      </x:c>
      <x:c r="E267" t="str">
        <x:v>ranked</x:v>
      </x:c>
      <x:c r="F267" s="23" t="n">
        <x:v>-0.013591252705807414</x:v>
      </x:c>
      <x:c r="G267" s="23" t="n">
        <x:f>ABS(F267)</x:f>
        <x:v>0.013591252705807414</x:v>
      </x:c>
      <x:c r="H267" s="23" t="str">
        <x:f>IF(F267&gt;=0,"positive","negative")</x:f>
        <x:v>negative</x:v>
      </x:c>
      <x:c r="I267" s="23" t="n">
        <x:v>0.12060781872224505</x:v>
      </x:c>
      <x:c r="J267" s="23" t="n">
        <x:v>-0.11268964856339474</x:v>
      </x:c>
      <x:c r="K267" s="23" t="n">
        <x:v>0.46509291813159215</x:v>
      </x:c>
      <x:c r="L267" s="24" t="n">
        <x:v>1991</x:v>
      </x:c>
      <x:c r="M267" t="str">
        <x:v>legacy_common_sample_8902245</x:v>
      </x:c>
      <x:c r="N267" s="25" t="n">
        <x:v>46211.21958586806</x:v>
      </x:c>
      <x:c r="O267" s="24" t="n">
        <x:v>8902245</x:v>
      </x:c>
      <x:c r="P267" t="str">
        <x:v>factor_report/gtja191_batch/gtja_028/ic_summary.csv</x:v>
      </x:c>
    </x:row>
    <x:row r="268">
      <x:c r="A268" s="22" t="n">
        <x:f>IF($E268="ranked",1+COUNTIFS($D$5:$D$546,$D268,$E$5:$E$546,"ranked",$F$5:$F$546,"&gt;"&amp;$F268),"")</x:f>
        <x:v>94</x:v>
      </x:c>
      <x:c r="B268" s="22" t="n">
        <x:f>IF($E268="ranked",1+COUNTIFS($D$5:$D$546,$D268,$E$5:$E$546,"ranked",$G$5:$G$546,"&gt;"&amp;$G268),"")</x:f>
        <x:v>148</x:v>
      </x:c>
      <x:c r="C268" t="str">
        <x:v>gtja_127</x:v>
      </x:c>
      <x:c r="D268" s="22" t="n">
        <x:v>10</x:v>
      </x:c>
      <x:c r="E268" t="str">
        <x:v>ranked</x:v>
      </x:c>
      <x:c r="F268" s="23" t="n">
        <x:v>-0.014248512771221106</x:v>
      </x:c>
      <x:c r="G268" s="23" t="n">
        <x:f>ABS(F268)</x:f>
        <x:v>0.014248512771221106</x:v>
      </x:c>
      <x:c r="H268" s="23" t="str">
        <x:f>IF(F268&gt;=0,"positive","negative")</x:f>
        <x:v>negative</x:v>
      </x:c>
      <x:c r="I268" s="23" t="n">
        <x:v>0.15057219371743985</x:v>
      </x:c>
      <x:c r="J268" s="23" t="n">
        <x:v>-0.09462911059102666</x:v>
      </x:c>
      <x:c r="K268" s="23" t="n">
        <x:v>0.4103465595178302</x:v>
      </x:c>
      <x:c r="L268" s="24" t="n">
        <x:v>1991</x:v>
      </x:c>
      <x:c r="M268" t="str">
        <x:v>legacy_common_sample_8902245</x:v>
      </x:c>
      <x:c r="N268" s="25" t="n">
        <x:v>46211.417619583335</x:v>
      </x:c>
      <x:c r="O268" s="24" t="n">
        <x:v>8902245</x:v>
      </x:c>
      <x:c r="P268" t="str">
        <x:v>factor_report/gtja191_batch/gtja_127/ic_summary.csv</x:v>
      </x:c>
    </x:row>
    <x:row r="269">
      <x:c r="A269" s="22" t="n">
        <x:f>IF($E269="ranked",1+COUNTIFS($D$5:$D$546,$D269,$E$5:$E$546,"ranked",$F$5:$F$546,"&gt;"&amp;$F269),"")</x:f>
        <x:v>95</x:v>
      </x:c>
      <x:c r="B269" s="22" t="n">
        <x:f>IF($E269="ranked",1+COUNTIFS($D$5:$D$546,$D269,$E$5:$E$546,"ranked",$G$5:$G$546,"&gt;"&amp;$G269),"")</x:f>
        <x:v>146</x:v>
      </x:c>
      <x:c r="C269" t="str">
        <x:v>gtja_022</x:v>
      </x:c>
      <x:c r="D269" s="22" t="n">
        <x:v>10</x:v>
      </x:c>
      <x:c r="E269" t="str">
        <x:v>ranked</x:v>
      </x:c>
      <x:c r="F269" s="23" t="n">
        <x:v>-0.014695116374684365</x:v>
      </x:c>
      <x:c r="G269" s="23" t="n">
        <x:f>ABS(F269)</x:f>
        <x:v>0.014695116374684365</x:v>
      </x:c>
      <x:c r="H269" s="23" t="str">
        <x:f>IF(F269&gt;=0,"positive","negative")</x:f>
        <x:v>negative</x:v>
      </x:c>
      <x:c r="I269" s="23" t="n">
        <x:v>0.11978375244533215</x:v>
      </x:c>
      <x:c r="J269" s="23" t="n">
        <x:v>-0.1226803808921501</x:v>
      </x:c>
      <x:c r="K269" s="23" t="n">
        <x:v>0.4515318935208438</x:v>
      </x:c>
      <x:c r="L269" s="24" t="n">
        <x:v>1991</x:v>
      </x:c>
      <x:c r="M269" t="str">
        <x:v>legacy_common_sample_8902245</x:v>
      </x:c>
      <x:c r="N269" s="25" t="n">
        <x:v>46211.206014745374</x:v>
      </x:c>
      <x:c r="O269" s="24" t="n">
        <x:v>8902245</x:v>
      </x:c>
      <x:c r="P269" t="str">
        <x:v>factor_report/gtja191_batch/gtja_022/ic_summary.csv</x:v>
      </x:c>
    </x:row>
    <x:row r="270">
      <x:c r="A270" s="22" t="n">
        <x:f>IF($E270="ranked",1+COUNTIFS($D$5:$D$546,$D270,$E$5:$E$546,"ranked",$F$5:$F$546,"&gt;"&amp;$F270),"")</x:f>
        <x:v>96</x:v>
      </x:c>
      <x:c r="B270" s="22" t="n">
        <x:f>IF($E270="ranked",1+COUNTIFS($D$5:$D$546,$D270,$E$5:$E$546,"ranked",$G$5:$G$546,"&gt;"&amp;$G270),"")</x:f>
        <x:v>145</x:v>
      </x:c>
      <x:c r="C270" t="str">
        <x:v>gtja_044</x:v>
      </x:c>
      <x:c r="D270" s="22" t="n">
        <x:v>10</x:v>
      </x:c>
      <x:c r="E270" t="str">
        <x:v>ranked</x:v>
      </x:c>
      <x:c r="F270" s="23" t="n">
        <x:v>-0.015621451984378426</x:v>
      </x:c>
      <x:c r="G270" s="23" t="n">
        <x:f>ABS(F270)</x:f>
        <x:v>0.015621451984378426</x:v>
      </x:c>
      <x:c r="H270" s="23" t="str">
        <x:f>IF(F270&gt;=0,"positive","negative")</x:f>
        <x:v>negative</x:v>
      </x:c>
      <x:c r="I270" s="23" t="n">
        <x:v>0.0787371537606166</x:v>
      </x:c>
      <x:c r="J270" s="23" t="n">
        <x:v>-0.19840000861438417</x:v>
      </x:c>
      <x:c r="K270" s="23" t="n">
        <x:v>0.42340532395781016</x:v>
      </x:c>
      <x:c r="L270" s="24" t="n">
        <x:v>1991</x:v>
      </x:c>
      <x:c r="M270" t="str">
        <x:v>legacy_common_sample_8902245</x:v>
      </x:c>
      <x:c r="N270" s="25" t="n">
        <x:v>46211.262911157406</x:v>
      </x:c>
      <x:c r="O270" s="24" t="n">
        <x:v>8902245</x:v>
      </x:c>
      <x:c r="P270" t="str">
        <x:v>factor_report/gtja191_batch/gtja_044/ic_summary.csv</x:v>
      </x:c>
    </x:row>
    <x:row r="271">
      <x:c r="A271" s="22" t="n">
        <x:f>IF($E271="ranked",1+COUNTIFS($D$5:$D$546,$D271,$E$5:$E$546,"ranked",$F$5:$F$546,"&gt;"&amp;$F271),"")</x:f>
        <x:v>97</x:v>
      </x:c>
      <x:c r="B271" s="22" t="n">
        <x:f>IF($E271="ranked",1+COUNTIFS($D$5:$D$546,$D271,$E$5:$E$546,"ranked",$G$5:$G$546,"&gt;"&amp;$G271),"")</x:f>
        <x:v>144</x:v>
      </x:c>
      <x:c r="C271" t="str">
        <x:v>gtja_155</x:v>
      </x:c>
      <x:c r="D271" s="22" t="n">
        <x:v>10</x:v>
      </x:c>
      <x:c r="E271" t="str">
        <x:v>ranked</x:v>
      </x:c>
      <x:c r="F271" s="23" t="n">
        <x:v>-0.015673193144436708</x:v>
      </x:c>
      <x:c r="G271" s="23" t="n">
        <x:f>ABS(F271)</x:f>
        <x:v>0.015673193144436708</x:v>
      </x:c>
      <x:c r="H271" s="23" t="str">
        <x:f>IF(F271&gt;=0,"positive","negative")</x:f>
        <x:v>negative</x:v>
      </x:c>
      <x:c r="I271" s="23" t="n">
        <x:v>0.07706790339787711</x:v>
      </x:c>
      <x:c r="J271" s="23" t="n">
        <x:v>-0.2033686197939107</x:v>
      </x:c>
      <x:c r="K271" s="23" t="n">
        <x:v>0.42089402310396784</x:v>
      </x:c>
      <x:c r="L271" s="24" t="n">
        <x:v>1991</x:v>
      </x:c>
      <x:c r="M271" t="str">
        <x:v>legacy_common_sample_8902245</x:v>
      </x:c>
      <x:c r="N271" s="25" t="n">
        <x:v>46211.49922533565</x:v>
      </x:c>
      <x:c r="O271" s="24" t="n">
        <x:v>8902245</x:v>
      </x:c>
      <x:c r="P271" t="str">
        <x:v>factor_report/gtja191_batch/gtja_155/ic_summary.csv</x:v>
      </x:c>
    </x:row>
    <x:row r="272">
      <x:c r="A272" s="22" t="n">
        <x:f>IF($E272="ranked",1+COUNTIFS($D$5:$D$546,$D272,$E$5:$E$546,"ranked",$F$5:$F$546,"&gt;"&amp;$F272),"")</x:f>
        <x:v>98</x:v>
      </x:c>
      <x:c r="B272" s="22" t="n">
        <x:f>IF($E272="ranked",1+COUNTIFS($D$5:$D$546,$D272,$E$5:$E$546,"ranked",$G$5:$G$546,"&gt;"&amp;$G272),"")</x:f>
        <x:v>143</x:v>
      </x:c>
      <x:c r="C272" t="str">
        <x:v>gtja_045</x:v>
      </x:c>
      <x:c r="D272" s="22" t="n">
        <x:v>10</x:v>
      </x:c>
      <x:c r="E272" t="str">
        <x:v>ranked</x:v>
      </x:c>
      <x:c r="F272" s="23" t="n">
        <x:v>-0.015929620972991176</x:v>
      </x:c>
      <x:c r="G272" s="23" t="n">
        <x:f>ABS(F272)</x:f>
        <x:v>0.015929620972991176</x:v>
      </x:c>
      <x:c r="H272" s="23" t="str">
        <x:f>IF(F272&gt;=0,"positive","negative")</x:f>
        <x:v>negative</x:v>
      </x:c>
      <x:c r="I272" s="23" t="n">
        <x:v>0.09703041636299428</x:v>
      </x:c>
      <x:c r="J272" s="23" t="n">
        <x:v>-0.16417141727391843</x:v>
      </x:c>
      <x:c r="K272" s="23" t="n">
        <x:v>0.4369034994697773</x:v>
      </x:c>
      <x:c r="L272" s="24" t="n">
        <x:v>1886</x:v>
      </x:c>
      <x:c r="M272" t="str">
        <x:v>legacy_common_sample_8902245</x:v>
      </x:c>
      <x:c r="N272" s="25" t="n">
        <x:v>46211.26636591435</x:v>
      </x:c>
      <x:c r="O272" s="24" t="n">
        <x:v>8902245</x:v>
      </x:c>
      <x:c r="P272" t="str">
        <x:v>factor_report/gtja191_batch/gtja_045/ic_summary.csv</x:v>
      </x:c>
    </x:row>
    <x:row r="273">
      <x:c r="A273" s="22" t="n">
        <x:f>IF($E273="ranked",1+COUNTIFS($D$5:$D$546,$D273,$E$5:$E$546,"ranked",$F$5:$F$546,"&gt;"&amp;$F273),"")</x:f>
        <x:v>99</x:v>
      </x:c>
      <x:c r="B273" s="22" t="n">
        <x:f>IF($E273="ranked",1+COUNTIFS($D$5:$D$546,$D273,$E$5:$E$546,"ranked",$G$5:$G$546,"&gt;"&amp;$G273),"")</x:f>
        <x:v>141</x:v>
      </x:c>
      <x:c r="C273" t="str">
        <x:v>gtja_080</x:v>
      </x:c>
      <x:c r="D273" s="22" t="n">
        <x:v>10</x:v>
      </x:c>
      <x:c r="E273" t="str">
        <x:v>ranked</x:v>
      </x:c>
      <x:c r="F273" s="23" t="n">
        <x:v>-0.01708948207940634</x:v>
      </x:c>
      <x:c r="G273" s="23" t="n">
        <x:f>ABS(F273)</x:f>
        <x:v>0.01708948207940634</x:v>
      </x:c>
      <x:c r="H273" s="23" t="str">
        <x:f>IF(F273&gt;=0,"positive","negative")</x:f>
        <x:v>negative</x:v>
      </x:c>
      <x:c r="I273" s="23" t="n">
        <x:v>0.0747215615870042</x:v>
      </x:c>
      <x:c r="J273" s="23" t="n">
        <x:v>-0.228708845431552</x:v>
      </x:c>
      <x:c r="K273" s="23" t="n">
        <x:v>0.4008036162732295</x:v>
      </x:c>
      <x:c r="L273" s="24" t="n">
        <x:v>1991</x:v>
      </x:c>
      <x:c r="M273" t="str">
        <x:v>legacy_common_sample_8902245</x:v>
      </x:c>
      <x:c r="N273" s="25" t="n">
        <x:v>46211.31192994213</x:v>
      </x:c>
      <x:c r="O273" s="24" t="n">
        <x:v>8902245</x:v>
      </x:c>
      <x:c r="P273" t="str">
        <x:v>factor_report/gtja191_batch/gtja_080/ic_summary.csv</x:v>
      </x:c>
    </x:row>
    <x:row r="274">
      <x:c r="A274" s="22" t="n">
        <x:f>IF($E274="ranked",1+COUNTIFS($D$5:$D$546,$D274,$E$5:$E$546,"ranked",$F$5:$F$546,"&gt;"&amp;$F274),"")</x:f>
        <x:v>100</x:v>
      </x:c>
      <x:c r="B274" s="22" t="n">
        <x:f>IF($E274="ranked",1+COUNTIFS($D$5:$D$546,$D274,$E$5:$E$546,"ranked",$G$5:$G$546,"&gt;"&amp;$G274),"")</x:f>
        <x:v>140</x:v>
      </x:c>
      <x:c r="C274" t="str">
        <x:v>gtja_057</x:v>
      </x:c>
      <x:c r="D274" s="22" t="n">
        <x:v>10</x:v>
      </x:c>
      <x:c r="E274" t="str">
        <x:v>ranked</x:v>
      </x:c>
      <x:c r="F274" s="23" t="n">
        <x:v>-0.018479898515854735</x:v>
      </x:c>
      <x:c r="G274" s="23" t="n">
        <x:f>ABS(F274)</x:f>
        <x:v>0.018479898515854735</x:v>
      </x:c>
      <x:c r="H274" s="23" t="str">
        <x:f>IF(F274&gt;=0,"positive","negative")</x:f>
        <x:v>negative</x:v>
      </x:c>
      <x:c r="I274" s="23" t="n">
        <x:v>0.12573196055618183</x:v>
      </x:c>
      <x:c r="J274" s="23" t="n">
        <x:v>-0.1469785282445923</x:v>
      </x:c>
      <x:c r="K274" s="23" t="n">
        <x:v>0.4480160723254646</x:v>
      </x:c>
      <x:c r="L274" s="24" t="n">
        <x:v>1991</x:v>
      </x:c>
      <x:c r="M274" t="str">
        <x:v>legacy_common_sample_8902245</x:v>
      </x:c>
      <x:c r="N274" s="25" t="n">
        <x:v>46211.28466986111</x:v>
      </x:c>
      <x:c r="O274" s="24" t="n">
        <x:v>8902245</x:v>
      </x:c>
      <x:c r="P274" t="str">
        <x:v>factor_report/gtja191_batch/gtja_057/ic_summary.csv</x:v>
      </x:c>
    </x:row>
    <x:row r="275">
      <x:c r="A275" s="22" t="n">
        <x:f>IF($E275="ranked",1+COUNTIFS($D$5:$D$546,$D275,$E$5:$E$546,"ranked",$F$5:$F$546,"&gt;"&amp;$F275),"")</x:f>
        <x:v>101</x:v>
      </x:c>
      <x:c r="B275" s="22" t="n">
        <x:f>IF($E275="ranked",1+COUNTIFS($D$5:$D$546,$D275,$E$5:$E$546,"ranked",$G$5:$G$546,"&gt;"&amp;$G275),"")</x:f>
        <x:v>137</x:v>
      </x:c>
      <x:c r="C275" t="str">
        <x:v>gtja_096</x:v>
      </x:c>
      <x:c r="D275" s="22" t="n">
        <x:v>10</x:v>
      </x:c>
      <x:c r="E275" t="str">
        <x:v>ranked</x:v>
      </x:c>
      <x:c r="F275" s="23" t="n">
        <x:v>-0.019271218597420786</x:v>
      </x:c>
      <x:c r="G275" s="23" t="n">
        <x:f>ABS(F275)</x:f>
        <x:v>0.019271218597420786</x:v>
      </x:c>
      <x:c r="H275" s="23" t="str">
        <x:f>IF(F275&gt;=0,"positive","negative")</x:f>
        <x:v>negative</x:v>
      </x:c>
      <x:c r="I275" s="23" t="n">
        <x:v>0.12348850301471394</x:v>
      </x:c>
      <x:c r="J275" s="23" t="n">
        <x:v>-0.1560567836434504</x:v>
      </x:c>
      <x:c r="K275" s="23" t="n">
        <x:v>0.44701155198392767</x:v>
      </x:c>
      <x:c r="L275" s="24" t="n">
        <x:v>1991</x:v>
      </x:c>
      <x:c r="M275" t="str">
        <x:v>legacy_common_sample_8902245</x:v>
      </x:c>
      <x:c r="N275" s="25" t="n">
        <x:v>46211.3433033912</x:v>
      </x:c>
      <x:c r="O275" s="24" t="n">
        <x:v>8902245</x:v>
      </x:c>
      <x:c r="P275" t="str">
        <x:v>factor_report/gtja191_batch/gtja_096/ic_summary.csv</x:v>
      </x:c>
    </x:row>
    <x:row r="276">
      <x:c r="A276" s="22" t="n">
        <x:f>IF($E276="ranked",1+COUNTIFS($D$5:$D$546,$D276,$E$5:$E$546,"ranked",$F$5:$F$546,"&gt;"&amp;$F276),"")</x:f>
        <x:v>102</x:v>
      </x:c>
      <x:c r="B276" s="22" t="n">
        <x:f>IF($E276="ranked",1+COUNTIFS($D$5:$D$546,$D276,$E$5:$E$546,"ranked",$G$5:$G$546,"&gt;"&amp;$G276),"")</x:f>
        <x:v>133</x:v>
      </x:c>
      <x:c r="C276" t="str">
        <x:v>gtja_060</x:v>
      </x:c>
      <x:c r="D276" s="22" t="n">
        <x:v>10</x:v>
      </x:c>
      <x:c r="E276" t="str">
        <x:v>ranked</x:v>
      </x:c>
      <x:c r="F276" s="23" t="n">
        <x:v>-0.02001290122792241</x:v>
      </x:c>
      <x:c r="G276" s="23" t="n">
        <x:f>ABS(F276)</x:f>
        <x:v>0.02001290122792241</x:v>
      </x:c>
      <x:c r="H276" s="23" t="str">
        <x:f>IF(F276&gt;=0,"positive","negative")</x:f>
        <x:v>negative</x:v>
      </x:c>
      <x:c r="I276" s="23" t="n">
        <x:v>0.09228894636118828</x:v>
      </x:c>
      <x:c r="J276" s="23" t="n">
        <x:v>-0.21685046819798506</x:v>
      </x:c>
      <x:c r="K276" s="23" t="n">
        <x:v>0.4178804620793571</x:v>
      </x:c>
      <x:c r="L276" s="24" t="n">
        <x:v>1991</x:v>
      </x:c>
      <x:c r="M276" t="str">
        <x:v>legacy_common_sample_8902245</x:v>
      </x:c>
      <x:c r="N276" s="25" t="n">
        <x:v>46210.37184259259</x:v>
      </x:c>
      <x:c r="O276" s="24" t="n">
        <x:v>8902245</x:v>
      </x:c>
      <x:c r="P276" t="str">
        <x:v>factor_report/gtja191_batch/gtja_060/ic_summary.csv</x:v>
      </x:c>
    </x:row>
    <x:row r="277">
      <x:c r="A277" s="22" t="n">
        <x:f>IF($E277="ranked",1+COUNTIFS($D$5:$D$546,$D277,$E$5:$E$546,"ranked",$F$5:$F$546,"&gt;"&amp;$F277),"")</x:f>
        <x:v>103</x:v>
      </x:c>
      <x:c r="B277" s="22" t="n">
        <x:f>IF($E277="ranked",1+COUNTIFS($D$5:$D$546,$D277,$E$5:$E$546,"ranked",$G$5:$G$546,"&gt;"&amp;$G277),"")</x:f>
        <x:v>132</x:v>
      </x:c>
      <x:c r="C277" t="str">
        <x:v>gtja_102</x:v>
      </x:c>
      <x:c r="D277" s="22" t="n">
        <x:v>10</x:v>
      </x:c>
      <x:c r="E277" t="str">
        <x:v>ranked</x:v>
      </x:c>
      <x:c r="F277" s="23" t="n">
        <x:v>-0.020352867178194785</x:v>
      </x:c>
      <x:c r="G277" s="23" t="n">
        <x:f>ABS(F277)</x:f>
        <x:v>0.020352867178194785</x:v>
      </x:c>
      <x:c r="H277" s="23" t="str">
        <x:f>IF(F277&gt;=0,"positive","negative")</x:f>
        <x:v>negative</x:v>
      </x:c>
      <x:c r="I277" s="23" t="n">
        <x:v>0.08028253890730953</x:v>
      </x:c>
      <x:c r="J277" s="23" t="n">
        <x:v>-0.2535154898588005</x:v>
      </x:c>
      <x:c r="K277" s="23" t="n">
        <x:v>0.3907584128578604</x:v>
      </x:c>
      <x:c r="L277" s="24" t="n">
        <x:v>1991</x:v>
      </x:c>
      <x:c r="M277" t="str">
        <x:v>legacy_common_sample_8902245</x:v>
      </x:c>
      <x:c r="N277" s="25" t="n">
        <x:v>46210.58357934028</x:v>
      </x:c>
      <x:c r="O277" s="24" t="n">
        <x:v>8902245</x:v>
      </x:c>
      <x:c r="P277" t="str">
        <x:v>factor_report/gtja191_batch/gtja_102/ic_summary.csv</x:v>
      </x:c>
    </x:row>
    <x:row r="278">
      <x:c r="A278" s="22" t="n">
        <x:f>IF($E278="ranked",1+COUNTIFS($D$5:$D$546,$D278,$E$5:$E$546,"ranked",$F$5:$F$546,"&gt;"&amp;$F278),"")</x:f>
        <x:v>104</x:v>
      </x:c>
      <x:c r="B278" s="22" t="n">
        <x:f>IF($E278="ranked",1+COUNTIFS($D$5:$D$546,$D278,$E$5:$E$546,"ranked",$G$5:$G$546,"&gt;"&amp;$G278),"")</x:f>
        <x:v>128</x:v>
      </x:c>
      <x:c r="C278" t="str">
        <x:v>gtja_143</x:v>
      </x:c>
      <x:c r="D278" s="22" t="n">
        <x:v>10</x:v>
      </x:c>
      <x:c r="E278" t="str">
        <x:v>ranked</x:v>
      </x:c>
      <x:c r="F278" s="23" t="n">
        <x:v>-0.021687967404591352</x:v>
      </x:c>
      <x:c r="G278" s="23" t="n">
        <x:f>ABS(F278)</x:f>
        <x:v>0.021687967404591352</x:v>
      </x:c>
      <x:c r="H278" s="23" t="str">
        <x:f>IF(F278&gt;=0,"positive","negative")</x:f>
        <x:v>negative</x:v>
      </x:c>
      <x:c r="I278" s="23" t="n">
        <x:v>0.10822040271604337</x:v>
      </x:c>
      <x:c r="J278" s="23" t="n">
        <x:v>-0.2004055322312728</x:v>
      </x:c>
      <x:c r="K278" s="23" t="n">
        <x:v>0.40331491712707185</x:v>
      </x:c>
      <x:c r="L278" s="24" t="n">
        <x:v>1991</x:v>
      </x:c>
      <x:c r="M278" t="str">
        <x:v>legacy_common_sample_8902245</x:v>
      </x:c>
      <x:c r="N278" s="25" t="n">
        <x:v>46210.787863425925</x:v>
      </x:c>
      <x:c r="O278" s="24" t="n">
        <x:v>8902245</x:v>
      </x:c>
      <x:c r="P278" t="str">
        <x:v>factor_report/gtja191_batch/gtja_143/ic_summary.csv</x:v>
      </x:c>
    </x:row>
    <x:row r="279">
      <x:c r="A279" s="22" t="n">
        <x:f>IF($E279="ranked",1+COUNTIFS($D$5:$D$546,$D279,$E$5:$E$546,"ranked",$F$5:$F$546,"&gt;"&amp;$F279),"")</x:f>
        <x:v>105</x:v>
      </x:c>
      <x:c r="B279" s="22" t="n">
        <x:f>IF($E279="ranked",1+COUNTIFS($D$5:$D$546,$D279,$E$5:$E$546,"ranked",$G$5:$G$546,"&gt;"&amp;$G279),"")</x:f>
        <x:v>126</x:v>
      </x:c>
      <x:c r="C279" t="str">
        <x:v>gtja_053</x:v>
      </x:c>
      <x:c r="D279" s="22" t="n">
        <x:v>10</x:v>
      </x:c>
      <x:c r="E279" t="str">
        <x:v>ranked</x:v>
      </x:c>
      <x:c r="F279" s="23" t="n">
        <x:v>-0.021981401750478545</x:v>
      </x:c>
      <x:c r="G279" s="23" t="n">
        <x:f>ABS(F279)</x:f>
        <x:v>0.021981401750478545</x:v>
      </x:c>
      <x:c r="H279" s="23" t="str">
        <x:f>IF(F279&gt;=0,"positive","negative")</x:f>
        <x:v>negative</x:v>
      </x:c>
      <x:c r="I279" s="23" t="n">
        <x:v>0.09762994919688875</x:v>
      </x:c>
      <x:c r="J279" s="23" t="n">
        <x:v>-0.2251501914248568</x:v>
      </x:c>
      <x:c r="K279" s="23" t="n">
        <x:v>0.41637368156705173</x:v>
      </x:c>
      <x:c r="L279" s="24" t="n">
        <x:v>1991</x:v>
      </x:c>
      <x:c r="M279" t="str">
        <x:v>legacy_common_sample_8902245</x:v>
      </x:c>
      <x:c r="N279" s="25" t="n">
        <x:v>46210.33939799768</x:v>
      </x:c>
      <x:c r="O279" s="24" t="n">
        <x:v>8902245</x:v>
      </x:c>
      <x:c r="P279" t="str">
        <x:v>factor_report/gtja191_batch/gtja_053/ic_summary.csv</x:v>
      </x:c>
    </x:row>
    <x:row r="280">
      <x:c r="A280" s="22" t="n">
        <x:f>IF($E280="ranked",1+COUNTIFS($D$5:$D$546,$D280,$E$5:$E$546,"ranked",$F$5:$F$546,"&gt;"&amp;$F280),"")</x:f>
        <x:v>106</x:v>
      </x:c>
      <x:c r="B280" s="22" t="n">
        <x:f>IF($E280="ranked",1+COUNTIFS($D$5:$D$546,$D280,$E$5:$E$546,"ranked",$G$5:$G$546,"&gt;"&amp;$G280),"")</x:f>
        <x:v>124</x:v>
      </x:c>
      <x:c r="C280" t="str">
        <x:v>gtja_107</x:v>
      </x:c>
      <x:c r="D280" s="22" t="n">
        <x:v>10</x:v>
      </x:c>
      <x:c r="E280" t="str">
        <x:v>ranked</x:v>
      </x:c>
      <x:c r="F280" s="23" t="n">
        <x:v>-0.022211442200144024</x:v>
      </x:c>
      <x:c r="G280" s="23" t="n">
        <x:f>ABS(F280)</x:f>
        <x:v>0.022211442200144024</x:v>
      </x:c>
      <x:c r="H280" s="23" t="str">
        <x:f>IF(F280&gt;=0,"positive","negative")</x:f>
        <x:v>negative</x:v>
      </x:c>
      <x:c r="I280" s="23" t="n">
        <x:v>0.09177100230858579</x:v>
      </x:c>
      <x:c r="J280" s="23" t="n">
        <x:v>-0.2420311606214853</x:v>
      </x:c>
      <x:c r="K280" s="23" t="n">
        <x:v>0.37920642893018586</x:v>
      </x:c>
      <x:c r="L280" s="24" t="n">
        <x:v>1991</x:v>
      </x:c>
      <x:c r="M280" t="str">
        <x:v>legacy_common_sample_8902245</x:v>
      </x:c>
      <x:c r="N280" s="25" t="n">
        <x:v>46210.60368208333</x:v>
      </x:c>
      <x:c r="O280" s="24" t="n">
        <x:v>8902245</x:v>
      </x:c>
      <x:c r="P280" t="str">
        <x:v>factor_report/gtja191_batch/gtja_107/ic_summary.csv</x:v>
      </x:c>
    </x:row>
    <x:row r="281">
      <x:c r="A281" s="22" t="n">
        <x:f>IF($E281="ranked",1+COUNTIFS($D$5:$D$546,$D281,$E$5:$E$546,"ranked",$F$5:$F$546,"&gt;"&amp;$F281),"")</x:f>
        <x:v>107</x:v>
      </x:c>
      <x:c r="B281" s="22" t="n">
        <x:f>IF($E281="ranked",1+COUNTIFS($D$5:$D$546,$D281,$E$5:$E$546,"ranked",$G$5:$G$546,"&gt;"&amp;$G281),"")</x:f>
        <x:v>122</x:v>
      </x:c>
      <x:c r="C281" t="str">
        <x:v>gtja_137</x:v>
      </x:c>
      <x:c r="D281" s="22" t="n">
        <x:v>10</x:v>
      </x:c>
      <x:c r="E281" t="str">
        <x:v>ranked</x:v>
      </x:c>
      <x:c r="F281" s="23" t="n">
        <x:v>-0.0224102167539663</x:v>
      </x:c>
      <x:c r="G281" s="23" t="n">
        <x:f>ABS(F281)</x:f>
        <x:v>0.0224102167539663</x:v>
      </x:c>
      <x:c r="H281" s="23" t="str">
        <x:f>IF(F281&gt;=0,"positive","negative")</x:f>
        <x:v>negative</x:v>
      </x:c>
      <x:c r="I281" s="23" t="n">
        <x:v>0.12250447345976026</x:v>
      </x:c>
      <x:c r="J281" s="23" t="n">
        <x:v>-0.18293386454436303</x:v>
      </x:c>
      <x:c r="K281" s="23" t="n">
        <x:v>0.4339527875439478</x:v>
      </x:c>
      <x:c r="L281" s="24" t="n">
        <x:v>1991</x:v>
      </x:c>
      <x:c r="M281" t="str">
        <x:v>legacy_common_sample_8902245</x:v>
      </x:c>
      <x:c r="N281" s="25" t="n">
        <x:v>46210.75457434028</x:v>
      </x:c>
      <x:c r="O281" s="24" t="n">
        <x:v>8902245</x:v>
      </x:c>
      <x:c r="P281" t="str">
        <x:v>factor_report/gtja191_batch/gtja_137/ic_summary.csv</x:v>
      </x:c>
    </x:row>
    <x:row r="282">
      <x:c r="A282" s="22" t="n">
        <x:f>IF($E282="ranked",1+COUNTIFS($D$5:$D$546,$D282,$E$5:$E$546,"ranked",$F$5:$F$546,"&gt;"&amp;$F282),"")</x:f>
        <x:v>108</x:v>
      </x:c>
      <x:c r="B282" s="22" t="n">
        <x:f>IF($E282="ranked",1+COUNTIFS($D$5:$D$546,$D282,$E$5:$E$546,"ranked",$G$5:$G$546,"&gt;"&amp;$G282),"")</x:f>
        <x:v>119</x:v>
      </x:c>
      <x:c r="C282" t="str">
        <x:v>gtja_023</x:v>
      </x:c>
      <x:c r="D282" s="22" t="n">
        <x:v>10</x:v>
      </x:c>
      <x:c r="E282" t="str">
        <x:v>ranked</x:v>
      </x:c>
      <x:c r="F282" s="23" t="n">
        <x:v>-0.02421312567684757</x:v>
      </x:c>
      <x:c r="G282" s="23" t="n">
        <x:f>ABS(F282)</x:f>
        <x:v>0.02421312567684757</x:v>
      </x:c>
      <x:c r="H282" s="23" t="str">
        <x:f>IF(F282&gt;=0,"positive","negative")</x:f>
        <x:v>negative</x:v>
      </x:c>
      <x:c r="I282" s="23" t="n">
        <x:v>0.09959494554874267</x:v>
      </x:c>
      <x:c r="J282" s="23" t="n">
        <x:v>-0.24311600898458693</x:v>
      </x:c>
      <x:c r="K282" s="23" t="n">
        <x:v>0.40683073832245104</x:v>
      </x:c>
      <x:c r="L282" s="24" t="n">
        <x:v>1991</x:v>
      </x:c>
      <x:c r="M282" t="str">
        <x:v>legacy_common_sample_8902245</x:v>
      </x:c>
      <x:c r="N282" s="25" t="n">
        <x:v>46210.20966594907</x:v>
      </x:c>
      <x:c r="O282" s="24" t="n">
        <x:v>8902245</x:v>
      </x:c>
      <x:c r="P282" t="str">
        <x:v>factor_report/gtja191_batch/gtja_023/ic_summary.csv</x:v>
      </x:c>
    </x:row>
    <x:row r="283">
      <x:c r="A283" s="22" t="n">
        <x:f>IF($E283="ranked",1+COUNTIFS($D$5:$D$546,$D283,$E$5:$E$546,"ranked",$F$5:$F$546,"&gt;"&amp;$F283),"")</x:f>
        <x:v>109</x:v>
      </x:c>
      <x:c r="B283" s="22" t="n">
        <x:f>IF($E283="ranked",1+COUNTIFS($D$5:$D$546,$D283,$E$5:$E$546,"ranked",$G$5:$G$546,"&gt;"&amp;$G283),"")</x:f>
        <x:v>113</x:v>
      </x:c>
      <x:c r="C283" t="str">
        <x:v>gtja_009</x:v>
      </x:c>
      <x:c r="D283" s="22" t="n">
        <x:v>10</x:v>
      </x:c>
      <x:c r="E283" t="str">
        <x:v>ranked</x:v>
      </x:c>
      <x:c r="F283" s="23" t="n">
        <x:v>-0.02588146976534059</x:v>
      </x:c>
      <x:c r="G283" s="23" t="n">
        <x:f>ABS(F283)</x:f>
        <x:v>0.02588146976534059</x:v>
      </x:c>
      <x:c r="H283" s="23" t="str">
        <x:f>IF(F283&gt;=0,"positive","negative")</x:f>
        <x:v>negative</x:v>
      </x:c>
      <x:c r="I283" s="23" t="n">
        <x:v>0.11920432556369577</x:v>
      </x:c>
      <x:c r="J283" s="23" t="n">
        <x:v>-0.2171185453459997</x:v>
      </x:c>
      <x:c r="K283" s="23" t="n">
        <x:v>0.4103465595178302</x:v>
      </x:c>
      <x:c r="L283" s="24" t="n">
        <x:v>1991</x:v>
      </x:c>
      <x:c r="M283" t="str">
        <x:v>legacy_common_sample_8902245</x:v>
      </x:c>
      <x:c r="N283" s="25" t="n">
        <x:v>46210.14960534722</x:v>
      </x:c>
      <x:c r="O283" s="24" t="n">
        <x:v>8902245</x:v>
      </x:c>
      <x:c r="P283" t="str">
        <x:v>factor_report/gtja191_batch/gtja_009/ic_summary.csv</x:v>
      </x:c>
    </x:row>
    <x:row r="284">
      <x:c r="A284" s="22" t="n">
        <x:f>IF($E284="ranked",1+COUNTIFS($D$5:$D$546,$D284,$E$5:$E$546,"ranked",$F$5:$F$546,"&gt;"&amp;$F284),"")</x:f>
        <x:v>110</x:v>
      </x:c>
      <x:c r="B284" s="22" t="n">
        <x:f>IF($E284="ranked",1+COUNTIFS($D$5:$D$546,$D284,$E$5:$E$546,"ranked",$G$5:$G$546,"&gt;"&amp;$G284),"")</x:f>
        <x:v>112</x:v>
      </x:c>
      <x:c r="C284" t="str">
        <x:v>gtja_066</x:v>
      </x:c>
      <x:c r="D284" s="22" t="n">
        <x:v>10</x:v>
      </x:c>
      <x:c r="E284" t="str">
        <x:v>ranked</x:v>
      </x:c>
      <x:c r="F284" s="23" t="n">
        <x:v>-0.025976368214410687</x:v>
      </x:c>
      <x:c r="G284" s="23" t="n">
        <x:f>ABS(F284)</x:f>
        <x:v>0.025976368214410687</x:v>
      </x:c>
      <x:c r="H284" s="23" t="str">
        <x:f>IF(F284&gt;=0,"positive","negative")</x:f>
        <x:v>negative</x:v>
      </x:c>
      <x:c r="I284" s="23" t="n">
        <x:v>0.1282435887952384</x:v>
      </x:c>
      <x:c r="J284" s="23" t="n">
        <x:v>-0.20255490709860088</x:v>
      </x:c>
      <x:c r="K284" s="23" t="n">
        <x:v>0.4264188849824209</x:v>
      </x:c>
      <x:c r="L284" s="24" t="n">
        <x:v>1991</x:v>
      </x:c>
      <x:c r="M284" t="str">
        <x:v>legacy_common_sample_8902245</x:v>
      </x:c>
      <x:c r="N284" s="25" t="n">
        <x:v>46210.39822400463</x:v>
      </x:c>
      <x:c r="O284" s="24" t="n">
        <x:v>8902245</x:v>
      </x:c>
      <x:c r="P284" t="str">
        <x:v>factor_report/gtja191_batch/gtja_066/ic_summary.csv</x:v>
      </x:c>
    </x:row>
    <x:row r="285">
      <x:c r="A285" s="22" t="n">
        <x:f>IF($E285="ranked",1+COUNTIFS($D$5:$D$546,$D285,$E$5:$E$546,"ranked",$F$5:$F$546,"&gt;"&amp;$F285),"")</x:f>
        <x:v>111</x:v>
      </x:c>
      <x:c r="B285" s="22" t="n">
        <x:f>IF($E285="ranked",1+COUNTIFS($D$5:$D$546,$D285,$E$5:$E$546,"ranked",$G$5:$G$546,"&gt;"&amp;$G285),"")</x:f>
        <x:v>109</x:v>
      </x:c>
      <x:c r="C285" t="str">
        <x:v>gtja_043</x:v>
      </x:c>
      <x:c r="D285" s="22" t="n">
        <x:v>10</x:v>
      </x:c>
      <x:c r="E285" t="str">
        <x:v>ranked</x:v>
      </x:c>
      <x:c r="F285" s="23" t="n">
        <x:v>-0.02657135519980472</x:v>
      </x:c>
      <x:c r="G285" s="23" t="n">
        <x:f>ABS(F285)</x:f>
        <x:v>0.02657135519980472</x:v>
      </x:c>
      <x:c r="H285" s="23" t="str">
        <x:f>IF(F285&gt;=0,"positive","negative")</x:f>
        <x:v>negative</x:v>
      </x:c>
      <x:c r="I285" s="23" t="n">
        <x:v>0.08854096997230874</x:v>
      </x:c>
      <x:c r="J285" s="23" t="n">
        <x:v>-0.3001023730383226</x:v>
      </x:c>
      <x:c r="K285" s="23" t="n">
        <x:v>0.3807132094424912</x:v>
      </x:c>
      <x:c r="L285" s="24" t="n">
        <x:v>1991</x:v>
      </x:c>
      <x:c r="M285" t="str">
        <x:v>legacy_common_sample_8902245</x:v>
      </x:c>
      <x:c r="N285" s="25" t="n">
        <x:v>46210.29250166666</x:v>
      </x:c>
      <x:c r="O285" s="24" t="n">
        <x:v>8902245</x:v>
      </x:c>
      <x:c r="P285" t="str">
        <x:v>factor_report/gtja191_batch/gtja_043/ic_summary.csv</x:v>
      </x:c>
    </x:row>
    <x:row r="286">
      <x:c r="A286" s="22" t="n">
        <x:f>IF($E286="ranked",1+COUNTIFS($D$5:$D$546,$D286,$E$5:$E$546,"ranked",$F$5:$F$546,"&gt;"&amp;$F286),"")</x:f>
        <x:v>112</x:v>
      </x:c>
      <x:c r="B286" s="22" t="n">
        <x:f>IF($E286="ranked",1+COUNTIFS($D$5:$D$546,$D286,$E$5:$E$546,"ranked",$G$5:$G$546,"&gt;"&amp;$G286),"")</x:f>
        <x:v>108</x:v>
      </x:c>
      <x:c r="C286" t="str">
        <x:v>gtja_152</x:v>
      </x:c>
      <x:c r="D286" s="22" t="n">
        <x:v>10</x:v>
      </x:c>
      <x:c r="E286" t="str">
        <x:v>ranked</x:v>
      </x:c>
      <x:c r="F286" s="23" t="n">
        <x:v>-0.027070408073359118</x:v>
      </x:c>
      <x:c r="G286" s="23" t="n">
        <x:f>ABS(F286)</x:f>
        <x:v>0.027070408073359118</x:v>
      </x:c>
      <x:c r="H286" s="23" t="str">
        <x:f>IF(F286&gt;=0,"positive","negative")</x:f>
        <x:v>negative</x:v>
      </x:c>
      <x:c r="I286" s="23" t="n">
        <x:v>0.12798637128724902</x:v>
      </x:c>
      <x:c r="J286" s="23" t="n">
        <x:v>-0.21151008346508282</x:v>
      </x:c>
      <x:c r="K286" s="23" t="n">
        <x:v>0.4193872425916625</x:v>
      </x:c>
      <x:c r="L286" s="24" t="n">
        <x:v>1991</x:v>
      </x:c>
      <x:c r="M286" t="str">
        <x:v>legacy_common_sample_8902245</x:v>
      </x:c>
      <x:c r="N286" s="25" t="n">
        <x:v>46210.823093680556</x:v>
      </x:c>
      <x:c r="O286" s="24" t="n">
        <x:v>8902245</x:v>
      </x:c>
      <x:c r="P286" t="str">
        <x:v>factor_report/gtja191_batch/gtja_152/ic_summary.csv</x:v>
      </x:c>
    </x:row>
    <x:row r="287">
      <x:c r="A287" s="22" t="n">
        <x:f>IF($E287="ranked",1+COUNTIFS($D$5:$D$546,$D287,$E$5:$E$546,"ranked",$F$5:$F$546,"&gt;"&amp;$F287),"")</x:f>
        <x:v>113</x:v>
      </x:c>
      <x:c r="B287" s="22" t="n">
        <x:f>IF($E287="ranked",1+COUNTIFS($D$5:$D$546,$D287,$E$5:$E$546,"ranked",$G$5:$G$546,"&gt;"&amp;$G287),"")</x:f>
        <x:v>106</x:v>
      </x:c>
      <x:c r="C287" t="str">
        <x:v>gtja_058</x:v>
      </x:c>
      <x:c r="D287" s="22" t="n">
        <x:v>10</x:v>
      </x:c>
      <x:c r="E287" t="str">
        <x:v>ranked</x:v>
      </x:c>
      <x:c r="F287" s="23" t="n">
        <x:v>-0.027364265891806076</x:v>
      </x:c>
      <x:c r="G287" s="23" t="n">
        <x:f>ABS(F287)</x:f>
        <x:v>0.027364265891806076</x:v>
      </x:c>
      <x:c r="H287" s="23" t="str">
        <x:f>IF(F287&gt;=0,"positive","negative")</x:f>
        <x:v>negative</x:v>
      </x:c>
      <x:c r="I287" s="23" t="n">
        <x:v>0.10033307426134769</x:v>
      </x:c>
      <x:c r="J287" s="23" t="n">
        <x:v>-0.27273425132501783</x:v>
      </x:c>
      <x:c r="K287" s="23" t="n">
        <x:v>0.41587142139628325</x:v>
      </x:c>
      <x:c r="L287" s="24" t="n">
        <x:v>1991</x:v>
      </x:c>
      <x:c r="M287" t="str">
        <x:v>legacy_common_sample_8902245</x:v>
      </x:c>
      <x:c r="N287" s="25" t="n">
        <x:v>46210.36385592593</x:v>
      </x:c>
      <x:c r="O287" s="24" t="n">
        <x:v>8902245</x:v>
      </x:c>
      <x:c r="P287" t="str">
        <x:v>factor_report/gtja191_batch/gtja_058/ic_summary.csv</x:v>
      </x:c>
    </x:row>
    <x:row r="288">
      <x:c r="A288" s="22" t="n">
        <x:f>IF($E288="ranked",1+COUNTIFS($D$5:$D$546,$D288,$E$5:$E$546,"ranked",$F$5:$F$546,"&gt;"&amp;$F288),"")</x:f>
        <x:v>114</x:v>
      </x:c>
      <x:c r="B288" s="22" t="n">
        <x:f>IF($E288="ranked",1+COUNTIFS($D$5:$D$546,$D288,$E$5:$E$546,"ranked",$G$5:$G$546,"&gt;"&amp;$G288),"")</x:f>
        <x:v>95</x:v>
      </x:c>
      <x:c r="C288" t="str">
        <x:v>gtja_019</x:v>
      </x:c>
      <x:c r="D288" s="22" t="n">
        <x:v>10</x:v>
      </x:c>
      <x:c r="E288" t="str">
        <x:v>ranked</x:v>
      </x:c>
      <x:c r="F288" s="23" t="n">
        <x:v>-0.03136635532491433</x:v>
      </x:c>
      <x:c r="G288" s="23" t="n">
        <x:f>ABS(F288)</x:f>
        <x:v>0.03136635532491433</x:v>
      </x:c>
      <x:c r="H288" s="23" t="str">
        <x:f>IF(F288&gt;=0,"positive","negative")</x:f>
        <x:v>negative</x:v>
      </x:c>
      <x:c r="I288" s="23" t="n">
        <x:v>0.12751382677292808</x:v>
      </x:c>
      <x:c r="J288" s="23" t="n">
        <x:v>-0.24598395420106384</x:v>
      </x:c>
      <x:c r="K288" s="23" t="n">
        <x:v>0.4229030637870417</x:v>
      </x:c>
      <x:c r="L288" s="24" t="n">
        <x:v>1991</x:v>
      </x:c>
      <x:c r="M288" t="str">
        <x:v>legacy_common_sample_8902245</x:v>
      </x:c>
      <x:c r="N288" s="25" t="n">
        <x:v>46210.190837372684</x:v>
      </x:c>
      <x:c r="O288" s="24" t="n">
        <x:v>8902245</x:v>
      </x:c>
      <x:c r="P288" t="str">
        <x:v>factor_report/gtja191_batch/gtja_019/ic_summary.csv</x:v>
      </x:c>
    </x:row>
    <x:row r="289">
      <x:c r="A289" s="22" t="n">
        <x:f>IF($E289="ranked",1+COUNTIFS($D$5:$D$546,$D289,$E$5:$E$546,"ranked",$F$5:$F$546,"&gt;"&amp;$F289),"")</x:f>
        <x:v>115</x:v>
      </x:c>
      <x:c r="B289" s="22" t="n">
        <x:f>IF($E289="ranked",1+COUNTIFS($D$5:$D$546,$D289,$E$5:$E$546,"ranked",$G$5:$G$546,"&gt;"&amp;$G289),"")</x:f>
        <x:v>94</x:v>
      </x:c>
      <x:c r="C289" t="str">
        <x:v>gtja_018</x:v>
      </x:c>
      <x:c r="D289" s="22" t="n">
        <x:v>10</x:v>
      </x:c>
      <x:c r="E289" t="str">
        <x:v>ranked</x:v>
      </x:c>
      <x:c r="F289" s="23" t="n">
        <x:v>-0.03136636231735738</x:v>
      </x:c>
      <x:c r="G289" s="23" t="n">
        <x:f>ABS(F289)</x:f>
        <x:v>0.03136636231735738</x:v>
      </x:c>
      <x:c r="H289" s="23" t="str">
        <x:f>IF(F289&gt;=0,"positive","negative")</x:f>
        <x:v>negative</x:v>
      </x:c>
      <x:c r="I289" s="23" t="n">
        <x:v>0.1275138870474672</x:v>
      </x:c>
      <x:c r="J289" s="23" t="n">
        <x:v>-0.2459838927636267</x:v>
      </x:c>
      <x:c r="K289" s="23" t="n">
        <x:v>0.4229030637870417</x:v>
      </x:c>
      <x:c r="L289" s="24" t="n">
        <x:v>1991</x:v>
      </x:c>
      <x:c r="M289" t="str">
        <x:v>legacy_common_sample_8902245</x:v>
      </x:c>
      <x:c r="N289" s="25" t="n">
        <x:v>46210.18674793981</x:v>
      </x:c>
      <x:c r="O289" s="24" t="n">
        <x:v>8902245</x:v>
      </x:c>
      <x:c r="P289" t="str">
        <x:v>factor_report/gtja191_batch/gtja_018/ic_summary.csv</x:v>
      </x:c>
    </x:row>
    <x:row r="290">
      <x:c r="A290" s="22" t="n">
        <x:f>IF($E290="ranked",1+COUNTIFS($D$5:$D$546,$D290,$E$5:$E$546,"ranked",$F$5:$F$546,"&gt;"&amp;$F290),"")</x:f>
        <x:v>116</x:v>
      </x:c>
      <x:c r="B290" s="22" t="n">
        <x:f>IF($E290="ranked",1+COUNTIFS($D$5:$D$546,$D290,$E$5:$E$546,"ranked",$G$5:$G$546,"&gt;"&amp;$G290),"")</x:f>
        <x:v>93</x:v>
      </x:c>
      <x:c r="C290" t="str">
        <x:v>gtja_014</x:v>
      </x:c>
      <x:c r="D290" s="22" t="n">
        <x:v>10</x:v>
      </x:c>
      <x:c r="E290" t="str">
        <x:v>ranked</x:v>
      </x:c>
      <x:c r="F290" s="23" t="n">
        <x:v>-0.03142291890680758</x:v>
      </x:c>
      <x:c r="G290" s="23" t="n">
        <x:f>ABS(F290)</x:f>
        <x:v>0.03142291890680758</x:v>
      </x:c>
      <x:c r="H290" s="23" t="str">
        <x:f>IF(F290&gt;=0,"positive","negative")</x:f>
        <x:v>negative</x:v>
      </x:c>
      <x:c r="I290" s="23" t="n">
        <x:v>0.12734572528294255</x:v>
      </x:c>
      <x:c r="J290" s="23" t="n">
        <x:v>-0.24675283632010972</x:v>
      </x:c>
      <x:c r="K290" s="23" t="n">
        <x:v>0.41838272225012557</x:v>
      </x:c>
      <x:c r="L290" s="24" t="n">
        <x:v>1991</x:v>
      </x:c>
      <x:c r="M290" t="str">
        <x:v>legacy_common_sample_8902245</x:v>
      </x:c>
      <x:c r="N290" s="25" t="n">
        <x:v>46210.170149652775</x:v>
      </x:c>
      <x:c r="O290" s="24" t="n">
        <x:v>8902245</x:v>
      </x:c>
      <x:c r="P290" t="str">
        <x:v>factor_report/gtja191_batch/gtja_014/ic_summary.csv</x:v>
      </x:c>
    </x:row>
    <x:row r="291">
      <x:c r="A291" s="22" t="n">
        <x:f>IF($E291="ranked",1+COUNTIFS($D$5:$D$546,$D291,$E$5:$E$546,"ranked",$F$5:$F$546,"&gt;"&amp;$F291),"")</x:f>
        <x:v>117</x:v>
      </x:c>
      <x:c r="B291" s="22" t="n">
        <x:f>IF($E291="ranked",1+COUNTIFS($D$5:$D$546,$D291,$E$5:$E$546,"ranked",$G$5:$G$546,"&gt;"&amp;$G291),"")</x:f>
        <x:v>92</x:v>
      </x:c>
      <x:c r="C291" t="str">
        <x:v>gtja_029</x:v>
      </x:c>
      <x:c r="D291" s="22" t="n">
        <x:v>10</x:v>
      </x:c>
      <x:c r="E291" t="str">
        <x:v>ranked</x:v>
      </x:c>
      <x:c r="F291" s="23" t="n">
        <x:v>-0.03161670993285054</x:v>
      </x:c>
      <x:c r="G291" s="23" t="n">
        <x:f>ABS(F291)</x:f>
        <x:v>0.03161670993285054</x:v>
      </x:c>
      <x:c r="H291" s="23" t="str">
        <x:f>IF(F291&gt;=0,"positive","negative")</x:f>
        <x:v>negative</x:v>
      </x:c>
      <x:c r="I291" s="23" t="n">
        <x:v>0.10584119237246778</x:v>
      </x:c>
      <x:c r="J291" s="23" t="n">
        <x:v>-0.2987183838744708</x:v>
      </x:c>
      <x:c r="K291" s="23" t="n">
        <x:v>0.3937719738824711</x:v>
      </x:c>
      <x:c r="L291" s="24" t="n">
        <x:v>1991</x:v>
      </x:c>
      <x:c r="M291" t="str">
        <x:v>legacy_common_sample_8902245</x:v>
      </x:c>
      <x:c r="N291" s="25" t="n">
        <x:v>46210.234402939815</x:v>
      </x:c>
      <x:c r="O291" s="24" t="n">
        <x:v>8902245</x:v>
      </x:c>
      <x:c r="P291" t="str">
        <x:v>factor_report/gtja191_batch/gtja_029/ic_summary.csv</x:v>
      </x:c>
    </x:row>
    <x:row r="292">
      <x:c r="A292" s="22" t="n">
        <x:f>IF($E292="ranked",1+COUNTIFS($D$5:$D$546,$D292,$E$5:$E$546,"ranked",$F$5:$F$546,"&gt;"&amp;$F292),"")</x:f>
        <x:v>118</x:v>
      </x:c>
      <x:c r="B292" s="22" t="n">
        <x:f>IF($E292="ranked",1+COUNTIFS($D$5:$D$546,$D292,$E$5:$E$546,"ranked",$G$5:$G$546,"&gt;"&amp;$G292),"")</x:f>
        <x:v>91</x:v>
      </x:c>
      <x:c r="C292" t="str">
        <x:v>gtja_063</x:v>
      </x:c>
      <x:c r="D292" s="22" t="n">
        <x:v>10</x:v>
      </x:c>
      <x:c r="E292" t="str">
        <x:v>ranked</x:v>
      </x:c>
      <x:c r="F292" s="23" t="n">
        <x:v>-0.03214577550026036</x:v>
      </x:c>
      <x:c r="G292" s="23" t="n">
        <x:f>ABS(F292)</x:f>
        <x:v>0.03214577550026036</x:v>
      </x:c>
      <x:c r="H292" s="23" t="str">
        <x:f>IF(F292&gt;=0,"positive","negative")</x:f>
        <x:v>negative</x:v>
      </x:c>
      <x:c r="I292" s="23" t="n">
        <x:v>0.127850657984467</x:v>
      </x:c>
      <x:c r="J292" s="23" t="n">
        <x:v>-0.25143222574705765</x:v>
      </x:c>
      <x:c r="K292" s="23" t="n">
        <x:v>0.40733299849321947</x:v>
      </x:c>
      <x:c r="L292" s="24" t="n">
        <x:v>1991</x:v>
      </x:c>
      <x:c r="M292" t="str">
        <x:v>legacy_common_sample_8902245</x:v>
      </x:c>
      <x:c r="N292" s="25" t="n">
        <x:v>46210.385858483794</x:v>
      </x:c>
      <x:c r="O292" s="24" t="n">
        <x:v>8902245</x:v>
      </x:c>
      <x:c r="P292" t="str">
        <x:v>factor_report/gtja191_batch/gtja_063/ic_summary.csv</x:v>
      </x:c>
    </x:row>
    <x:row r="293">
      <x:c r="A293" s="22" t="n">
        <x:f>IF($E293="ranked",1+COUNTIFS($D$5:$D$546,$D293,$E$5:$E$546,"ranked",$F$5:$F$546,"&gt;"&amp;$F293),"")</x:f>
        <x:v>119</x:v>
      </x:c>
      <x:c r="B293" s="22" t="n">
        <x:f>IF($E293="ranked",1+COUNTIFS($D$5:$D$546,$D293,$E$5:$E$546,"ranked",$G$5:$G$546,"&gt;"&amp;$G293),"")</x:f>
        <x:v>90</x:v>
      </x:c>
      <x:c r="C293" t="str">
        <x:v>gtja_109</x:v>
      </x:c>
      <x:c r="D293" s="22" t="n">
        <x:v>10</x:v>
      </x:c>
      <x:c r="E293" t="str">
        <x:v>ranked</x:v>
      </x:c>
      <x:c r="F293" s="23" t="n">
        <x:v>-0.03266799806433209</x:v>
      </x:c>
      <x:c r="G293" s="23" t="n">
        <x:f>ABS(F293)</x:f>
        <x:v>0.03266799806433209</x:v>
      </x:c>
      <x:c r="H293" s="23" t="str">
        <x:f>IF(F293&gt;=0,"positive","negative")</x:f>
        <x:v>negative</x:v>
      </x:c>
      <x:c r="I293" s="23" t="n">
        <x:v>0.08834138438122036</x:v>
      </x:c>
      <x:c r="J293" s="23" t="n">
        <x:v>-0.3697926888190884</x:v>
      </x:c>
      <x:c r="K293" s="23" t="n">
        <x:v>0.347564038171773</x:v>
      </x:c>
      <x:c r="L293" s="24" t="n">
        <x:v>1991</x:v>
      </x:c>
      <x:c r="M293" t="str">
        <x:v>legacy_common_sample_8902245</x:v>
      </x:c>
      <x:c r="N293" s="25" t="n">
        <x:v>46210.612487280094</x:v>
      </x:c>
      <x:c r="O293" s="24" t="n">
        <x:v>8902245</x:v>
      </x:c>
      <x:c r="P293" t="str">
        <x:v>factor_report/gtja191_batch/gtja_109/ic_summary.csv</x:v>
      </x:c>
    </x:row>
    <x:row r="294">
      <x:c r="A294" s="22" t="n">
        <x:f>IF($E294="ranked",1+COUNTIFS($D$5:$D$546,$D294,$E$5:$E$546,"ranked",$F$5:$F$546,"&gt;"&amp;$F294),"")</x:f>
        <x:v>120</x:v>
      </x:c>
      <x:c r="B294" s="22" t="n">
        <x:f>IF($E294="ranked",1+COUNTIFS($D$5:$D$546,$D294,$E$5:$E$546,"ranked",$G$5:$G$546,"&gt;"&amp;$G294),"")</x:f>
        <x:v>89</x:v>
      </x:c>
      <x:c r="C294" t="str">
        <x:v>gtja_128</x:v>
      </x:c>
      <x:c r="D294" s="22" t="n">
        <x:v>10</x:v>
      </x:c>
      <x:c r="E294" t="str">
        <x:v>ranked</x:v>
      </x:c>
      <x:c r="F294" s="23" t="n">
        <x:v>-0.032949282801604314</x:v>
      </x:c>
      <x:c r="G294" s="23" t="n">
        <x:f>ABS(F294)</x:f>
        <x:v>0.032949282801604314</x:v>
      </x:c>
      <x:c r="H294" s="23" t="str">
        <x:f>IF(F294&gt;=0,"positive","negative")</x:f>
        <x:v>negative</x:v>
      </x:c>
      <x:c r="I294" s="23" t="n">
        <x:v>0.10843444644072324</x:v>
      </x:c>
      <x:c r="J294" s="23" t="n">
        <x:v>-0.30386361422167046</x:v>
      </x:c>
      <x:c r="K294" s="23" t="n">
        <x:v>0.38372677046710196</x:v>
      </x:c>
      <x:c r="L294" s="24" t="n">
        <x:v>1991</x:v>
      </x:c>
      <x:c r="M294" t="str">
        <x:v>legacy_common_sample_8902245</x:v>
      </x:c>
      <x:c r="N294" s="25" t="n">
        <x:v>46210.71593150463</x:v>
      </x:c>
      <x:c r="O294" s="24" t="n">
        <x:v>8902245</x:v>
      </x:c>
      <x:c r="P294" t="str">
        <x:v>factor_report/gtja191_batch/gtja_128/ic_summary.csv</x:v>
      </x:c>
    </x:row>
    <x:row r="295">
      <x:c r="A295" s="22" t="n">
        <x:f>IF($E295="ranked",1+COUNTIFS($D$5:$D$546,$D295,$E$5:$E$546,"ranked",$F$5:$F$546,"&gt;"&amp;$F295),"")</x:f>
        <x:v>121</x:v>
      </x:c>
      <x:c r="B295" s="22" t="n">
        <x:f>IF($E295="ranked",1+COUNTIFS($D$5:$D$546,$D295,$E$5:$E$546,"ranked",$G$5:$G$546,"&gt;"&amp;$G295),"")</x:f>
        <x:v>88</x:v>
      </x:c>
      <x:c r="C295" t="str">
        <x:v>gtja_112</x:v>
      </x:c>
      <x:c r="D295" s="22" t="n">
        <x:v>10</x:v>
      </x:c>
      <x:c r="E295" t="str">
        <x:v>ranked</x:v>
      </x:c>
      <x:c r="F295" s="23" t="n">
        <x:v>-0.03326163017810002</x:v>
      </x:c>
      <x:c r="G295" s="23" t="n">
        <x:f>ABS(F295)</x:f>
        <x:v>0.03326163017810002</x:v>
      </x:c>
      <x:c r="H295" s="23" t="str">
        <x:f>IF(F295&gt;=0,"positive","negative")</x:f>
        <x:v>negative</x:v>
      </x:c>
      <x:c r="I295" s="23" t="n">
        <x:v>0.12499538795255624</x:v>
      </x:c>
      <x:c r="J295" s="23" t="n">
        <x:v>-0.26610285965690944</x:v>
      </x:c>
      <x:c r="K295" s="23" t="n">
        <x:v>0.39678553490708185</x:v>
      </x:c>
      <x:c r="L295" s="24" t="n">
        <x:v>1991</x:v>
      </x:c>
      <x:c r="M295" t="str">
        <x:v>legacy_common_sample_8902245</x:v>
      </x:c>
      <x:c r="N295" s="25" t="n">
        <x:v>46210.62560251157</x:v>
      </x:c>
      <x:c r="O295" s="24" t="n">
        <x:v>8902245</x:v>
      </x:c>
      <x:c r="P295" t="str">
        <x:v>factor_report/gtja191_batch/gtja_112/ic_summary.csv</x:v>
      </x:c>
    </x:row>
    <x:row r="296">
      <x:c r="A296" s="22" t="n">
        <x:f>IF($E296="ranked",1+COUNTIFS($D$5:$D$546,$D296,$E$5:$E$546,"ranked",$F$5:$F$546,"&gt;"&amp;$F296),"")</x:f>
        <x:v>122</x:v>
      </x:c>
      <x:c r="B296" s="22" t="n">
        <x:f>IF($E296="ranked",1+COUNTIFS($D$5:$D$546,$D296,$E$5:$E$546,"ranked",$G$5:$G$546,"&gt;"&amp;$G296),"")</x:f>
        <x:v>86</x:v>
      </x:c>
      <x:c r="C296" t="str">
        <x:v>gtja_089</x:v>
      </x:c>
      <x:c r="D296" s="22" t="n">
        <x:v>10</x:v>
      </x:c>
      <x:c r="E296" t="str">
        <x:v>ranked</x:v>
      </x:c>
      <x:c r="F296" s="23" t="n">
        <x:v>-0.03330943745475121</x:v>
      </x:c>
      <x:c r="G296" s="23" t="n">
        <x:f>ABS(F296)</x:f>
        <x:v>0.03330943745475121</x:v>
      </x:c>
      <x:c r="H296" s="23" t="str">
        <x:f>IF(F296&gt;=0,"positive","negative")</x:f>
        <x:v>negative</x:v>
      </x:c>
      <x:c r="I296" s="23" t="n">
        <x:v>0.12099497138113786</x:v>
      </x:c>
      <x:c r="J296" s="23" t="n">
        <x:v>-0.27529604804670327</x:v>
      </x:c>
      <x:c r="K296" s="23" t="n">
        <x:v>0.4098442993470618</x:v>
      </x:c>
      <x:c r="L296" s="24" t="n">
        <x:v>1991</x:v>
      </x:c>
      <x:c r="M296" t="str">
        <x:v>legacy_common_sample_8902245</x:v>
      </x:c>
      <x:c r="N296" s="25" t="n">
        <x:v>46210.52408989584</x:v>
      </x:c>
      <x:c r="O296" s="24" t="n">
        <x:v>8902245</x:v>
      </x:c>
      <x:c r="P296" t="str">
        <x:v>factor_report/gtja191_batch/gtja_089/ic_summary.csv</x:v>
      </x:c>
    </x:row>
    <x:row r="297">
      <x:c r="A297" s="22" t="n">
        <x:f>IF($E297="ranked",1+COUNTIFS($D$5:$D$546,$D297,$E$5:$E$546,"ranked",$F$5:$F$546,"&gt;"&amp;$F297),"")</x:f>
        <x:v>123</x:v>
      </x:c>
      <x:c r="B297" s="22" t="n">
        <x:f>IF($E297="ranked",1+COUNTIFS($D$5:$D$546,$D297,$E$5:$E$546,"ranked",$G$5:$G$546,"&gt;"&amp;$G297),"")</x:f>
        <x:v>83</x:v>
      </x:c>
      <x:c r="C297" t="str">
        <x:v>gtja_078</x:v>
      </x:c>
      <x:c r="D297" s="22" t="n">
        <x:v>10</x:v>
      </x:c>
      <x:c r="E297" t="str">
        <x:v>ranked</x:v>
      </x:c>
      <x:c r="F297" s="23" t="n">
        <x:v>-0.033764471884845174</x:v>
      </x:c>
      <x:c r="G297" s="23" t="n">
        <x:f>ABS(F297)</x:f>
        <x:v>0.033764471884845174</x:v>
      </x:c>
      <x:c r="H297" s="23" t="str">
        <x:f>IF(F297&gt;=0,"positive","negative")</x:f>
        <x:v>negative</x:v>
      </x:c>
      <x:c r="I297" s="23" t="n">
        <x:v>0.11797777440863583</x:v>
      </x:c>
      <x:c r="J297" s="23" t="n">
        <x:v>-0.2861934974963696</x:v>
      </x:c>
      <x:c r="K297" s="23" t="n">
        <x:v>0.38824711200401807</x:v>
      </x:c>
      <x:c r="L297" s="24" t="n">
        <x:v>1991</x:v>
      </x:c>
      <x:c r="M297" t="str">
        <x:v>legacy_common_sample_8902245</x:v>
      </x:c>
      <x:c r="N297" s="25" t="n">
        <x:v>46210.46714320602</x:v>
      </x:c>
      <x:c r="O297" s="24" t="n">
        <x:v>8902245</x:v>
      </x:c>
      <x:c r="P297" t="str">
        <x:v>factor_report/gtja191_batch/gtja_078/ic_summary.csv</x:v>
      </x:c>
    </x:row>
    <x:row r="298">
      <x:c r="A298" s="22" t="n">
        <x:f>IF($E298="ranked",1+COUNTIFS($D$5:$D$546,$D298,$E$5:$E$546,"ranked",$F$5:$F$546,"&gt;"&amp;$F298),"")</x:f>
        <x:v>124</x:v>
      </x:c>
      <x:c r="B298" s="22" t="n">
        <x:f>IF($E298="ranked",1+COUNTIFS($D$5:$D$546,$D298,$E$5:$E$546,"ranked",$G$5:$G$546,"&gt;"&amp;$G298),"")</x:f>
        <x:v>82</x:v>
      </x:c>
      <x:c r="C298" t="str">
        <x:v>gtja_020</x:v>
      </x:c>
      <x:c r="D298" s="22" t="n">
        <x:v>10</x:v>
      </x:c>
      <x:c r="E298" t="str">
        <x:v>ranked</x:v>
      </x:c>
      <x:c r="F298" s="23" t="n">
        <x:v>-0.0343093540926392</x:v>
      </x:c>
      <x:c r="G298" s="23" t="n">
        <x:f>ABS(F298)</x:f>
        <x:v>0.0343093540926392</x:v>
      </x:c>
      <x:c r="H298" s="23" t="str">
        <x:f>IF(F298&gt;=0,"positive","negative")</x:f>
        <x:v>negative</x:v>
      </x:c>
      <x:c r="I298" s="23" t="n">
        <x:v>0.12825689113604943</x:v>
      </x:c>
      <x:c r="J298" s="23" t="n">
        <x:v>-0.2675049565660008</x:v>
      </x:c>
      <x:c r="K298" s="23" t="n">
        <x:v>0.40683073832245104</x:v>
      </x:c>
      <x:c r="L298" s="24" t="n">
        <x:v>1991</x:v>
      </x:c>
      <x:c r="M298" t="str">
        <x:v>legacy_common_sample_8902245</x:v>
      </x:c>
      <x:c r="N298" s="25" t="n">
        <x:v>46210.19493413194</x:v>
      </x:c>
      <x:c r="O298" s="24" t="n">
        <x:v>8902245</x:v>
      </x:c>
      <x:c r="P298" t="str">
        <x:v>factor_report/gtja191_batch/gtja_020/ic_summary.csv</x:v>
      </x:c>
    </x:row>
    <x:row r="299">
      <x:c r="A299" s="22" t="n">
        <x:f>IF($E299="ranked",1+COUNTIFS($D$5:$D$546,$D299,$E$5:$E$546,"ranked",$F$5:$F$546,"&gt;"&amp;$F299),"")</x:f>
        <x:v>125</x:v>
      </x:c>
      <x:c r="B299" s="22" t="n">
        <x:f>IF($E299="ranked",1+COUNTIFS($D$5:$D$546,$D299,$E$5:$E$546,"ranked",$G$5:$G$546,"&gt;"&amp;$G299),"")</x:f>
        <x:v>81</x:v>
      </x:c>
      <x:c r="C299" t="str">
        <x:v>gtja_068</x:v>
      </x:c>
      <x:c r="D299" s="22" t="n">
        <x:v>10</x:v>
      </x:c>
      <x:c r="E299" t="str">
        <x:v>ranked</x:v>
      </x:c>
      <x:c r="F299" s="23" t="n">
        <x:v>-0.034587875926085955</x:v>
      </x:c>
      <x:c r="G299" s="23" t="n">
        <x:f>ABS(F299)</x:f>
        <x:v>0.034587875926085955</x:v>
      </x:c>
      <x:c r="H299" s="23" t="str">
        <x:f>IF(F299&gt;=0,"positive","negative")</x:f>
        <x:v>negative</x:v>
      </x:c>
      <x:c r="I299" s="23" t="n">
        <x:v>0.12286666440775093</x:v>
      </x:c>
      <x:c r="J299" s="23" t="n">
        <x:v>-0.2815074055506305</x:v>
      </x:c>
      <x:c r="K299" s="23" t="n">
        <x:v>0.39578101456554493</x:v>
      </x:c>
      <x:c r="L299" s="24" t="n">
        <x:v>1991</x:v>
      </x:c>
      <x:c r="M299" t="str">
        <x:v>legacy_common_sample_8902245</x:v>
      </x:c>
      <x:c r="N299" s="25" t="n">
        <x:v>46210.407986018516</x:v>
      </x:c>
      <x:c r="O299" s="24" t="n">
        <x:v>8902245</x:v>
      </x:c>
      <x:c r="P299" t="str">
        <x:v>factor_report/gtja191_batch/gtja_068/ic_summary.csv</x:v>
      </x:c>
    </x:row>
    <x:row r="300">
      <x:c r="A300" s="22" t="n">
        <x:f>IF($E300="ranked",1+COUNTIFS($D$5:$D$546,$D300,$E$5:$E$546,"ranked",$F$5:$F$546,"&gt;"&amp;$F300),"")</x:f>
        <x:v>126</x:v>
      </x:c>
      <x:c r="B300" s="22" t="n">
        <x:f>IF($E300="ranked",1+COUNTIFS($D$5:$D$546,$D300,$E$5:$E$546,"ranked",$G$5:$G$546,"&gt;"&amp;$G300),"")</x:f>
        <x:v>80</x:v>
      </x:c>
      <x:c r="C300" t="str">
        <x:v>gtja_003</x:v>
      </x:c>
      <x:c r="D300" s="22" t="n">
        <x:v>10</x:v>
      </x:c>
      <x:c r="E300" t="str">
        <x:v>ranked</x:v>
      </x:c>
      <x:c r="F300" s="23" t="n">
        <x:v>-0.03472088085404721</x:v>
      </x:c>
      <x:c r="G300" s="23" t="n">
        <x:f>ABS(F300)</x:f>
        <x:v>0.03472088085404721</x:v>
      </x:c>
      <x:c r="H300" s="23" t="str">
        <x:f>IF(F300&gt;=0,"positive","negative")</x:f>
        <x:v>negative</x:v>
      </x:c>
      <x:c r="I300" s="23" t="n">
        <x:v>0.12049476181299378</x:v>
      </x:c>
      <x:c r="J300" s="23" t="n">
        <x:v>-0.28815261619366944</x:v>
      </x:c>
      <x:c r="K300" s="23" t="n">
        <x:v>0.3902561526870919</x:v>
      </x:c>
      <x:c r="L300" s="24" t="n">
        <x:v>1991</x:v>
      </x:c>
      <x:c r="M300" t="str">
        <x:v>legacy_common_sample_8902245</x:v>
      </x:c>
      <x:c r="N300" s="25" t="n">
        <x:v>46210.119879363425</x:v>
      </x:c>
      <x:c r="O300" s="24" t="n">
        <x:v>8902245</x:v>
      </x:c>
      <x:c r="P300" t="str">
        <x:v>factor_report/gtja191_batch/gtja_003/ic_summary.csv</x:v>
      </x:c>
    </x:row>
    <x:row r="301">
      <x:c r="A301" s="22" t="n">
        <x:f>IF($E301="ranked",1+COUNTIFS($D$5:$D$546,$D301,$E$5:$E$546,"ranked",$F$5:$F$546,"&gt;"&amp;$F301),"")</x:f>
        <x:v>127</x:v>
      </x:c>
      <x:c r="B301" s="22" t="n">
        <x:f>IF($E301="ranked",1+COUNTIFS($D$5:$D$546,$D301,$E$5:$E$546,"ranked",$G$5:$G$546,"&gt;"&amp;$G301),"")</x:f>
        <x:v>79</x:v>
      </x:c>
      <x:c r="C301" t="str">
        <x:v>gtja_050</x:v>
      </x:c>
      <x:c r="D301" s="22" t="n">
        <x:v>10</x:v>
      </x:c>
      <x:c r="E301" t="str">
        <x:v>ranked</x:v>
      </x:c>
      <x:c r="F301" s="23" t="n">
        <x:v>-0.03477122181071436</x:v>
      </x:c>
      <x:c r="G301" s="23" t="n">
        <x:f>ABS(F301)</x:f>
        <x:v>0.03477122181071436</x:v>
      </x:c>
      <x:c r="H301" s="23" t="str">
        <x:f>IF(F301&gt;=0,"positive","negative")</x:f>
        <x:v>negative</x:v>
      </x:c>
      <x:c r="I301" s="23" t="n">
        <x:v>0.11981674532954434</x:v>
      </x:c>
      <x:c r="J301" s="23" t="n">
        <x:v>-0.2902033577617176</x:v>
      </x:c>
      <x:c r="K301" s="23" t="n">
        <x:v>0.38372677046710196</x:v>
      </x:c>
      <x:c r="L301" s="24" t="n">
        <x:v>1991</x:v>
      </x:c>
      <x:c r="M301" t="str">
        <x:v>legacy_common_sample_8902245</x:v>
      </x:c>
      <x:c r="N301" s="25" t="n">
        <x:v>46210.32673208333</x:v>
      </x:c>
      <x:c r="O301" s="24" t="n">
        <x:v>8902245</x:v>
      </x:c>
      <x:c r="P301" t="str">
        <x:v>factor_report/gtja191_batch/gtja_050/ic_summary.csv</x:v>
      </x:c>
    </x:row>
    <x:row r="302">
      <x:c r="A302" s="22" t="n">
        <x:f>IF($E302="ranked",1+COUNTIFS($D$5:$D$546,$D302,$E$5:$E$546,"ranked",$F$5:$F$546,"&gt;"&amp;$F302),"")</x:f>
        <x:v>128</x:v>
      </x:c>
      <x:c r="B302" s="22" t="n">
        <x:f>IF($E302="ranked",1+COUNTIFS($D$5:$D$546,$D302,$E$5:$E$546,"ranked",$G$5:$G$546,"&gt;"&amp;$G302),"")</x:f>
        <x:v>77</x:v>
      </x:c>
      <x:c r="C302" t="str">
        <x:v>gtja_051</x:v>
      </x:c>
      <x:c r="D302" s="22" t="n">
        <x:v>10</x:v>
      </x:c>
      <x:c r="E302" t="str">
        <x:v>ranked</x:v>
      </x:c>
      <x:c r="F302" s="23" t="n">
        <x:v>-0.03477125480346933</x:v>
      </x:c>
      <x:c r="G302" s="23" t="n">
        <x:f>ABS(F302)</x:f>
        <x:v>0.03477125480346933</x:v>
      </x:c>
      <x:c r="H302" s="23" t="str">
        <x:f>IF(F302&gt;=0,"positive","negative")</x:f>
        <x:v>negative</x:v>
      </x:c>
      <x:c r="I302" s="23" t="n">
        <x:v>0.11981678207975749</x:v>
      </x:c>
      <x:c r="J302" s="23" t="n">
        <x:v>-0.2902035441105689</x:v>
      </x:c>
      <x:c r="K302" s="23" t="n">
        <x:v>0.3842290306378704</x:v>
      </x:c>
      <x:c r="L302" s="24" t="n">
        <x:v>1991</x:v>
      </x:c>
      <x:c r="M302" t="str">
        <x:v>legacy_common_sample_8902245</x:v>
      </x:c>
      <x:c r="N302" s="25" t="n">
        <x:v>46210.33137918982</x:v>
      </x:c>
      <x:c r="O302" s="24" t="n">
        <x:v>8902245</x:v>
      </x:c>
      <x:c r="P302" t="str">
        <x:v>factor_report/gtja191_batch/gtja_051/ic_summary.csv</x:v>
      </x:c>
    </x:row>
    <x:row r="303">
      <x:c r="A303" s="22" t="n">
        <x:f>IF($E303="ranked",1+COUNTIFS($D$5:$D$546,$D303,$E$5:$E$546,"ranked",$F$5:$F$546,"&gt;"&amp;$F303),"")</x:f>
        <x:v>129</x:v>
      </x:c>
      <x:c r="B303" s="22" t="n">
        <x:f>IF($E303="ranked",1+COUNTIFS($D$5:$D$546,$D303,$E$5:$E$546,"ranked",$G$5:$G$546,"&gt;"&amp;$G303),"")</x:f>
        <x:v>75</x:v>
      </x:c>
      <x:c r="C303" t="str">
        <x:v>gtja_176</x:v>
      </x:c>
      <x:c r="D303" s="22" t="n">
        <x:v>10</x:v>
      </x:c>
      <x:c r="E303" t="str">
        <x:v>ranked</x:v>
      </x:c>
      <x:c r="F303" s="23" t="n">
        <x:v>-0.035213922106757604</x:v>
      </x:c>
      <x:c r="G303" s="23" t="n">
        <x:f>ABS(F303)</x:f>
        <x:v>0.035213922106757604</x:v>
      </x:c>
      <x:c r="H303" s="23" t="str">
        <x:f>IF(F303&gt;=0,"positive","negative")</x:f>
        <x:v>negative</x:v>
      </x:c>
      <x:c r="I303" s="23" t="n">
        <x:v>0.052146497362368406</x:v>
      </x:c>
      <x:c r="J303" s="23" t="n">
        <x:v>-0.6752883489384616</x:v>
      </x:c>
      <x:c r="K303" s="23" t="n">
        <x:v>0.23254645906579607</x:v>
      </x:c>
      <x:c r="L303" s="24" t="n">
        <x:v>1991</x:v>
      </x:c>
      <x:c r="M303" t="str">
        <x:v>legacy_common_sample_8902245</x:v>
      </x:c>
      <x:c r="N303" s="25" t="n">
        <x:v>46210.92925570602</x:v>
      </x:c>
      <x:c r="O303" s="24" t="n">
        <x:v>8902245</x:v>
      </x:c>
      <x:c r="P303" t="str">
        <x:v>factor_report/gtja191_batch/gtja_176/ic_summary.csv</x:v>
      </x:c>
    </x:row>
    <x:row r="304">
      <x:c r="A304" s="22" t="n">
        <x:f>IF($E304="ranked",1+COUNTIFS($D$5:$D$546,$D304,$E$5:$E$546,"ranked",$F$5:$F$546,"&gt;"&amp;$F304),"")</x:f>
        <x:v>130</x:v>
      </x:c>
      <x:c r="B304" s="22" t="n">
        <x:f>IF($E304="ranked",1+COUNTIFS($D$5:$D$546,$D304,$E$5:$E$546,"ranked",$G$5:$G$546,"&gt;"&amp;$G304),"")</x:f>
        <x:v>73</x:v>
      </x:c>
      <x:c r="C304" t="str">
        <x:v>gtja_169</x:v>
      </x:c>
      <x:c r="D304" s="22" t="n">
        <x:v>10</x:v>
      </x:c>
      <x:c r="E304" t="str">
        <x:v>ranked</x:v>
      </x:c>
      <x:c r="F304" s="23" t="n">
        <x:v>-0.03531465236762509</x:v>
      </x:c>
      <x:c r="G304" s="23" t="n">
        <x:f>ABS(F304)</x:f>
        <x:v>0.03531465236762509</x:v>
      </x:c>
      <x:c r="H304" s="23" t="str">
        <x:f>IF(F304&gt;=0,"positive","negative")</x:f>
        <x:v>negative</x:v>
      </x:c>
      <x:c r="I304" s="23" t="n">
        <x:v>0.12099802504427162</x:v>
      </x:c>
      <x:c r="J304" s="23" t="n">
        <x:v>-0.2918613948839571</x:v>
      </x:c>
      <x:c r="K304" s="23" t="n">
        <x:v>0.38824711200401807</x:v>
      </x:c>
      <x:c r="L304" s="24" t="n">
        <x:v>1991</x:v>
      </x:c>
      <x:c r="M304" t="str">
        <x:v>legacy_common_sample_8902245</x:v>
      </x:c>
      <x:c r="N304" s="25" t="n">
        <x:v>46210.89785068287</x:v>
      </x:c>
      <x:c r="O304" s="24" t="n">
        <x:v>8902245</x:v>
      </x:c>
      <x:c r="P304" t="str">
        <x:v>factor_report/gtja191_batch/gtja_169/ic_summary.csv</x:v>
      </x:c>
    </x:row>
    <x:row r="305">
      <x:c r="A305" s="22" t="n">
        <x:f>IF($E305="ranked",1+COUNTIFS($D$5:$D$546,$D305,$E$5:$E$546,"ranked",$F$5:$F$546,"&gt;"&amp;$F305),"")</x:f>
        <x:v>131</x:v>
      </x:c>
      <x:c r="B305" s="22" t="n">
        <x:f>IF($E305="ranked",1+COUNTIFS($D$5:$D$546,$D305,$E$5:$E$546,"ranked",$G$5:$G$546,"&gt;"&amp;$G305),"")</x:f>
        <x:v>72</x:v>
      </x:c>
      <x:c r="C305" t="str">
        <x:v>gtja_021</x:v>
      </x:c>
      <x:c r="D305" s="22" t="n">
        <x:v>10</x:v>
      </x:c>
      <x:c r="E305" t="str">
        <x:v>ranked</x:v>
      </x:c>
      <x:c r="F305" s="23" t="n">
        <x:v>-0.03594981210637164</x:v>
      </x:c>
      <x:c r="G305" s="23" t="n">
        <x:f>ABS(F305)</x:f>
        <x:v>0.03594981210637164</x:v>
      </x:c>
      <x:c r="H305" s="23" t="str">
        <x:f>IF(F305&gt;=0,"positive","negative")</x:f>
        <x:v>negative</x:v>
      </x:c>
      <x:c r="I305" s="23" t="n">
        <x:v>0.12294838126188924</x:v>
      </x:c>
      <x:c r="J305" s="23" t="n">
        <x:v>-0.2923976040790309</x:v>
      </x:c>
      <x:c r="K305" s="23" t="n">
        <x:v>0.3937719738824711</x:v>
      </x:c>
      <x:c r="L305" s="24" t="n">
        <x:v>1991</x:v>
      </x:c>
      <x:c r="M305" t="str">
        <x:v>legacy_common_sample_8902245</x:v>
      </x:c>
      <x:c r="N305" s="25" t="n">
        <x:v>46210.1997081713</x:v>
      </x:c>
      <x:c r="O305" s="24" t="n">
        <x:v>8902245</x:v>
      </x:c>
      <x:c r="P305" t="str">
        <x:v>factor_report/gtja191_batch/gtja_021/ic_summary.csv</x:v>
      </x:c>
    </x:row>
    <x:row r="306">
      <x:c r="A306" s="22" t="n">
        <x:f>IF($E306="ranked",1+COUNTIFS($D$5:$D$546,$D306,$E$5:$E$546,"ranked",$F$5:$F$546,"&gt;"&amp;$F306),"")</x:f>
        <x:v>132</x:v>
      </x:c>
      <x:c r="B306" s="22" t="n">
        <x:f>IF($E306="ranked",1+COUNTIFS($D$5:$D$546,$D306,$E$5:$E$546,"ranked",$G$5:$G$546,"&gt;"&amp;$G306),"")</x:f>
        <x:v>70</x:v>
      </x:c>
      <x:c r="C306" t="str">
        <x:v>gtja_145</x:v>
      </x:c>
      <x:c r="D306" s="22" t="n">
        <x:v>10</x:v>
      </x:c>
      <x:c r="E306" t="str">
        <x:v>ranked</x:v>
      </x:c>
      <x:c r="F306" s="23" t="n">
        <x:v>-0.036305859771645285</x:v>
      </x:c>
      <x:c r="G306" s="23" t="n">
        <x:f>ABS(F306)</x:f>
        <x:v>0.036305859771645285</x:v>
      </x:c>
      <x:c r="H306" s="23" t="str">
        <x:f>IF(F306&gt;=0,"positive","negative")</x:f>
        <x:v>negative</x:v>
      </x:c>
      <x:c r="I306" s="23" t="n">
        <x:v>0.08655993711277037</x:v>
      </x:c>
      <x:c r="J306" s="23" t="n">
        <x:v>-0.4194302928425881</x:v>
      </x:c>
      <x:c r="K306" s="23" t="n">
        <x:v>0.3209442491210447</x:v>
      </x:c>
      <x:c r="L306" s="24" t="n">
        <x:v>1991</x:v>
      </x:c>
      <x:c r="M306" t="str">
        <x:v>legacy_common_sample_8902245</x:v>
      </x:c>
      <x:c r="N306" s="25" t="n">
        <x:v>46210.79587657408</x:v>
      </x:c>
      <x:c r="O306" s="24" t="n">
        <x:v>8902245</x:v>
      </x:c>
      <x:c r="P306" t="str">
        <x:v>factor_report/gtja191_batch/gtja_145/ic_summary.csv</x:v>
      </x:c>
    </x:row>
    <x:row r="307">
      <x:c r="A307" s="22" t="n">
        <x:f>IF($E307="ranked",1+COUNTIFS($D$5:$D$546,$D307,$E$5:$E$546,"ranked",$F$5:$F$546,"&gt;"&amp;$F307),"")</x:f>
        <x:v>133</x:v>
      </x:c>
      <x:c r="B307" s="22" t="n">
        <x:f>IF($E307="ranked",1+COUNTIFS($D$5:$D$546,$D307,$E$5:$E$546,"ranked",$G$5:$G$546,"&gt;"&amp;$G307),"")</x:f>
        <x:v>69</x:v>
      </x:c>
      <x:c r="C307" t="str">
        <x:v>gtja_179</x:v>
      </x:c>
      <x:c r="D307" s="22" t="n">
        <x:v>10</x:v>
      </x:c>
      <x:c r="E307" t="str">
        <x:v>ranked</x:v>
      </x:c>
      <x:c r="F307" s="23" t="n">
        <x:v>-0.0363942798172005</x:v>
      </x:c>
      <x:c r="G307" s="23" t="n">
        <x:f>ABS(F307)</x:f>
        <x:v>0.0363942798172005</x:v>
      </x:c>
      <x:c r="H307" s="23" t="str">
        <x:f>IF(F307&gt;=0,"positive","negative")</x:f>
        <x:v>negative</x:v>
      </x:c>
      <x:c r="I307" s="23" t="n">
        <x:v>0.06120507896136871</x:v>
      </x:c>
      <x:c r="J307" s="23" t="n">
        <x:v>-0.5946284268364683</x:v>
      </x:c>
      <x:c r="K307" s="23" t="n">
        <x:v>0.26143790849673204</x:v>
      </x:c>
      <x:c r="L307" s="24" t="n">
        <x:v>1989</x:v>
      </x:c>
      <x:c r="M307" t="str">
        <x:v>legacy_common_sample_8902245</x:v>
      </x:c>
      <x:c r="N307" s="25" t="n">
        <x:v>46210.941301631945</x:v>
      </x:c>
      <x:c r="O307" s="24" t="n">
        <x:v>8902245</x:v>
      </x:c>
      <x:c r="P307" t="str">
        <x:v>factor_report/gtja191_batch/gtja_179/ic_summary.csv</x:v>
      </x:c>
    </x:row>
    <x:row r="308">
      <x:c r="A308" s="22" t="n">
        <x:f>IF($E308="ranked",1+COUNTIFS($D$5:$D$546,$D308,$E$5:$E$546,"ranked",$F$5:$F$546,"&gt;"&amp;$F308),"")</x:f>
        <x:v>134</x:v>
      </x:c>
      <x:c r="B308" s="22" t="n">
        <x:f>IF($E308="ranked",1+COUNTIFS($D$5:$D$546,$D308,$E$5:$E$546,"ranked",$G$5:$G$546,"&gt;"&amp;$G308),"")</x:f>
        <x:v>68</x:v>
      </x:c>
      <x:c r="C308" t="str">
        <x:v>gtja_177</x:v>
      </x:c>
      <x:c r="D308" s="22" t="n">
        <x:v>10</x:v>
      </x:c>
      <x:c r="E308" t="str">
        <x:v>ranked</x:v>
      </x:c>
      <x:c r="F308" s="23" t="n">
        <x:v>-0.036733152768811825</x:v>
      </x:c>
      <x:c r="G308" s="23" t="n">
        <x:f>ABS(F308)</x:f>
        <x:v>0.036733152768811825</x:v>
      </x:c>
      <x:c r="H308" s="23" t="str">
        <x:f>IF(F308&gt;=0,"positive","negative")</x:f>
        <x:v>negative</x:v>
      </x:c>
      <x:c r="I308" s="23" t="n">
        <x:v>0.10002325138444372</x:v>
      </x:c>
      <x:c r="J308" s="23" t="n">
        <x:v>-0.3672461378767458</x:v>
      </x:c>
      <x:c r="K308" s="23" t="n">
        <x:v>0.34555499748869917</x:v>
      </x:c>
      <x:c r="L308" s="24" t="n">
        <x:v>1991</x:v>
      </x:c>
      <x:c r="M308" t="str">
        <x:v>legacy_common_sample_8902245</x:v>
      </x:c>
      <x:c r="N308" s="25" t="n">
        <x:v>46210.93332200232</x:v>
      </x:c>
      <x:c r="O308" s="24" t="n">
        <x:v>8902245</x:v>
      </x:c>
      <x:c r="P308" t="str">
        <x:v>factor_report/gtja191_batch/gtja_177/ic_summary.csv</x:v>
      </x:c>
    </x:row>
    <x:row r="309">
      <x:c r="A309" s="22" t="n">
        <x:f>IF($E309="ranked",1+COUNTIFS($D$5:$D$546,$D309,$E$5:$E$546,"ranked",$F$5:$F$546,"&gt;"&amp;$F309),"")</x:f>
        <x:v>135</x:v>
      </x:c>
      <x:c r="B309" s="22" t="n">
        <x:f>IF($E309="ranked",1+COUNTIFS($D$5:$D$546,$D309,$E$5:$E$546,"ranked",$G$5:$G$546,"&gt;"&amp;$G309),"")</x:f>
        <x:v>66</x:v>
      </x:c>
      <x:c r="C309" t="str">
        <x:v>gtja_093</x:v>
      </x:c>
      <x:c r="D309" s="22" t="n">
        <x:v>10</x:v>
      </x:c>
      <x:c r="E309" t="str">
        <x:v>ranked</x:v>
      </x:c>
      <x:c r="F309" s="23" t="n">
        <x:v>-0.0374173145148579</x:v>
      </x:c>
      <x:c r="G309" s="23" t="n">
        <x:f>ABS(F309)</x:f>
        <x:v>0.0374173145148579</x:v>
      </x:c>
      <x:c r="H309" s="23" t="str">
        <x:f>IF(F309&gt;=0,"positive","negative")</x:f>
        <x:v>negative</x:v>
      </x:c>
      <x:c r="I309" s="23" t="n">
        <x:v>0.18734897299048334</x:v>
      </x:c>
      <x:c r="J309" s="23" t="n">
        <x:v>-0.1997198805928793</x:v>
      </x:c>
      <x:c r="K309" s="23" t="n">
        <x:v>0.4485183324962331</x:v>
      </x:c>
      <x:c r="L309" s="24" t="n">
        <x:v>1991</x:v>
      </x:c>
      <x:c r="M309" t="str">
        <x:v>legacy_common_sample_8902245</x:v>
      </x:c>
      <x:c r="N309" s="25" t="n">
        <x:v>46210.543900254626</x:v>
      </x:c>
      <x:c r="O309" s="24" t="n">
        <x:v>8902245</x:v>
      </x:c>
      <x:c r="P309" t="str">
        <x:v>factor_report/gtja191_batch/gtja_093/ic_summary.csv</x:v>
      </x:c>
    </x:row>
    <x:row r="310">
      <x:c r="A310" s="22" t="n">
        <x:f>IF($E310="ranked",1+COUNTIFS($D$5:$D$546,$D310,$E$5:$E$546,"ranked",$F$5:$F$546,"&gt;"&amp;$F310),"")</x:f>
        <x:v>136</x:v>
      </x:c>
      <x:c r="B310" s="22" t="n">
        <x:f>IF($E310="ranked",1+COUNTIFS($D$5:$D$546,$D310,$E$5:$E$546,"ranked",$G$5:$G$546,"&gt;"&amp;$G310),"")</x:f>
        <x:v>64</x:v>
      </x:c>
      <x:c r="C310" t="str">
        <x:v>gtja_031</x:v>
      </x:c>
      <x:c r="D310" s="22" t="n">
        <x:v>10</x:v>
      </x:c>
      <x:c r="E310" t="str">
        <x:v>ranked</x:v>
      </x:c>
      <x:c r="F310" s="23" t="n">
        <x:v>-0.03805880603715265</x:v>
      </x:c>
      <x:c r="G310" s="23" t="n">
        <x:f>ABS(F310)</x:f>
        <x:v>0.03805880603715265</x:v>
      </x:c>
      <x:c r="H310" s="23" t="str">
        <x:f>IF(F310&gt;=0,"positive","negative")</x:f>
        <x:v>negative</x:v>
      </x:c>
      <x:c r="I310" s="23" t="n">
        <x:v>0.13268875982438466</x:v>
      </x:c>
      <x:c r="J310" s="23" t="n">
        <x:v>-0.2868276565967154</x:v>
      </x:c>
      <x:c r="K310" s="23" t="n">
        <x:v>0.3987945755901557</x:v>
      </x:c>
      <x:c r="L310" s="24" t="n">
        <x:v>1991</x:v>
      </x:c>
      <x:c r="M310" t="str">
        <x:v>legacy_common_sample_8902245</x:v>
      </x:c>
      <x:c r="N310" s="25" t="n">
        <x:v>46210.23892871528</x:v>
      </x:c>
      <x:c r="O310" s="24" t="n">
        <x:v>8902245</x:v>
      </x:c>
      <x:c r="P310" t="str">
        <x:v>factor_report/gtja191_batch/gtja_031/ic_summary.csv</x:v>
      </x:c>
    </x:row>
    <x:row r="311">
      <x:c r="A311" s="22" t="n">
        <x:f>IF($E311="ranked",1+COUNTIFS($D$5:$D$546,$D311,$E$5:$E$546,"ranked",$F$5:$F$546,"&gt;"&amp;$F311),"")</x:f>
        <x:v>137</x:v>
      </x:c>
      <x:c r="B311" s="22" t="n">
        <x:f>IF($E311="ranked",1+COUNTIFS($D$5:$D$546,$D311,$E$5:$E$546,"ranked",$G$5:$G$546,"&gt;"&amp;$G311),"")</x:f>
        <x:v>62</x:v>
      </x:c>
      <x:c r="C311" t="str">
        <x:v>gtja_153</x:v>
      </x:c>
      <x:c r="D311" s="22" t="n">
        <x:v>10</x:v>
      </x:c>
      <x:c r="E311" t="str">
        <x:v>ranked</x:v>
      </x:c>
      <x:c r="F311" s="23" t="n">
        <x:v>-0.03994208451855303</x:v>
      </x:c>
      <x:c r="G311" s="23" t="n">
        <x:f>ABS(F311)</x:f>
        <x:v>0.03994208451855303</x:v>
      </x:c>
      <x:c r="H311" s="23" t="str">
        <x:f>IF(F311&gt;=0,"positive","negative")</x:f>
        <x:v>negative</x:v>
      </x:c>
      <x:c r="I311" s="23" t="n">
        <x:v>0.18360593322646068</x:v>
      </x:c>
      <x:c r="J311" s="23" t="n">
        <x:v>-0.21754244983623824</x:v>
      </x:c>
      <x:c r="K311" s="23" t="n">
        <x:v>0.4445002511300854</x:v>
      </x:c>
      <x:c r="L311" s="24" t="n">
        <x:v>1991</x:v>
      </x:c>
      <x:c r="M311" t="str">
        <x:v>legacy_common_sample_8902245</x:v>
      </x:c>
      <x:c r="N311" s="25" t="n">
        <x:v>46210.827101863426</x:v>
      </x:c>
      <x:c r="O311" s="24" t="n">
        <x:v>8902245</x:v>
      </x:c>
      <x:c r="P311" t="str">
        <x:v>factor_report/gtja191_batch/gtja_153/ic_summary.csv</x:v>
      </x:c>
    </x:row>
    <x:row r="312">
      <x:c r="A312" s="22" t="n">
        <x:f>IF($E312="ranked",1+COUNTIFS($D$5:$D$546,$D312,$E$5:$E$546,"ranked",$F$5:$F$546,"&gt;"&amp;$F312),"")</x:f>
        <x:v>138</x:v>
      </x:c>
      <x:c r="B312" s="22" t="n">
        <x:f>IF($E312="ranked",1+COUNTIFS($D$5:$D$546,$D312,$E$5:$E$546,"ranked",$G$5:$G$546,"&gt;"&amp;$G312),"")</x:f>
        <x:v>61</x:v>
      </x:c>
      <x:c r="C312" t="str">
        <x:v>gtja_084</x:v>
      </x:c>
      <x:c r="D312" s="22" t="n">
        <x:v>10</x:v>
      </x:c>
      <x:c r="E312" t="str">
        <x:v>ranked</x:v>
      </x:c>
      <x:c r="F312" s="23" t="n">
        <x:v>-0.04048932825227205</x:v>
      </x:c>
      <x:c r="G312" s="23" t="n">
        <x:f>ABS(F312)</x:f>
        <x:v>0.04048932825227205</x:v>
      </x:c>
      <x:c r="H312" s="23" t="str">
        <x:f>IF(F312&gt;=0,"positive","negative")</x:f>
        <x:v>negative</x:v>
      </x:c>
      <x:c r="I312" s="23" t="n">
        <x:v>0.09624171891250878</x:v>
      </x:c>
      <x:c r="J312" s="23" t="n">
        <x:v>-0.4207045417495089</x:v>
      </x:c>
      <x:c r="K312" s="23" t="n">
        <x:v>0.3324962330487192</x:v>
      </x:c>
      <x:c r="L312" s="24" t="n">
        <x:v>1991</x:v>
      </x:c>
      <x:c r="M312" t="str">
        <x:v>legacy_common_sample_8902245</x:v>
      </x:c>
      <x:c r="N312" s="25" t="n">
        <x:v>46210.493655</x:v>
      </x:c>
      <x:c r="O312" s="24" t="n">
        <x:v>8902245</x:v>
      </x:c>
      <x:c r="P312" t="str">
        <x:v>factor_report/gtja191_batch/gtja_084/ic_summary.csv</x:v>
      </x:c>
    </x:row>
    <x:row r="313">
      <x:c r="A313" s="22" t="n">
        <x:f>IF($E313="ranked",1+COUNTIFS($D$5:$D$546,$D313,$E$5:$E$546,"ranked",$F$5:$F$546,"&gt;"&amp;$F313),"")</x:f>
        <x:v>139</x:v>
      </x:c>
      <x:c r="B313" s="22" t="n">
        <x:f>IF($E313="ranked",1+COUNTIFS($D$5:$D$546,$D313,$E$5:$E$546,"ranked",$G$5:$G$546,"&gt;"&amp;$G313),"")</x:f>
        <x:v>60</x:v>
      </x:c>
      <x:c r="C313" t="str">
        <x:v>gtja_133</x:v>
      </x:c>
      <x:c r="D313" s="22" t="n">
        <x:v>10</x:v>
      </x:c>
      <x:c r="E313" t="str">
        <x:v>ranked</x:v>
      </x:c>
      <x:c r="F313" s="23" t="n">
        <x:v>-0.04084182012441402</x:v>
      </x:c>
      <x:c r="G313" s="23" t="n">
        <x:f>ABS(F313)</x:f>
        <x:v>0.04084182012441402</x:v>
      </x:c>
      <x:c r="H313" s="23" t="str">
        <x:f>IF(F313&gt;=0,"positive","negative")</x:f>
        <x:v>negative</x:v>
      </x:c>
      <x:c r="I313" s="23" t="n">
        <x:v>0.11138627748381413</x:v>
      </x:c>
      <x:c r="J313" s="23" t="n">
        <x:v>-0.3666683279755791</x:v>
      </x:c>
      <x:c r="K313" s="23" t="n">
        <x:v>0.3616273229532898</x:v>
      </x:c>
      <x:c r="L313" s="24" t="n">
        <x:v>1991</x:v>
      </x:c>
      <x:c r="M313" t="str">
        <x:v>legacy_common_sample_8902245</x:v>
      </x:c>
      <x:c r="N313" s="25" t="n">
        <x:v>46210.73796425926</x:v>
      </x:c>
      <x:c r="O313" s="24" t="n">
        <x:v>8902245</x:v>
      </x:c>
      <x:c r="P313" t="str">
        <x:v>factor_report/gtja191_batch/gtja_133/ic_summary.csv</x:v>
      </x:c>
    </x:row>
    <x:row r="314">
      <x:c r="A314" s="22" t="n">
        <x:f>IF($E314="ranked",1+COUNTIFS($D$5:$D$546,$D314,$E$5:$E$546,"ranked",$F$5:$F$546,"&gt;"&amp;$F314),"")</x:f>
        <x:v>140</x:v>
      </x:c>
      <x:c r="B314" s="22" t="n">
        <x:f>IF($E314="ranked",1+COUNTIFS($D$5:$D$546,$D314,$E$5:$E$546,"ranked",$G$5:$G$546,"&gt;"&amp;$G314),"")</x:f>
        <x:v>58</x:v>
      </x:c>
      <x:c r="C314" t="str">
        <x:v>gtja_074</x:v>
      </x:c>
      <x:c r="D314" s="22" t="n">
        <x:v>10</x:v>
      </x:c>
      <x:c r="E314" t="str">
        <x:v>ranked</x:v>
      </x:c>
      <x:c r="F314" s="23" t="n">
        <x:v>-0.04191406627113578</x:v>
      </x:c>
      <x:c r="G314" s="23" t="n">
        <x:f>ABS(F314)</x:f>
        <x:v>0.04191406627113578</x:v>
      </x:c>
      <x:c r="H314" s="23" t="str">
        <x:f>IF(F314&gt;=0,"positive","negative")</x:f>
        <x:v>negative</x:v>
      </x:c>
      <x:c r="I314" s="23" t="n">
        <x:v>0.0691685801903373</x:v>
      </x:c>
      <x:c r="J314" s="23" t="n">
        <x:v>-0.6059697359089509</x:v>
      </x:c>
      <x:c r="K314" s="23" t="n">
        <x:v>0.2710327455919396</x:v>
      </x:c>
      <x:c r="L314" s="24" t="n">
        <x:v>1985</x:v>
      </x:c>
      <x:c r="M314" t="str">
        <x:v>legacy_common_sample_8902245</x:v>
      </x:c>
      <x:c r="N314" s="25" t="n">
        <x:v>46210.45096833333</x:v>
      </x:c>
      <x:c r="O314" s="24" t="n">
        <x:v>8902245</x:v>
      </x:c>
      <x:c r="P314" t="str">
        <x:v>factor_report/gtja191_batch/gtja_074/ic_summary.csv</x:v>
      </x:c>
    </x:row>
    <x:row r="315">
      <x:c r="A315" s="22" t="n">
        <x:f>IF($E315="ranked",1+COUNTIFS($D$5:$D$546,$D315,$E$5:$E$546,"ranked",$F$5:$F$546,"&gt;"&amp;$F315),"")</x:f>
        <x:v>141</x:v>
      </x:c>
      <x:c r="B315" s="22" t="n">
        <x:f>IF($E315="ranked",1+COUNTIFS($D$5:$D$546,$D315,$E$5:$E$546,"ranked",$G$5:$G$546,"&gt;"&amp;$G315),"")</x:f>
        <x:v>57</x:v>
      </x:c>
      <x:c r="C315" t="str">
        <x:v>gtja_040</x:v>
      </x:c>
      <x:c r="D315" s="22" t="n">
        <x:v>10</x:v>
      </x:c>
      <x:c r="E315" t="str">
        <x:v>ranked</x:v>
      </x:c>
      <x:c r="F315" s="23" t="n">
        <x:v>-0.04229069341419118</x:v>
      </x:c>
      <x:c r="G315" s="23" t="n">
        <x:f>ABS(F315)</x:f>
        <x:v>0.04229069341419118</x:v>
      </x:c>
      <x:c r="H315" s="23" t="str">
        <x:f>IF(F315&gt;=0,"positive","negative")</x:f>
        <x:v>negative</x:v>
      </x:c>
      <x:c r="I315" s="23" t="n">
        <x:v>0.10258293408074737</x:v>
      </x:c>
      <x:c r="J315" s="23" t="n">
        <x:v>-0.41225856711119596</x:v>
      </x:c>
      <x:c r="K315" s="23" t="n">
        <x:v>0.34555499748869917</x:v>
      </x:c>
      <x:c r="L315" s="24" t="n">
        <x:v>1991</x:v>
      </x:c>
      <x:c r="M315" t="str">
        <x:v>legacy_common_sample_8902245</x:v>
      </x:c>
      <x:c r="N315" s="25" t="n">
        <x:v>46210.279919872686</x:v>
      </x:c>
      <x:c r="O315" s="24" t="n">
        <x:v>8902245</x:v>
      </x:c>
      <x:c r="P315" t="str">
        <x:v>factor_report/gtja191_batch/gtja_040/ic_summary.csv</x:v>
      </x:c>
    </x:row>
    <x:row r="316">
      <x:c r="A316" s="22" t="n">
        <x:f>IF($E316="ranked",1+COUNTIFS($D$5:$D$546,$D316,$E$5:$E$546,"ranked",$F$5:$F$546,"&gt;"&amp;$F316),"")</x:f>
        <x:v>142</x:v>
      </x:c>
      <x:c r="B316" s="22" t="n">
        <x:f>IF($E316="ranked",1+COUNTIFS($D$5:$D$546,$D316,$E$5:$E$546,"ranked",$G$5:$G$546,"&gt;"&amp;$G316),"")</x:f>
        <x:v>56</x:v>
      </x:c>
      <x:c r="C316" t="str">
        <x:v>gtja_126</x:v>
      </x:c>
      <x:c r="D316" s="22" t="n">
        <x:v>10</x:v>
      </x:c>
      <x:c r="E316" t="str">
        <x:v>ranked</x:v>
      </x:c>
      <x:c r="F316" s="23" t="n">
        <x:v>-0.042572173846866894</x:v>
      </x:c>
      <x:c r="G316" s="23" t="n">
        <x:f>ABS(F316)</x:f>
        <x:v>0.042572173846866894</x:v>
      </x:c>
      <x:c r="H316" s="23" t="str">
        <x:f>IF(F316&gt;=0,"positive","negative")</x:f>
        <x:v>negative</x:v>
      </x:c>
      <x:c r="I316" s="23" t="n">
        <x:v>0.1832020042299717</x:v>
      </x:c>
      <x:c r="J316" s="23" t="n">
        <x:v>-0.2323783193628518</x:v>
      </x:c>
      <x:c r="K316" s="23" t="n">
        <x:v>0.4359618282270216</x:v>
      </x:c>
      <x:c r="L316" s="24" t="n">
        <x:v>1991</x:v>
      </x:c>
      <x:c r="M316" t="str">
        <x:v>legacy_common_sample_8902245</x:v>
      </x:c>
      <x:c r="N316" s="25" t="n">
        <x:v>46210.70792734954</x:v>
      </x:c>
      <x:c r="O316" s="24" t="n">
        <x:v>8902245</x:v>
      </x:c>
      <x:c r="P316" t="str">
        <x:v>factor_report/gtja191_batch/gtja_126/ic_summary.csv</x:v>
      </x:c>
    </x:row>
    <x:row r="317">
      <x:c r="A317" s="22" t="n">
        <x:f>IF($E317="ranked",1+COUNTIFS($D$5:$D$546,$D317,$E$5:$E$546,"ranked",$F$5:$F$546,"&gt;"&amp;$F317),"")</x:f>
        <x:v>143</x:v>
      </x:c>
      <x:c r="B317" s="22" t="n">
        <x:f>IF($E317="ranked",1+COUNTIFS($D$5:$D$546,$D317,$E$5:$E$546,"ranked",$G$5:$G$546,"&gt;"&amp;$G317),"")</x:f>
        <x:v>55</x:v>
      </x:c>
      <x:c r="C317" t="str">
        <x:v>gtja_134</x:v>
      </x:c>
      <x:c r="D317" s="22" t="n">
        <x:v>10</x:v>
      </x:c>
      <x:c r="E317" t="str">
        <x:v>ranked</x:v>
      </x:c>
      <x:c r="F317" s="23" t="n">
        <x:v>-0.04263355463572557</x:v>
      </x:c>
      <x:c r="G317" s="23" t="n">
        <x:f>ABS(F317)</x:f>
        <x:v>0.04263355463572557</x:v>
      </x:c>
      <x:c r="H317" s="23" t="str">
        <x:f>IF(F317&gt;=0,"positive","negative")</x:f>
        <x:v>negative</x:v>
      </x:c>
      <x:c r="I317" s="23" t="n">
        <x:v>0.10739210958136389</x:v>
      </x:c>
      <x:c r="J317" s="23" t="n">
        <x:v>-0.3969896373385323</x:v>
      </x:c>
      <x:c r="K317" s="23" t="n">
        <x:v>0.3510798593671522</x:v>
      </x:c>
      <x:c r="L317" s="24" t="n">
        <x:v>1991</x:v>
      </x:c>
      <x:c r="M317" t="str">
        <x:v>legacy_common_sample_8902245</x:v>
      </x:c>
      <x:c r="N317" s="25" t="n">
        <x:v>46210.74197935185</x:v>
      </x:c>
      <x:c r="O317" s="24" t="n">
        <x:v>8902245</x:v>
      </x:c>
      <x:c r="P317" t="str">
        <x:v>factor_report/gtja191_batch/gtja_134/ic_summary.csv</x:v>
      </x:c>
    </x:row>
    <x:row r="318">
      <x:c r="A318" s="22" t="n">
        <x:f>IF($E318="ranked",1+COUNTIFS($D$5:$D$546,$D318,$E$5:$E$546,"ranked",$F$5:$F$546,"&gt;"&amp;$F318),"")</x:f>
        <x:v>144</x:v>
      </x:c>
      <x:c r="B318" s="22" t="n">
        <x:f>IF($E318="ranked",1+COUNTIFS($D$5:$D$546,$D318,$E$5:$E$546,"ranked",$G$5:$G$546,"&gt;"&amp;$G318),"")</x:f>
        <x:v>51</x:v>
      </x:c>
      <x:c r="C318" t="str">
        <x:v>gtja_010</x:v>
      </x:c>
      <x:c r="D318" s="22" t="n">
        <x:v>10</x:v>
      </x:c>
      <x:c r="E318" t="str">
        <x:v>ranked</x:v>
      </x:c>
      <x:c r="F318" s="23" t="n">
        <x:v>-0.043108207262912986</x:v>
      </x:c>
      <x:c r="G318" s="23" t="n">
        <x:f>ABS(F318)</x:f>
        <x:v>0.043108207262912986</x:v>
      </x:c>
      <x:c r="H318" s="23" t="str">
        <x:f>IF(F318&gt;=0,"positive","negative")</x:f>
        <x:v>negative</x:v>
      </x:c>
      <x:c r="I318" s="23" t="n">
        <x:v>0.1762684657157494</x:v>
      </x:c>
      <x:c r="J318" s="23" t="n">
        <x:v>-0.2445599505723803</x:v>
      </x:c>
      <x:c r="K318" s="23" t="n">
        <x:v>0.43194374686087394</x:v>
      </x:c>
      <x:c r="L318" s="24" t="n">
        <x:v>1991</x:v>
      </x:c>
      <x:c r="M318" t="str">
        <x:v>legacy_common_sample_8902245</x:v>
      </x:c>
      <x:c r="N318" s="25" t="n">
        <x:v>46210.15392069444</x:v>
      </x:c>
      <x:c r="O318" s="24" t="n">
        <x:v>8902245</x:v>
      </x:c>
      <x:c r="P318" t="str">
        <x:v>factor_report/gtja191_batch/gtja_010/ic_summary.csv</x:v>
      </x:c>
    </x:row>
    <x:row r="319">
      <x:c r="A319" s="22" t="n">
        <x:f>IF($E319="ranked",1+COUNTIFS($D$5:$D$546,$D319,$E$5:$E$546,"ranked",$F$5:$F$546,"&gt;"&amp;$F319),"")</x:f>
        <x:v>145</x:v>
      </x:c>
      <x:c r="B319" s="22" t="n">
        <x:f>IF($E319="ranked",1+COUNTIFS($D$5:$D$546,$D319,$E$5:$E$546,"ranked",$G$5:$G$546,"&gt;"&amp;$G319),"")</x:f>
        <x:v>50</x:v>
      </x:c>
      <x:c r="C319" t="str">
        <x:v>gtja_173</x:v>
      </x:c>
      <x:c r="D319" s="22" t="n">
        <x:v>10</x:v>
      </x:c>
      <x:c r="E319" t="str">
        <x:v>ranked</x:v>
      </x:c>
      <x:c r="F319" s="23" t="n">
        <x:v>-0.04325381637287457</x:v>
      </x:c>
      <x:c r="G319" s="23" t="n">
        <x:f>ABS(F319)</x:f>
        <x:v>0.04325381637287457</x:v>
      </x:c>
      <x:c r="H319" s="23" t="str">
        <x:f>IF(F319&gt;=0,"positive","negative")</x:f>
        <x:v>negative</x:v>
      </x:c>
      <x:c r="I319" s="23" t="n">
        <x:v>0.18323903446816028</x:v>
      </x:c>
      <x:c r="J319" s="23" t="n">
        <x:v>-0.236051322243735</x:v>
      </x:c>
      <x:c r="K319" s="23" t="n">
        <x:v>0.4339527875439478</x:v>
      </x:c>
      <x:c r="L319" s="24" t="n">
        <x:v>1991</x:v>
      </x:c>
      <x:c r="M319" t="str">
        <x:v>legacy_common_sample_8902245</x:v>
      </x:c>
      <x:c r="N319" s="25" t="n">
        <x:v>46210.91649931713</x:v>
      </x:c>
      <x:c r="O319" s="24" t="n">
        <x:v>8902245</x:v>
      </x:c>
      <x:c r="P319" t="str">
        <x:v>factor_report/gtja191_batch/gtja_173/ic_summary.csv</x:v>
      </x:c>
    </x:row>
    <x:row r="320">
      <x:c r="A320" s="22" t="n">
        <x:f>IF($E320="ranked",1+COUNTIFS($D$5:$D$546,$D320,$E$5:$E$546,"ranked",$F$5:$F$546,"&gt;"&amp;$F320),"")</x:f>
        <x:v>146</x:v>
      </x:c>
      <x:c r="B320" s="22" t="n">
        <x:f>IF($E320="ranked",1+COUNTIFS($D$5:$D$546,$D320,$E$5:$E$546,"ranked",$G$5:$G$546,"&gt;"&amp;$G320),"")</x:f>
        <x:v>49</x:v>
      </x:c>
      <x:c r="C320" t="str">
        <x:v>gtja_110</x:v>
      </x:c>
      <x:c r="D320" s="22" t="n">
        <x:v>10</x:v>
      </x:c>
      <x:c r="E320" t="str">
        <x:v>ranked</x:v>
      </x:c>
      <x:c r="F320" s="23" t="n">
        <x:v>-0.043642664763510655</x:v>
      </x:c>
      <x:c r="G320" s="23" t="n">
        <x:f>ABS(F320)</x:f>
        <x:v>0.043642664763510655</x:v>
      </x:c>
      <x:c r="H320" s="23" t="str">
        <x:f>IF(F320&gt;=0,"positive","negative")</x:f>
        <x:v>negative</x:v>
      </x:c>
      <x:c r="I320" s="23" t="n">
        <x:v>0.11457595385262612</x:v>
      </x:c>
      <x:c r="J320" s="23" t="n">
        <x:v>-0.3809059693244731</x:v>
      </x:c>
      <x:c r="K320" s="23" t="n">
        <x:v>0.3420391762933199</x:v>
      </x:c>
      <x:c r="L320" s="24" t="n">
        <x:v>1991</x:v>
      </x:c>
      <x:c r="M320" t="str">
        <x:v>legacy_common_sample_8902245</x:v>
      </x:c>
      <x:c r="N320" s="25" t="n">
        <x:v>46210.616483287034</x:v>
      </x:c>
      <x:c r="O320" s="24" t="n">
        <x:v>8902245</x:v>
      </x:c>
      <x:c r="P320" t="str">
        <x:v>factor_report/gtja191_batch/gtja_110/ic_summary.csv</x:v>
      </x:c>
    </x:row>
    <x:row r="321">
      <x:c r="A321" s="22" t="n">
        <x:f>IF($E321="ranked",1+COUNTIFS($D$5:$D$546,$D321,$E$5:$E$546,"ranked",$F$5:$F$546,"&gt;"&amp;$F321),"")</x:f>
        <x:v>147</x:v>
      </x:c>
      <x:c r="B321" s="22" t="n">
        <x:f>IF($E321="ranked",1+COUNTIFS($D$5:$D$546,$D321,$E$5:$E$546,"ranked",$G$5:$G$546,"&gt;"&amp;$G321),"")</x:f>
        <x:v>48</x:v>
      </x:c>
      <x:c r="C321" t="str">
        <x:v>gtja_024</x:v>
      </x:c>
      <x:c r="D321" s="22" t="n">
        <x:v>10</x:v>
      </x:c>
      <x:c r="E321" t="str">
        <x:v>ranked</x:v>
      </x:c>
      <x:c r="F321" s="23" t="n">
        <x:v>-0.04380781333991292</x:v>
      </x:c>
      <x:c r="G321" s="23" t="n">
        <x:f>ABS(F321)</x:f>
        <x:v>0.04380781333991292</x:v>
      </x:c>
      <x:c r="H321" s="23" t="str">
        <x:f>IF(F321&gt;=0,"positive","negative")</x:f>
        <x:v>negative</x:v>
      </x:c>
      <x:c r="I321" s="23" t="n">
        <x:v>0.12816000438152558</x:v>
      </x:c>
      <x:c r="J321" s="23" t="n">
        <x:v>-0.34182125345048653</x:v>
      </x:c>
      <x:c r="K321" s="23" t="n">
        <x:v>0.37167252636865894</x:v>
      </x:c>
      <x:c r="L321" s="24" t="n">
        <x:v>1991</x:v>
      </x:c>
      <x:c r="M321" t="str">
        <x:v>legacy_common_sample_8902245</x:v>
      </x:c>
      <x:c r="N321" s="25" t="n">
        <x:v>46210.21420491898</x:v>
      </x:c>
      <x:c r="O321" s="24" t="n">
        <x:v>8902245</x:v>
      </x:c>
      <x:c r="P321" t="str">
        <x:v>factor_report/gtja191_batch/gtja_024/ic_summary.csv</x:v>
      </x:c>
    </x:row>
    <x:row r="322">
      <x:c r="A322" s="22" t="n">
        <x:f>IF($E322="ranked",1+COUNTIFS($D$5:$D$546,$D322,$E$5:$E$546,"ranked",$F$5:$F$546,"&gt;"&amp;$F322),"")</x:f>
        <x:v>148</x:v>
      </x:c>
      <x:c r="B322" s="22" t="n">
        <x:f>IF($E322="ranked",1+COUNTIFS($D$5:$D$546,$D322,$E$5:$E$546,"ranked",$G$5:$G$546,"&gt;"&amp;$G322),"")</x:f>
        <x:v>47</x:v>
      </x:c>
      <x:c r="C322" t="str">
        <x:v>gtja_079</x:v>
      </x:c>
      <x:c r="D322" s="22" t="n">
        <x:v>10</x:v>
      </x:c>
      <x:c r="E322" t="str">
        <x:v>ranked</x:v>
      </x:c>
      <x:c r="F322" s="23" t="n">
        <x:v>-0.04441185606748134</x:v>
      </x:c>
      <x:c r="G322" s="23" t="n">
        <x:f>ABS(F322)</x:f>
        <x:v>0.04441185606748134</x:v>
      </x:c>
      <x:c r="H322" s="23" t="str">
        <x:f>IF(F322&gt;=0,"positive","negative")</x:f>
        <x:v>negative</x:v>
      </x:c>
      <x:c r="I322" s="23" t="n">
        <x:v>0.13128115904989424</x:v>
      </x:c>
      <x:c r="J322" s="23" t="n">
        <x:v>-0.3382957340481914</x:v>
      </x:c>
      <x:c r="K322" s="23" t="n">
        <x:v>0.37769964841788045</x:v>
      </x:c>
      <x:c r="L322" s="24" t="n">
        <x:v>1991</x:v>
      </x:c>
      <x:c r="M322" t="str">
        <x:v>legacy_common_sample_8902245</x:v>
      </x:c>
      <x:c r="N322" s="25" t="n">
        <x:v>46210.47234655092</x:v>
      </x:c>
      <x:c r="O322" s="24" t="n">
        <x:v>8902245</x:v>
      </x:c>
      <x:c r="P322" t="str">
        <x:v>factor_report/gtja191_batch/gtja_079/ic_summary.csv</x:v>
      </x:c>
    </x:row>
    <x:row r="323">
      <x:c r="A323" s="22" t="n">
        <x:f>IF($E323="ranked",1+COUNTIFS($D$5:$D$546,$D323,$E$5:$E$546,"ranked",$F$5:$F$546,"&gt;"&amp;$F323),"")</x:f>
        <x:v>149</x:v>
      </x:c>
      <x:c r="B323" s="22" t="n">
        <x:f>IF($E323="ranked",1+COUNTIFS($D$5:$D$546,$D323,$E$5:$E$546,"ranked",$G$5:$G$546,"&gt;"&amp;$G323),"")</x:f>
        <x:v>45</x:v>
      </x:c>
      <x:c r="C323" t="str">
        <x:v>gtja_036</x:v>
      </x:c>
      <x:c r="D323" s="22" t="n">
        <x:v>10</x:v>
      </x:c>
      <x:c r="E323" t="str">
        <x:v>ranked</x:v>
      </x:c>
      <x:c r="F323" s="23" t="n">
        <x:v>-0.044762888764742104</x:v>
      </x:c>
      <x:c r="G323" s="23" t="n">
        <x:f>ABS(F323)</x:f>
        <x:v>0.044762888764742104</x:v>
      </x:c>
      <x:c r="H323" s="23" t="str">
        <x:f>IF(F323&gt;=0,"positive","negative")</x:f>
        <x:v>negative</x:v>
      </x:c>
      <x:c r="I323" s="23" t="n">
        <x:v>0.06517786013303334</x:v>
      </x:c>
      <x:c r="J323" s="23" t="n">
        <x:v>-0.6867805827527537</x:v>
      </x:c>
      <x:c r="K323" s="23" t="n">
        <x:v>0.23756906077348067</x:v>
      </x:c>
      <x:c r="L323" s="24" t="n">
        <x:v>1991</x:v>
      </x:c>
      <x:c r="M323" t="str">
        <x:v>legacy_common_sample_8902245</x:v>
      </x:c>
      <x:c r="N323" s="25" t="n">
        <x:v>46210.26318543981</x:v>
      </x:c>
      <x:c r="O323" s="24" t="n">
        <x:v>8902245</x:v>
      </x:c>
      <x:c r="P323" t="str">
        <x:v>factor_report/gtja191_batch/gtja_036/ic_summary.csv</x:v>
      </x:c>
    </x:row>
    <x:row r="324">
      <x:c r="A324" s="22" t="n">
        <x:f>IF($E324="ranked",1+COUNTIFS($D$5:$D$546,$D324,$E$5:$E$546,"ranked",$F$5:$F$546,"&gt;"&amp;$F324),"")</x:f>
        <x:v>150</x:v>
      </x:c>
      <x:c r="B324" s="22" t="n">
        <x:f>IF($E324="ranked",1+COUNTIFS($D$5:$D$546,$D324,$E$5:$E$546,"ranked",$G$5:$G$546,"&gt;"&amp;$G324),"")</x:f>
        <x:v>44</x:v>
      </x:c>
      <x:c r="C324" t="str">
        <x:v>gtja_094</x:v>
      </x:c>
      <x:c r="D324" s="22" t="n">
        <x:v>10</x:v>
      </x:c>
      <x:c r="E324" t="str">
        <x:v>ranked</x:v>
      </x:c>
      <x:c r="F324" s="23" t="n">
        <x:v>-0.04507588483173755</x:v>
      </x:c>
      <x:c r="G324" s="23" t="n">
        <x:f>ABS(F324)</x:f>
        <x:v>0.04507588483173755</x:v>
      </x:c>
      <x:c r="H324" s="23" t="str">
        <x:f>IF(F324&gt;=0,"positive","negative")</x:f>
        <x:v>negative</x:v>
      </x:c>
      <x:c r="I324" s="23" t="n">
        <x:v>0.09816873023586732</x:v>
      </x:c>
      <x:c r="J324" s="23" t="n">
        <x:v>-0.4591674428653091</x:v>
      </x:c>
      <x:c r="K324" s="23" t="n">
        <x:v>0.3174284279256655</x:v>
      </x:c>
      <x:c r="L324" s="24" t="n">
        <x:v>1991</x:v>
      </x:c>
      <x:c r="M324" t="str">
        <x:v>legacy_common_sample_8902245</x:v>
      </x:c>
      <x:c r="N324" s="25" t="n">
        <x:v>46210.54834915509</x:v>
      </x:c>
      <x:c r="O324" s="24" t="n">
        <x:v>8902245</x:v>
      </x:c>
      <x:c r="P324" t="str">
        <x:v>factor_report/gtja191_batch/gtja_094/ic_summary.csv</x:v>
      </x:c>
    </x:row>
    <x:row r="325">
      <x:c r="A325" s="22" t="n">
        <x:f>IF($E325="ranked",1+COUNTIFS($D$5:$D$546,$D325,$E$5:$E$546,"ranked",$F$5:$F$546,"&gt;"&amp;$F325),"")</x:f>
        <x:v>151</x:v>
      </x:c>
      <x:c r="B325" s="22" t="n">
        <x:f>IF($E325="ranked",1+COUNTIFS($D$5:$D$546,$D325,$E$5:$E$546,"ranked",$G$5:$G$546,"&gt;"&amp;$G325),"")</x:f>
        <x:v>43</x:v>
      </x:c>
      <x:c r="C325" t="str">
        <x:v>gtja_160</x:v>
      </x:c>
      <x:c r="D325" s="22" t="n">
        <x:v>10</x:v>
      </x:c>
      <x:c r="E325" t="str">
        <x:v>ranked</x:v>
      </x:c>
      <x:c r="F325" s="23" t="n">
        <x:v>-0.04511477824717248</x:v>
      </x:c>
      <x:c r="G325" s="23" t="n">
        <x:f>ABS(F325)</x:f>
        <x:v>0.04511477824717248</x:v>
      </x:c>
      <x:c r="H325" s="23" t="str">
        <x:f>IF(F325&gt;=0,"positive","negative")</x:f>
        <x:v>negative</x:v>
      </x:c>
      <x:c r="I325" s="23" t="n">
        <x:v>0.19401638603805693</x:v>
      </x:c>
      <x:c r="J325" s="23" t="n">
        <x:v>-0.23253076283115112</x:v>
      </x:c>
      <x:c r="K325" s="23" t="n">
        <x:v>0.4244098442993471</x:v>
      </x:c>
      <x:c r="L325" s="24" t="n">
        <x:v>1991</x:v>
      </x:c>
      <x:c r="M325" t="str">
        <x:v>legacy_common_sample_8902245</x:v>
      </x:c>
      <x:c r="N325" s="25" t="n">
        <x:v>46210.859459722225</x:v>
      </x:c>
      <x:c r="O325" s="24" t="n">
        <x:v>8902245</x:v>
      </x:c>
      <x:c r="P325" t="str">
        <x:v>factor_report/gtja191_batch/gtja_160/ic_summary.csv</x:v>
      </x:c>
    </x:row>
    <x:row r="326">
      <x:c r="A326" s="22" t="n">
        <x:f>IF($E326="ranked",1+COUNTIFS($D$5:$D$546,$D326,$E$5:$E$546,"ranked",$F$5:$F$546,"&gt;"&amp;$F326),"")</x:f>
        <x:v>152</x:v>
      </x:c>
      <x:c r="B326" s="22" t="n">
        <x:f>IF($E326="ranked",1+COUNTIFS($D$5:$D$546,$D326,$E$5:$E$546,"ranked",$G$5:$G$546,"&gt;"&amp;$G326),"")</x:f>
        <x:v>41</x:v>
      </x:c>
      <x:c r="C326" t="str">
        <x:v>gtja_151</x:v>
      </x:c>
      <x:c r="D326" s="22" t="n">
        <x:v>10</x:v>
      </x:c>
      <x:c r="E326" t="str">
        <x:v>ranked</x:v>
      </x:c>
      <x:c r="F326" s="23" t="n">
        <x:v>-0.04543164372225063</x:v>
      </x:c>
      <x:c r="G326" s="23" t="n">
        <x:f>ABS(F326)</x:f>
        <x:v>0.04543164372225063</x:v>
      </x:c>
      <x:c r="H326" s="23" t="str">
        <x:f>IF(F326&gt;=0,"positive","negative")</x:f>
        <x:v>negative</x:v>
      </x:c>
      <x:c r="I326" s="23" t="n">
        <x:v>0.13953071906118122</x:v>
      </x:c>
      <x:c r="J326" s="23" t="n">
        <x:v>-0.32560316486529267</x:v>
      </x:c>
      <x:c r="K326" s="23" t="n">
        <x:v>0.3746860873932697</x:v>
      </x:c>
      <x:c r="L326" s="24" t="n">
        <x:v>1991</x:v>
      </x:c>
      <x:c r="M326" t="str">
        <x:v>legacy_common_sample_8902245</x:v>
      </x:c>
      <x:c r="N326" s="25" t="n">
        <x:v>46210.81806668981</x:v>
      </x:c>
      <x:c r="O326" s="24" t="n">
        <x:v>8902245</x:v>
      </x:c>
      <x:c r="P326" t="str">
        <x:v>factor_report/gtja191_batch/gtja_151/ic_summary.csv</x:v>
      </x:c>
    </x:row>
    <x:row r="327">
      <x:c r="A327" s="22" t="n">
        <x:f>IF($E327="ranked",1+COUNTIFS($D$5:$D$546,$D327,$E$5:$E$546,"ranked",$F$5:$F$546,"&gt;"&amp;$F327),"")</x:f>
        <x:v>153</x:v>
      </x:c>
      <x:c r="B327" s="22" t="n">
        <x:f>IF($E327="ranked",1+COUNTIFS($D$5:$D$546,$D327,$E$5:$E$546,"ranked",$G$5:$G$546,"&gt;"&amp;$G327),"")</x:f>
        <x:v>40</x:v>
      </x:c>
      <x:c r="C327" t="str">
        <x:v>gtja_147</x:v>
      </x:c>
      <x:c r="D327" s="22" t="n">
        <x:v>10</x:v>
      </x:c>
      <x:c r="E327" t="str">
        <x:v>ranked</x:v>
      </x:c>
      <x:c r="F327" s="23" t="n">
        <x:v>-0.04733611281094676</x:v>
      </x:c>
      <x:c r="G327" s="23" t="n">
        <x:f>ABS(F327)</x:f>
        <x:v>0.04733611281094676</x:v>
      </x:c>
      <x:c r="H327" s="23" t="str">
        <x:f>IF(F327&gt;=0,"positive","negative")</x:f>
        <x:v>negative</x:v>
      </x:c>
      <x:c r="I327" s="23" t="n">
        <x:v>0.12830961741046526</x:v>
      </x:c>
      <x:c r="J327" s="23" t="n">
        <x:v>-0.36892100347799733</x:v>
      </x:c>
      <x:c r="K327" s="23" t="n">
        <x:v>0.36715218483174283</x:v>
      </x:c>
      <x:c r="L327" s="24" t="n">
        <x:v>1991</x:v>
      </x:c>
      <x:c r="M327" t="str">
        <x:v>legacy_common_sample_8902245</x:v>
      </x:c>
      <x:c r="N327" s="25" t="n">
        <x:v>46210.805681736114</x:v>
      </x:c>
      <x:c r="O327" s="24" t="n">
        <x:v>8902245</x:v>
      </x:c>
      <x:c r="P327" t="str">
        <x:v>factor_report/gtja191_batch/gtja_147/ic_summary.csv</x:v>
      </x:c>
    </x:row>
    <x:row r="328">
      <x:c r="A328" s="22" t="n">
        <x:f>IF($E328="ranked",1+COUNTIFS($D$5:$D$546,$D328,$E$5:$E$546,"ranked",$F$5:$F$546,"&gt;"&amp;$F328),"")</x:f>
        <x:v>154</x:v>
      </x:c>
      <x:c r="B328" s="22" t="n">
        <x:f>IF($E328="ranked",1+COUNTIFS($D$5:$D$546,$D328,$E$5:$E$546,"ranked",$G$5:$G$546,"&gt;"&amp;$G328),"")</x:f>
        <x:v>38</x:v>
      </x:c>
      <x:c r="C328" t="str">
        <x:v>gtja_027</x:v>
      </x:c>
      <x:c r="D328" s="22" t="n">
        <x:v>10</x:v>
      </x:c>
      <x:c r="E328" t="str">
        <x:v>ranked</x:v>
      </x:c>
      <x:c r="F328" s="23" t="n">
        <x:v>-0.04865420573089825</x:v>
      </x:c>
      <x:c r="G328" s="23" t="n">
        <x:f>ABS(F328)</x:f>
        <x:v>0.04865420573089825</x:v>
      </x:c>
      <x:c r="H328" s="23" t="str">
        <x:f>IF(F328&gt;=0,"positive","negative")</x:f>
        <x:v>negative</x:v>
      </x:c>
      <x:c r="I328" s="23" t="n">
        <x:v>0.13285489142566081</x:v>
      </x:c>
      <x:c r="J328" s="23" t="n">
        <x:v>-0.366220657807867</x:v>
      </x:c>
      <x:c r="K328" s="23" t="n">
        <x:v>0.3571069814163737</x:v>
      </x:c>
      <x:c r="L328" s="24" t="n">
        <x:v>1991</x:v>
      </x:c>
      <x:c r="M328" t="str">
        <x:v>legacy_common_sample_8902245</x:v>
      </x:c>
      <x:c r="N328" s="25" t="n">
        <x:v>46210.22519262732</x:v>
      </x:c>
      <x:c r="O328" s="24" t="n">
        <x:v>8902245</x:v>
      </x:c>
      <x:c r="P328" t="str">
        <x:v>factor_report/gtja191_batch/gtja_027/ic_summary.csv</x:v>
      </x:c>
    </x:row>
    <x:row r="329">
      <x:c r="A329" s="22" t="n">
        <x:f>IF($E329="ranked",1+COUNTIFS($D$5:$D$546,$D329,$E$5:$E$546,"ranked",$F$5:$F$546,"&gt;"&amp;$F329),"")</x:f>
        <x:v>155</x:v>
      </x:c>
      <x:c r="B329" s="22" t="n">
        <x:f>IF($E329="ranked",1+COUNTIFS($D$5:$D$546,$D329,$E$5:$E$546,"ranked",$G$5:$G$546,"&gt;"&amp;$G329),"")</x:f>
        <x:v>37</x:v>
      </x:c>
      <x:c r="C329" t="str">
        <x:v>gtja_069</x:v>
      </x:c>
      <x:c r="D329" s="22" t="n">
        <x:v>10</x:v>
      </x:c>
      <x:c r="E329" t="str">
        <x:v>ranked</x:v>
      </x:c>
      <x:c r="F329" s="23" t="n">
        <x:v>-0.04872778130626614</x:v>
      </x:c>
      <x:c r="G329" s="23" t="n">
        <x:f>ABS(F329)</x:f>
        <x:v>0.04872778130626614</x:v>
      </x:c>
      <x:c r="H329" s="23" t="str">
        <x:f>IF(F329&gt;=0,"positive","negative")</x:f>
        <x:v>negative</x:v>
      </x:c>
      <x:c r="I329" s="23" t="n">
        <x:v>0.11155156998706732</x:v>
      </x:c>
      <x:c r="J329" s="23" t="n">
        <x:v>-0.4368184267770985</x:v>
      </x:c>
      <x:c r="K329" s="23" t="n">
        <x:v>0.3304871923656454</x:v>
      </x:c>
      <x:c r="L329" s="24" t="n">
        <x:v>1991</x:v>
      </x:c>
      <x:c r="M329" t="str">
        <x:v>legacy_common_sample_8902245</x:v>
      </x:c>
      <x:c r="N329" s="25" t="n">
        <x:v>46210.41218387731</x:v>
      </x:c>
      <x:c r="O329" s="24" t="n">
        <x:v>8902245</x:v>
      </x:c>
      <x:c r="P329" t="str">
        <x:v>factor_report/gtja191_batch/gtja_069/ic_summary.csv</x:v>
      </x:c>
    </x:row>
    <x:row r="330">
      <x:c r="A330" s="22" t="n">
        <x:f>IF($E330="ranked",1+COUNTIFS($D$5:$D$546,$D330,$E$5:$E$546,"ranked",$F$5:$F$546,"&gt;"&amp;$F330),"")</x:f>
        <x:v>156</x:v>
      </x:c>
      <x:c r="B330" s="22" t="n">
        <x:f>IF($E330="ranked",1+COUNTIFS($D$5:$D$546,$D330,$E$5:$E$546,"ranked",$G$5:$G$546,"&gt;"&amp;$G330),"")</x:f>
        <x:v>36</x:v>
      </x:c>
      <x:c r="C330" t="str">
        <x:v>gtja_081</x:v>
      </x:c>
      <x:c r="D330" s="22" t="n">
        <x:v>10</x:v>
      </x:c>
      <x:c r="E330" t="str">
        <x:v>ranked</x:v>
      </x:c>
      <x:c r="F330" s="23" t="n">
        <x:v>-0.04996957504108294</x:v>
      </x:c>
      <x:c r="G330" s="23" t="n">
        <x:f>ABS(F330)</x:f>
        <x:v>0.04996957504108294</x:v>
      </x:c>
      <x:c r="H330" s="23" t="str">
        <x:f>IF(F330&gt;=0,"positive","negative")</x:f>
        <x:v>negative</x:v>
      </x:c>
      <x:c r="I330" s="23" t="n">
        <x:v>0.11837507641887102</x:v>
      </x:c>
      <x:c r="J330" s="23" t="n">
        <x:v>-0.4221291892920538</x:v>
      </x:c>
      <x:c r="K330" s="23" t="n">
        <x:v>0.316926167754897</x:v>
      </x:c>
      <x:c r="L330" s="24" t="n">
        <x:v>1991</x:v>
      </x:c>
      <x:c r="M330" t="str">
        <x:v>legacy_common_sample_8902245</x:v>
      </x:c>
      <x:c r="N330" s="25" t="n">
        <x:v>46210.48091090278</x:v>
      </x:c>
      <x:c r="O330" s="24" t="n">
        <x:v>8902245</x:v>
      </x:c>
      <x:c r="P330" t="str">
        <x:v>factor_report/gtja191_batch/gtja_081/ic_summary.csv</x:v>
      </x:c>
    </x:row>
    <x:row r="331">
      <x:c r="A331" s="22" t="n">
        <x:f>IF($E331="ranked",1+COUNTIFS($D$5:$D$546,$D331,$E$5:$E$546,"ranked",$F$5:$F$546,"&gt;"&amp;$F331),"")</x:f>
        <x:v>157</x:v>
      </x:c>
      <x:c r="B331" s="22" t="n">
        <x:f>IF($E331="ranked",1+COUNTIFS($D$5:$D$546,$D331,$E$5:$E$546,"ranked",$G$5:$G$546,"&gt;"&amp;$G331),"")</x:f>
        <x:v>35</x:v>
      </x:c>
      <x:c r="C331" t="str">
        <x:v>gtja_052</x:v>
      </x:c>
      <x:c r="D331" s="22" t="n">
        <x:v>10</x:v>
      </x:c>
      <x:c r="E331" t="str">
        <x:v>ranked</x:v>
      </x:c>
      <x:c r="F331" s="23" t="n">
        <x:v>-0.050813754781149335</x:v>
      </x:c>
      <x:c r="G331" s="23" t="n">
        <x:f>ABS(F331)</x:f>
        <x:v>0.050813754781149335</x:v>
      </x:c>
      <x:c r="H331" s="23" t="str">
        <x:f>IF(F331&gt;=0,"positive","negative")</x:f>
        <x:v>negative</x:v>
      </x:c>
      <x:c r="I331" s="23" t="n">
        <x:v>0.13049459380513437</x:v>
      </x:c>
      <x:c r="J331" s="23" t="n">
        <x:v>-0.3893935625948517</x:v>
      </x:c>
      <x:c r="K331" s="23" t="n">
        <x:v>0.34806629834254144</x:v>
      </x:c>
      <x:c r="L331" s="24" t="n">
        <x:v>1991</x:v>
      </x:c>
      <x:c r="M331" t="str">
        <x:v>legacy_common_sample_8902245</x:v>
      </x:c>
      <x:c r="N331" s="25" t="n">
        <x:v>46210.3353965162</x:v>
      </x:c>
      <x:c r="O331" s="24" t="n">
        <x:v>8902245</x:v>
      </x:c>
      <x:c r="P331" t="str">
        <x:v>factor_report/gtja191_batch/gtja_052/ic_summary.csv</x:v>
      </x:c>
    </x:row>
    <x:row r="332">
      <x:c r="A332" s="22" t="n">
        <x:f>IF($E332="ranked",1+COUNTIFS($D$5:$D$546,$D332,$E$5:$E$546,"ranked",$F$5:$F$546,"&gt;"&amp;$F332),"")</x:f>
        <x:v>158</x:v>
      </x:c>
      <x:c r="B332" s="22" t="n">
        <x:f>IF($E332="ranked",1+COUNTIFS($D$5:$D$546,$D332,$E$5:$E$546,"ranked",$G$5:$G$546,"&gt;"&amp;$G332),"")</x:f>
        <x:v>32</x:v>
      </x:c>
      <x:c r="C332" t="str">
        <x:v>gtja_129</x:v>
      </x:c>
      <x:c r="D332" s="22" t="n">
        <x:v>10</x:v>
      </x:c>
      <x:c r="E332" t="str">
        <x:v>ranked</x:v>
      </x:c>
      <x:c r="F332" s="23" t="n">
        <x:v>-0.0509041396665654</x:v>
      </x:c>
      <x:c r="G332" s="23" t="n">
        <x:f>ABS(F332)</x:f>
        <x:v>0.0509041396665654</x:v>
      </x:c>
      <x:c r="H332" s="23" t="str">
        <x:f>IF(F332&gt;=0,"positive","negative")</x:f>
        <x:v>negative</x:v>
      </x:c>
      <x:c r="I332" s="23" t="n">
        <x:v>0.19094637461516814</x:v>
      </x:c>
      <x:c r="J332" s="23" t="n">
        <x:v>-0.2665886679920329</x:v>
      </x:c>
      <x:c r="K332" s="23" t="n">
        <x:v>0.41285786037167255</x:v>
      </x:c>
      <x:c r="L332" s="24" t="n">
        <x:v>1991</x:v>
      </x:c>
      <x:c r="M332" t="str">
        <x:v>legacy_common_sample_8902245</x:v>
      </x:c>
      <x:c r="N332" s="25" t="n">
        <x:v>46210.71993697916</x:v>
      </x:c>
      <x:c r="O332" s="24" t="n">
        <x:v>8902245</x:v>
      </x:c>
      <x:c r="P332" t="str">
        <x:v>factor_report/gtja191_batch/gtja_129/ic_summary.csv</x:v>
      </x:c>
    </x:row>
    <x:row r="333">
      <x:c r="A333" s="22" t="n">
        <x:f>IF($E333="ranked",1+COUNTIFS($D$5:$D$546,$D333,$E$5:$E$546,"ranked",$F$5:$F$546,"&gt;"&amp;$F333),"")</x:f>
        <x:v>159</x:v>
      </x:c>
      <x:c r="B333" s="22" t="n">
        <x:f>IF($E333="ranked",1+COUNTIFS($D$5:$D$546,$D333,$E$5:$E$546,"ranked",$G$5:$G$546,"&gt;"&amp;$G333),"")</x:f>
        <x:v>31</x:v>
      </x:c>
      <x:c r="C333" t="str">
        <x:v>gtja_116</x:v>
      </x:c>
      <x:c r="D333" s="22" t="n">
        <x:v>10</x:v>
      </x:c>
      <x:c r="E333" t="str">
        <x:v>ranked</x:v>
      </x:c>
      <x:c r="F333" s="23" t="n">
        <x:v>-0.05109072393000672</x:v>
      </x:c>
      <x:c r="G333" s="23" t="n">
        <x:f>ABS(F333)</x:f>
        <x:v>0.05109072393000672</x:v>
      </x:c>
      <x:c r="H333" s="23" t="str">
        <x:f>IF(F333&gt;=0,"positive","negative")</x:f>
        <x:v>negative</x:v>
      </x:c>
      <x:c r="I333" s="23" t="n">
        <x:v>0.12925864328246975</x:v>
      </x:c>
      <x:c r="J333" s="23" t="n">
        <x:v>-0.3952596331864464</x:v>
      </x:c>
      <x:c r="K333" s="23" t="n">
        <x:v>0.34907081868407835</x:v>
      </x:c>
      <x:c r="L333" s="24" t="n">
        <x:v>1991</x:v>
      </x:c>
      <x:c r="M333" t="str">
        <x:v>legacy_common_sample_8902245</x:v>
      </x:c>
      <x:c r="N333" s="25" t="n">
        <x:v>46210.64638673611</x:v>
      </x:c>
      <x:c r="O333" s="24" t="n">
        <x:v>8902245</x:v>
      </x:c>
      <x:c r="P333" t="str">
        <x:v>factor_report/gtja191_batch/gtja_116/ic_summary.csv</x:v>
      </x:c>
    </x:row>
    <x:row r="334">
      <x:c r="A334" s="22" t="n">
        <x:f>IF($E334="ranked",1+COUNTIFS($D$5:$D$546,$D334,$E$5:$E$546,"ranked",$F$5:$F$546,"&gt;"&amp;$F334),"")</x:f>
        <x:v>160</x:v>
      </x:c>
      <x:c r="B334" s="22" t="n">
        <x:f>IF($E334="ranked",1+COUNTIFS($D$5:$D$546,$D334,$E$5:$E$546,"ranked",$G$5:$G$546,"&gt;"&amp;$G334),"")</x:f>
        <x:v>30</x:v>
      </x:c>
      <x:c r="C334" t="str">
        <x:v>gtja_174</x:v>
      </x:c>
      <x:c r="D334" s="22" t="n">
        <x:v>10</x:v>
      </x:c>
      <x:c r="E334" t="str">
        <x:v>ranked</x:v>
      </x:c>
      <x:c r="F334" s="23" t="n">
        <x:v>-0.05213777627165509</x:v>
      </x:c>
      <x:c r="G334" s="23" t="n">
        <x:f>ABS(F334)</x:f>
        <x:v>0.05213777627165509</x:v>
      </x:c>
      <x:c r="H334" s="23" t="str">
        <x:f>IF(F334&gt;=0,"positive","negative")</x:f>
        <x:v>negative</x:v>
      </x:c>
      <x:c r="I334" s="23" t="n">
        <x:v>0.19446770880498002</x:v>
      </x:c>
      <x:c r="J334" s="23" t="n">
        <x:v>-0.2681050576059439</x:v>
      </x:c>
      <x:c r="K334" s="23" t="n">
        <x:v>0.41637368156705173</x:v>
      </x:c>
      <x:c r="L334" s="24" t="n">
        <x:v>1991</x:v>
      </x:c>
      <x:c r="M334" t="str">
        <x:v>legacy_common_sample_8902245</x:v>
      </x:c>
      <x:c r="N334" s="25" t="n">
        <x:v>46210.92118445602</x:v>
      </x:c>
      <x:c r="O334" s="24" t="n">
        <x:v>8902245</x:v>
      </x:c>
      <x:c r="P334" t="str">
        <x:v>factor_report/gtja191_batch/gtja_174/ic_summary.csv</x:v>
      </x:c>
    </x:row>
    <x:row r="335">
      <x:c r="A335" s="22" t="n">
        <x:f>IF($E335="ranked",1+COUNTIFS($D$5:$D$546,$D335,$E$5:$E$546,"ranked",$F$5:$F$546,"&gt;"&amp;$F335),"")</x:f>
        <x:v>161</x:v>
      </x:c>
      <x:c r="B335" s="22" t="n">
        <x:f>IF($E335="ranked",1+COUNTIFS($D$5:$D$546,$D335,$E$5:$E$546,"ranked",$G$5:$G$546,"&gt;"&amp;$G335),"")</x:f>
        <x:v>29</x:v>
      </x:c>
      <x:c r="C335" t="str">
        <x:v>gtja_122</x:v>
      </x:c>
      <x:c r="D335" s="22" t="n">
        <x:v>10</x:v>
      </x:c>
      <x:c r="E335" t="str">
        <x:v>ranked</x:v>
      </x:c>
      <x:c r="F335" s="23" t="n">
        <x:v>-0.052148612256162144</x:v>
      </x:c>
      <x:c r="G335" s="23" t="n">
        <x:f>ABS(F335)</x:f>
        <x:v>0.052148612256162144</x:v>
      </x:c>
      <x:c r="H335" s="23" t="str">
        <x:f>IF(F335&gt;=0,"positive","negative")</x:f>
        <x:v>negative</x:v>
      </x:c>
      <x:c r="I335" s="23" t="n">
        <x:v>0.14035188011403266</x:v>
      </x:c>
      <x:c r="J335" s="23" t="n">
        <x:v>-0.3715562072541715</x:v>
      </x:c>
      <x:c r="K335" s="23" t="n">
        <x:v>0.3666499246609744</x:v>
      </x:c>
      <x:c r="L335" s="24" t="n">
        <x:v>1991</x:v>
      </x:c>
      <x:c r="M335" t="str">
        <x:v>legacy_common_sample_8902245</x:v>
      </x:c>
      <x:c r="N335" s="25" t="n">
        <x:v>46210.69213701389</x:v>
      </x:c>
      <x:c r="O335" s="24" t="n">
        <x:v>8902245</x:v>
      </x:c>
      <x:c r="P335" t="str">
        <x:v>factor_report/gtja191_batch/gtja_122/ic_summary.csv</x:v>
      </x:c>
    </x:row>
    <x:row r="336">
      <x:c r="A336" s="22" t="n">
        <x:f>IF($E336="ranked",1+COUNTIFS($D$5:$D$546,$D336,$E$5:$E$546,"ranked",$F$5:$F$546,"&gt;"&amp;$F336),"")</x:f>
        <x:v>162</x:v>
      </x:c>
      <x:c r="B336" s="22" t="n">
        <x:f>IF($E336="ranked",1+COUNTIFS($D$5:$D$546,$D336,$E$5:$E$546,"ranked",$G$5:$G$546,"&gt;"&amp;$G336),"")</x:f>
        <x:v>28</x:v>
      </x:c>
      <x:c r="C336" t="str">
        <x:v>gtja_067</x:v>
      </x:c>
      <x:c r="D336" s="22" t="n">
        <x:v>10</x:v>
      </x:c>
      <x:c r="E336" t="str">
        <x:v>ranked</x:v>
      </x:c>
      <x:c r="F336" s="23" t="n">
        <x:v>-0.05255950591082112</x:v>
      </x:c>
      <x:c r="G336" s="23" t="n">
        <x:f>ABS(F336)</x:f>
        <x:v>0.05255950591082112</x:v>
      </x:c>
      <x:c r="H336" s="23" t="str">
        <x:f>IF(F336&gt;=0,"positive","negative")</x:f>
        <x:v>negative</x:v>
      </x:c>
      <x:c r="I336" s="23" t="n">
        <x:v>0.13232449388155</x:v>
      </x:c>
      <x:c r="J336" s="23" t="n">
        <x:v>-0.3972016394626807</x:v>
      </x:c>
      <x:c r="K336" s="23" t="n">
        <x:v>0.3460572576594676</x:v>
      </x:c>
      <x:c r="L336" s="24" t="n">
        <x:v>1991</x:v>
      </x:c>
      <x:c r="M336" t="str">
        <x:v>legacy_common_sample_8902245</x:v>
      </x:c>
      <x:c r="N336" s="25" t="n">
        <x:v>46210.40343721065</x:v>
      </x:c>
      <x:c r="O336" s="24" t="n">
        <x:v>8902245</x:v>
      </x:c>
      <x:c r="P336" t="str">
        <x:v>factor_report/gtja191_batch/gtja_067/ic_summary.csv</x:v>
      </x:c>
    </x:row>
    <x:row r="337">
      <x:c r="A337" s="22" t="n">
        <x:f>IF($E337="ranked",1+COUNTIFS($D$5:$D$546,$D337,$E$5:$E$546,"ranked",$F$5:$F$546,"&gt;"&amp;$F337),"")</x:f>
        <x:v>163</x:v>
      </x:c>
      <x:c r="B337" s="22" t="n">
        <x:f>IF($E337="ranked",1+COUNTIFS($D$5:$D$546,$D337,$E$5:$E$546,"ranked",$G$5:$G$546,"&gt;"&amp;$G337),"")</x:f>
        <x:v>24</x:v>
      </x:c>
      <x:c r="C337" t="str">
        <x:v>gtja_055</x:v>
      </x:c>
      <x:c r="D337" s="22" t="n">
        <x:v>10</x:v>
      </x:c>
      <x:c r="E337" t="str">
        <x:v>ranked</x:v>
      </x:c>
      <x:c r="F337" s="23" t="n">
        <x:v>-0.0544410013552593</x:v>
      </x:c>
      <x:c r="G337" s="23" t="n">
        <x:f>ABS(F337)</x:f>
        <x:v>0.0544410013552593</x:v>
      </x:c>
      <x:c r="H337" s="23" t="str">
        <x:f>IF(F337&gt;=0,"positive","negative")</x:f>
        <x:v>negative</x:v>
      </x:c>
      <x:c r="I337" s="23" t="n">
        <x:v>0.1334333382876157</x:v>
      </x:c>
      <x:c r="J337" s="23" t="n">
        <x:v>-0.4080014938838723</x:v>
      </x:c>
      <x:c r="K337" s="23" t="n">
        <x:v>0.3214465092918132</x:v>
      </x:c>
      <x:c r="L337" s="24" t="n">
        <x:v>1991</x:v>
      </x:c>
      <x:c r="M337" t="str">
        <x:v>legacy_common_sample_8902245</x:v>
      </x:c>
      <x:c r="N337" s="25" t="n">
        <x:v>46210.34754746528</x:v>
      </x:c>
      <x:c r="O337" s="24" t="n">
        <x:v>8902245</x:v>
      </x:c>
      <x:c r="P337" t="str">
        <x:v>factor_report/gtja191_batch/gtja_055/ic_summary.csv</x:v>
      </x:c>
    </x:row>
    <x:row r="338">
      <x:c r="A338" s="22" t="n">
        <x:f>IF($E338="ranked",1+COUNTIFS($D$5:$D$546,$D338,$E$5:$E$546,"ranked",$F$5:$F$546,"&gt;"&amp;$F338),"")</x:f>
        <x:v>164</x:v>
      </x:c>
      <x:c r="B338" s="22" t="n">
        <x:f>IF($E338="ranked",1+COUNTIFS($D$5:$D$546,$D338,$E$5:$E$546,"ranked",$G$5:$G$546,"&gt;"&amp;$G338),"")</x:f>
        <x:v>23</x:v>
      </x:c>
      <x:c r="C338" t="str">
        <x:v>gtja_071</x:v>
      </x:c>
      <x:c r="D338" s="22" t="n">
        <x:v>10</x:v>
      </x:c>
      <x:c r="E338" t="str">
        <x:v>ranked</x:v>
      </x:c>
      <x:c r="F338" s="23" t="n">
        <x:v>-0.05464484689716381</x:v>
      </x:c>
      <x:c r="G338" s="23" t="n">
        <x:f>ABS(F338)</x:f>
        <x:v>0.05464484689716381</x:v>
      </x:c>
      <x:c r="H338" s="23" t="str">
        <x:f>IF(F338&gt;=0,"positive","negative")</x:f>
        <x:v>negative</x:v>
      </x:c>
      <x:c r="I338" s="23" t="n">
        <x:v>0.1388974749681292</x:v>
      </x:c>
      <x:c r="J338" s="23" t="n">
        <x:v>-0.39341857661345087</x:v>
      </x:c>
      <x:c r="K338" s="23" t="n">
        <x:v>0.35258663987945754</x:v>
      </x:c>
      <x:c r="L338" s="24" t="n">
        <x:v>1991</x:v>
      </x:c>
      <x:c r="M338" t="str">
        <x:v>legacy_common_sample_8902245</x:v>
      </x:c>
      <x:c r="N338" s="25" t="n">
        <x:v>46210.420358854164</x:v>
      </x:c>
      <x:c r="O338" s="24" t="n">
        <x:v>8902245</x:v>
      </x:c>
      <x:c r="P338" t="str">
        <x:v>factor_report/gtja191_batch/gtja_071/ic_summary.csv</x:v>
      </x:c>
    </x:row>
    <x:row r="339">
      <x:c r="A339" s="22" t="n">
        <x:f>IF($E339="ranked",1+COUNTIFS($D$5:$D$546,$D339,$E$5:$E$546,"ranked",$F$5:$F$546,"&gt;"&amp;$F339),"")</x:f>
        <x:v>165</x:v>
      </x:c>
      <x:c r="B339" s="22" t="n">
        <x:f>IF($E339="ranked",1+COUNTIFS($D$5:$D$546,$D339,$E$5:$E$546,"ranked",$G$5:$G$546,"&gt;"&amp;$G339),"")</x:f>
        <x:v>21</x:v>
      </x:c>
      <x:c r="C339" t="str">
        <x:v>gtja_135</x:v>
      </x:c>
      <x:c r="D339" s="22" t="n">
        <x:v>10</x:v>
      </x:c>
      <x:c r="E339" t="str">
        <x:v>ranked</x:v>
      </x:c>
      <x:c r="F339" s="23" t="n">
        <x:v>-0.05522083927672666</x:v>
      </x:c>
      <x:c r="G339" s="23" t="n">
        <x:f>ABS(F339)</x:f>
        <x:v>0.05522083927672666</x:v>
      </x:c>
      <x:c r="H339" s="23" t="str">
        <x:f>IF(F339&gt;=0,"positive","negative")</x:f>
        <x:v>negative</x:v>
      </x:c>
      <x:c r="I339" s="23" t="n">
        <x:v>0.14657356879982103</x:v>
      </x:c>
      <x:c r="J339" s="23" t="n">
        <x:v>-0.3767448642268038</x:v>
      </x:c>
      <x:c r="K339" s="23" t="n">
        <x:v>0.3676544450025113</x:v>
      </x:c>
      <x:c r="L339" s="24" t="n">
        <x:v>1991</x:v>
      </x:c>
      <x:c r="M339" t="str">
        <x:v>legacy_common_sample_8902245</x:v>
      </x:c>
      <x:c r="N339" s="25" t="n">
        <x:v>46210.7465330787</x:v>
      </x:c>
      <x:c r="O339" s="24" t="n">
        <x:v>8902245</x:v>
      </x:c>
      <x:c r="P339" t="str">
        <x:v>factor_report/gtja191_batch/gtja_135/ic_summary.csv</x:v>
      </x:c>
    </x:row>
    <x:row r="340">
      <x:c r="A340" s="22" t="n">
        <x:f>IF($E340="ranked",1+COUNTIFS($D$5:$D$546,$D340,$E$5:$E$546,"ranked",$F$5:$F$546,"&gt;"&amp;$F340),"")</x:f>
        <x:v>166</x:v>
      </x:c>
      <x:c r="B340" s="22" t="n">
        <x:f>IF($E340="ranked",1+COUNTIFS($D$5:$D$546,$D340,$E$5:$E$546,"ranked",$G$5:$G$546,"&gt;"&amp;$G340),"")</x:f>
        <x:v>20</x:v>
      </x:c>
      <x:c r="C340" t="str">
        <x:v>gtja_106</x:v>
      </x:c>
      <x:c r="D340" s="22" t="n">
        <x:v>10</x:v>
      </x:c>
      <x:c r="E340" t="str">
        <x:v>ranked</x:v>
      </x:c>
      <x:c r="F340" s="23" t="n">
        <x:v>-0.05564072753484768</x:v>
      </x:c>
      <x:c r="G340" s="23" t="n">
        <x:f>ABS(F340)</x:f>
        <x:v>0.05564072753484768</x:v>
      </x:c>
      <x:c r="H340" s="23" t="str">
        <x:f>IF(F340&gt;=0,"positive","negative")</x:f>
        <x:v>negative</x:v>
      </x:c>
      <x:c r="I340" s="23" t="n">
        <x:v>0.13400703726279667</x:v>
      </x:c>
      <x:c r="J340" s="23" t="n">
        <x:v>-0.4152075045561416</x:v>
      </x:c>
      <x:c r="K340" s="23" t="n">
        <x:v>0.33802109492717225</x:v>
      </x:c>
      <x:c r="L340" s="24" t="n">
        <x:v>1991</x:v>
      </x:c>
      <x:c r="M340" t="str">
        <x:v>legacy_common_sample_8902245</x:v>
      </x:c>
      <x:c r="N340" s="25" t="n">
        <x:v>46210.59962833333</x:v>
      </x:c>
      <x:c r="O340" s="24" t="n">
        <x:v>8902245</x:v>
      </x:c>
      <x:c r="P340" t="str">
        <x:v>factor_report/gtja191_batch/gtja_106/ic_summary.csv</x:v>
      </x:c>
    </x:row>
    <x:row r="341">
      <x:c r="A341" s="22" t="n">
        <x:f>IF($E341="ranked",1+COUNTIFS($D$5:$D$546,$D341,$E$5:$E$546,"ranked",$F$5:$F$546,"&gt;"&amp;$F341),"")</x:f>
        <x:v>167</x:v>
      </x:c>
      <x:c r="B341" s="22" t="n">
        <x:f>IF($E341="ranked",1+COUNTIFS($D$5:$D$546,$D341,$E$5:$E$546,"ranked",$G$5:$G$546,"&gt;"&amp;$G341),"")</x:f>
        <x:v>19</x:v>
      </x:c>
      <x:c r="C341" t="str">
        <x:v>gtja_059</x:v>
      </x:c>
      <x:c r="D341" s="22" t="n">
        <x:v>10</x:v>
      </x:c>
      <x:c r="E341" t="str">
        <x:v>ranked</x:v>
      </x:c>
      <x:c r="F341" s="23" t="n">
        <x:v>-0.05652192099592995</x:v>
      </x:c>
      <x:c r="G341" s="23" t="n">
        <x:f>ABS(F341)</x:f>
        <x:v>0.05652192099592995</x:v>
      </x:c>
      <x:c r="H341" s="23" t="str">
        <x:f>IF(F341&gt;=0,"positive","negative")</x:f>
        <x:v>negative</x:v>
      </x:c>
      <x:c r="I341" s="23" t="n">
        <x:v>0.12629519790066987</x:v>
      </x:c>
      <x:c r="J341" s="23" t="n">
        <x:v>-0.4475381640431331</x:v>
      </x:c>
      <x:c r="K341" s="23" t="n">
        <x:v>0.32847815168257155</x:v>
      </x:c>
      <x:c r="L341" s="24" t="n">
        <x:v>1991</x:v>
      </x:c>
      <x:c r="M341" t="str">
        <x:v>legacy_common_sample_8902245</x:v>
      </x:c>
      <x:c r="N341" s="25" t="n">
        <x:v>46210.36786096065</x:v>
      </x:c>
      <x:c r="O341" s="24" t="n">
        <x:v>8902245</x:v>
      </x:c>
      <x:c r="P341" t="str">
        <x:v>factor_report/gtja191_batch/gtja_059/ic_summary.csv</x:v>
      </x:c>
    </x:row>
    <x:row r="342">
      <x:c r="A342" s="22" t="n">
        <x:f>IF($E342="ranked",1+COUNTIFS($D$5:$D$546,$D342,$E$5:$E$546,"ranked",$F$5:$F$546,"&gt;"&amp;$F342),"")</x:f>
        <x:v>168</x:v>
      </x:c>
      <x:c r="B342" s="22" t="n">
        <x:f>IF($E342="ranked",1+COUNTIFS($D$5:$D$546,$D342,$E$5:$E$546,"ranked",$G$5:$G$546,"&gt;"&amp;$G342),"")</x:f>
        <x:v>18</x:v>
      </x:c>
      <x:c r="C342" t="str">
        <x:v>gtja_118</x:v>
      </x:c>
      <x:c r="D342" s="22" t="n">
        <x:v>10</x:v>
      </x:c>
      <x:c r="E342" t="str">
        <x:v>ranked</x:v>
      </x:c>
      <x:c r="F342" s="23" t="n">
        <x:v>-0.0569573609939469</x:v>
      </x:c>
      <x:c r="G342" s="23" t="n">
        <x:f>ABS(F342)</x:f>
        <x:v>0.0569573609939469</x:v>
      </x:c>
      <x:c r="H342" s="23" t="str">
        <x:f>IF(F342&gt;=0,"positive","negative")</x:f>
        <x:v>negative</x:v>
      </x:c>
      <x:c r="I342" s="23" t="n">
        <x:v>0.11069269906997063</x:v>
      </x:c>
      <x:c r="J342" s="23" t="n">
        <x:v>-0.5145539089072464</x:v>
      </x:c>
      <x:c r="K342" s="23" t="n">
        <x:v>0.30135610246107486</x:v>
      </x:c>
      <x:c r="L342" s="24" t="n">
        <x:v>1991</x:v>
      </x:c>
      <x:c r="M342" t="str">
        <x:v>legacy_common_sample_8902245</x:v>
      </x:c>
      <x:c r="N342" s="25" t="n">
        <x:v>46210.66222452546</x:v>
      </x:c>
      <x:c r="O342" s="24" t="n">
        <x:v>8902245</x:v>
      </x:c>
      <x:c r="P342" t="str">
        <x:v>factor_report/gtja191_batch/gtja_118/ic_summary.csv</x:v>
      </x:c>
    </x:row>
    <x:row r="343">
      <x:c r="A343" s="22" t="n">
        <x:f>IF($E343="ranked",1+COUNTIFS($D$5:$D$546,$D343,$E$5:$E$546,"ranked",$F$5:$F$546,"&gt;"&amp;$F343),"")</x:f>
        <x:v>169</x:v>
      </x:c>
      <x:c r="B343" s="22" t="n">
        <x:f>IF($E343="ranked",1+COUNTIFS($D$5:$D$546,$D343,$E$5:$E$546,"ranked",$G$5:$G$546,"&gt;"&amp;$G343),"")</x:f>
        <x:v>17</x:v>
      </x:c>
      <x:c r="C343" t="str">
        <x:v>gtja_100</x:v>
      </x:c>
      <x:c r="D343" s="22" t="n">
        <x:v>10</x:v>
      </x:c>
      <x:c r="E343" t="str">
        <x:v>ranked</x:v>
      </x:c>
      <x:c r="F343" s="23" t="n">
        <x:v>-0.05734235822146127</x:v>
      </x:c>
      <x:c r="G343" s="23" t="n">
        <x:f>ABS(F343)</x:f>
        <x:v>0.05734235822146127</x:v>
      </x:c>
      <x:c r="H343" s="23" t="str">
        <x:f>IF(F343&gt;=0,"positive","negative")</x:f>
        <x:v>negative</x:v>
      </x:c>
      <x:c r="I343" s="23" t="n">
        <x:v>0.11369962468884873</x:v>
      </x:c>
      <x:c r="J343" s="23" t="n">
        <x:v>-0.5043319921097789</x:v>
      </x:c>
      <x:c r="K343" s="23" t="n">
        <x:v>0.2933199397287795</x:v>
      </x:c>
      <x:c r="L343" s="24" t="n">
        <x:v>1991</x:v>
      </x:c>
      <x:c r="M343" t="str">
        <x:v>legacy_common_sample_8902245</x:v>
      </x:c>
      <x:c r="N343" s="25" t="n">
        <x:v>46210.57471123843</x:v>
      </x:c>
      <x:c r="O343" s="24" t="n">
        <x:v>8902245</x:v>
      </x:c>
      <x:c r="P343" t="str">
        <x:v>factor_report/gtja191_batch/gtja_100/ic_summary.csv</x:v>
      </x:c>
    </x:row>
    <x:row r="344">
      <x:c r="A344" s="22" t="n">
        <x:f>IF($E344="ranked",1+COUNTIFS($D$5:$D$546,$D344,$E$5:$E$546,"ranked",$F$5:$F$546,"&gt;"&amp;$F344),"")</x:f>
        <x:v>170</x:v>
      </x:c>
      <x:c r="B344" s="22" t="n">
        <x:f>IF($E344="ranked",1+COUNTIFS($D$5:$D$546,$D344,$E$5:$E$546,"ranked",$G$5:$G$546,"&gt;"&amp;$G344),"")</x:f>
        <x:v>16</x:v>
      </x:c>
      <x:c r="C344" t="str">
        <x:v>gtja_088</x:v>
      </x:c>
      <x:c r="D344" s="22" t="n">
        <x:v>10</x:v>
      </x:c>
      <x:c r="E344" t="str">
        <x:v>ranked</x:v>
      </x:c>
      <x:c r="F344" s="23" t="n">
        <x:v>-0.058667124438381554</x:v>
      </x:c>
      <x:c r="G344" s="23" t="n">
        <x:f>ABS(F344)</x:f>
        <x:v>0.058667124438381554</x:v>
      </x:c>
      <x:c r="H344" s="23" t="str">
        <x:f>IF(F344&gt;=0,"positive","negative")</x:f>
        <x:v>negative</x:v>
      </x:c>
      <x:c r="I344" s="23" t="n">
        <x:v>0.13800065886726753</x:v>
      </x:c>
      <x:c r="J344" s="23" t="n">
        <x:v>-0.4251220604302263</x:v>
      </x:c>
      <x:c r="K344" s="23" t="n">
        <x:v>0.34455047714716225</x:v>
      </x:c>
      <x:c r="L344" s="24" t="n">
        <x:v>1991</x:v>
      </x:c>
      <x:c r="M344" t="str">
        <x:v>legacy_common_sample_8902245</x:v>
      </x:c>
      <x:c r="N344" s="25" t="n">
        <x:v>46210.51801505787</x:v>
      </x:c>
      <x:c r="O344" s="24" t="n">
        <x:v>8902245</x:v>
      </x:c>
      <x:c r="P344" t="str">
        <x:v>factor_report/gtja191_batch/gtja_088/ic_summary.csv</x:v>
      </x:c>
    </x:row>
    <x:row r="345">
      <x:c r="A345" s="22" t="n">
        <x:f>IF($E345="ranked",1+COUNTIFS($D$5:$D$546,$D345,$E$5:$E$546,"ranked",$F$5:$F$546,"&gt;"&amp;$F345),"")</x:f>
        <x:v>171</x:v>
      </x:c>
      <x:c r="B345" s="22" t="n">
        <x:f>IF($E345="ranked",1+COUNTIFS($D$5:$D$546,$D345,$E$5:$E$546,"ranked",$G$5:$G$546,"&gt;"&amp;$G345),"")</x:f>
        <x:v>14</x:v>
      </x:c>
      <x:c r="C345" t="str">
        <x:v>gtja_189</x:v>
      </x:c>
      <x:c r="D345" s="22" t="n">
        <x:v>10</x:v>
      </x:c>
      <x:c r="E345" t="str">
        <x:v>ranked</x:v>
      </x:c>
      <x:c r="F345" s="23" t="n">
        <x:v>-0.06157687027920172</x:v>
      </x:c>
      <x:c r="G345" s="23" t="n">
        <x:f>ABS(F345)</x:f>
        <x:v>0.06157687027920172</x:v>
      </x:c>
      <x:c r="H345" s="23" t="str">
        <x:f>IF(F345&gt;=0,"positive","negative")</x:f>
        <x:v>negative</x:v>
      </x:c>
      <x:c r="I345" s="23" t="n">
        <x:v>0.18497392776181817</x:v>
      </x:c>
      <x:c r="J345" s="23" t="n">
        <x:v>-0.33289486266676044</x:v>
      </x:c>
      <x:c r="K345" s="23" t="n">
        <x:v>0.39226519337016574</x:v>
      </x:c>
      <x:c r="L345" s="24" t="n">
        <x:v>1991</x:v>
      </x:c>
      <x:c r="M345" t="str">
        <x:v>legacy_common_sample_8902245</x:v>
      </x:c>
      <x:c r="N345" s="25" t="n">
        <x:v>46210.9753753125</x:v>
      </x:c>
      <x:c r="O345" s="24" t="n">
        <x:v>8902245</x:v>
      </x:c>
      <x:c r="P345" t="str">
        <x:v>factor_report/gtja191_batch/gtja_189/ic_summary.csv</x:v>
      </x:c>
    </x:row>
    <x:row r="346">
      <x:c r="A346" s="22" t="n">
        <x:f>IF($E346="ranked",1+COUNTIFS($D$5:$D$546,$D346,$E$5:$E$546,"ranked",$F$5:$F$546,"&gt;"&amp;$F346),"")</x:f>
        <x:v>172</x:v>
      </x:c>
      <x:c r="B346" s="22" t="n">
        <x:f>IF($E346="ranked",1+COUNTIFS($D$5:$D$546,$D346,$E$5:$E$546,"ranked",$G$5:$G$546,"&gt;"&amp;$G346),"")</x:f>
        <x:v>13</x:v>
      </x:c>
      <x:c r="C346" t="str">
        <x:v>gtja_097</x:v>
      </x:c>
      <x:c r="D346" s="22" t="n">
        <x:v>10</x:v>
      </x:c>
      <x:c r="E346" t="str">
        <x:v>ranked</x:v>
      </x:c>
      <x:c r="F346" s="23" t="n">
        <x:v>-0.06181873112019193</x:v>
      </x:c>
      <x:c r="G346" s="23" t="n">
        <x:f>ABS(F346)</x:f>
        <x:v>0.06181873112019193</x:v>
      </x:c>
      <x:c r="H346" s="23" t="str">
        <x:f>IF(F346&gt;=0,"positive","negative")</x:f>
        <x:v>negative</x:v>
      </x:c>
      <x:c r="I346" s="23" t="n">
        <x:v>0.11410947849101559</x:v>
      </x:c>
      <x:c r="J346" s="23" t="n">
        <x:v>-0.5417493089766353</x:v>
      </x:c>
      <x:c r="K346" s="23" t="n">
        <x:v>0.27071823204419887</x:v>
      </x:c>
      <x:c r="L346" s="24" t="n">
        <x:v>1991</x:v>
      </x:c>
      <x:c r="M346" t="str">
        <x:v>legacy_common_sample_8902245</x:v>
      </x:c>
      <x:c r="N346" s="25" t="n">
        <x:v>46210.56247660879</x:v>
      </x:c>
      <x:c r="O346" s="24" t="n">
        <x:v>8902245</x:v>
      </x:c>
      <x:c r="P346" t="str">
        <x:v>factor_report/gtja191_batch/gtja_097/ic_summary.csv</x:v>
      </x:c>
    </x:row>
    <x:row r="347">
      <x:c r="A347" s="22" t="n">
        <x:f>IF($E347="ranked",1+COUNTIFS($D$5:$D$546,$D347,$E$5:$E$546,"ranked",$F$5:$F$546,"&gt;"&amp;$F347),"")</x:f>
        <x:v>173</x:v>
      </x:c>
      <x:c r="B347" s="22" t="n">
        <x:f>IF($E347="ranked",1+COUNTIFS($D$5:$D$546,$D347,$E$5:$E$546,"ranked",$G$5:$G$546,"&gt;"&amp;$G347),"")</x:f>
        <x:v>11</x:v>
      </x:c>
      <x:c r="C347" t="str">
        <x:v>gtja_161</x:v>
      </x:c>
      <x:c r="D347" s="22" t="n">
        <x:v>10</x:v>
      </x:c>
      <x:c r="E347" t="str">
        <x:v>ranked</x:v>
      </x:c>
      <x:c r="F347" s="23" t="n">
        <x:v>-0.06624620031295926</x:v>
      </x:c>
      <x:c r="G347" s="23" t="n">
        <x:f>ABS(F347)</x:f>
        <x:v>0.06624620031295926</x:v>
      </x:c>
      <x:c r="H347" s="23" t="str">
        <x:f>IF(F347&gt;=0,"positive","negative")</x:f>
        <x:v>negative</x:v>
      </x:c>
      <x:c r="I347" s="23" t="n">
        <x:v>0.1940851068409498</x:v>
      </x:c>
      <x:c r="J347" s="23" t="n">
        <x:v>-0.3413255215262197</x:v>
      </x:c>
      <x:c r="K347" s="23" t="n">
        <x:v>0.3902561526870919</x:v>
      </x:c>
      <x:c r="L347" s="24" t="n">
        <x:v>1991</x:v>
      </x:c>
      <x:c r="M347" t="str">
        <x:v>legacy_common_sample_8902245</x:v>
      </x:c>
      <x:c r="N347" s="25" t="n">
        <x:v>46210.86347449074</x:v>
      </x:c>
      <x:c r="O347" s="24" t="n">
        <x:v>8902245</x:v>
      </x:c>
      <x:c r="P347" t="str">
        <x:v>factor_report/gtja191_batch/gtja_161/ic_summary.csv</x:v>
      </x:c>
    </x:row>
    <x:row r="348">
      <x:c r="A348" s="22" t="n">
        <x:f>IF($E348="ranked",1+COUNTIFS($D$5:$D$546,$D348,$E$5:$E$546,"ranked",$F$5:$F$546,"&gt;"&amp;$F348),"")</x:f>
        <x:v>174</x:v>
      </x:c>
      <x:c r="B348" s="22" t="n">
        <x:f>IF($E348="ranked",1+COUNTIFS($D$5:$D$546,$D348,$E$5:$E$546,"ranked",$G$5:$G$546,"&gt;"&amp;$G348),"")</x:f>
        <x:v>10</x:v>
      </x:c>
      <x:c r="C348" t="str">
        <x:v>gtja_158</x:v>
      </x:c>
      <x:c r="D348" s="22" t="n">
        <x:v>10</x:v>
      </x:c>
      <x:c r="E348" t="str">
        <x:v>ranked</x:v>
      </x:c>
      <x:c r="F348" s="23" t="n">
        <x:v>-0.06798036351326307</x:v>
      </x:c>
      <x:c r="G348" s="23" t="n">
        <x:f>ABS(F348)</x:f>
        <x:v>0.06798036351326307</x:v>
      </x:c>
      <x:c r="H348" s="23" t="str">
        <x:f>IF(F348&gt;=0,"positive","negative")</x:f>
        <x:v>negative</x:v>
      </x:c>
      <x:c r="I348" s="23" t="n">
        <x:v>0.1425731170958223</x:v>
      </x:c>
      <x:c r="J348" s="23" t="n">
        <x:v>-0.4768105299091833</x:v>
      </x:c>
      <x:c r="K348" s="23" t="n">
        <x:v>0.3124058262179809</x:v>
      </x:c>
      <x:c r="L348" s="24" t="n">
        <x:v>1991</x:v>
      </x:c>
      <x:c r="M348" t="str">
        <x:v>legacy_common_sample_8902245</x:v>
      </x:c>
      <x:c r="N348" s="25" t="n">
        <x:v>46210.85092011574</x:v>
      </x:c>
      <x:c r="O348" s="24" t="n">
        <x:v>8902245</x:v>
      </x:c>
      <x:c r="P348" t="str">
        <x:v>factor_report/gtja191_batch/gtja_158/ic_summary.csv</x:v>
      </x:c>
    </x:row>
    <x:row r="349">
      <x:c r="A349" s="22" t="n">
        <x:f>IF($E349="ranked",1+COUNTIFS($D$5:$D$546,$D349,$E$5:$E$546,"ranked",$F$5:$F$546,"&gt;"&amp;$F349),"")</x:f>
        <x:v>175</x:v>
      </x:c>
      <x:c r="B349" s="22" t="n">
        <x:f>IF($E349="ranked",1+COUNTIFS($D$5:$D$546,$D349,$E$5:$E$546,"ranked",$G$5:$G$546,"&gt;"&amp;$G349),"")</x:f>
        <x:v>9</x:v>
      </x:c>
      <x:c r="C349" t="str">
        <x:v>gtja_175</x:v>
      </x:c>
      <x:c r="D349" s="22" t="n">
        <x:v>10</x:v>
      </x:c>
      <x:c r="E349" t="str">
        <x:v>ranked</x:v>
      </x:c>
      <x:c r="F349" s="23" t="n">
        <x:v>-0.06974166759422153</x:v>
      </x:c>
      <x:c r="G349" s="23" t="n">
        <x:f>ABS(F349)</x:f>
        <x:v>0.06974166759422153</x:v>
      </x:c>
      <x:c r="H349" s="23" t="str">
        <x:f>IF(F349&gt;=0,"positive","negative")</x:f>
        <x:v>negative</x:v>
      </x:c>
      <x:c r="I349" s="23" t="n">
        <x:v>0.19172470275958414</x:v>
      </x:c>
      <x:c r="J349" s="23" t="n">
        <x:v>-0.3637594247918854</x:v>
      </x:c>
      <x:c r="K349" s="23" t="n">
        <x:v>0.38623807132094423</x:v>
      </x:c>
      <x:c r="L349" s="24" t="n">
        <x:v>1991</x:v>
      </x:c>
      <x:c r="M349" t="str">
        <x:v>legacy_common_sample_8902245</x:v>
      </x:c>
      <x:c r="N349" s="25" t="n">
        <x:v>46210.925217731485</x:v>
      </x:c>
      <x:c r="O349" s="24" t="n">
        <x:v>8902245</x:v>
      </x:c>
      <x:c r="P349" t="str">
        <x:v>factor_report/gtja191_batch/gtja_175/ic_summary.csv</x:v>
      </x:c>
    </x:row>
    <x:row r="350">
      <x:c r="A350" s="22" t="n">
        <x:f>IF($E350="ranked",1+COUNTIFS($D$5:$D$546,$D350,$E$5:$E$546,"ranked",$F$5:$F$546,"&gt;"&amp;$F350),"")</x:f>
        <x:v>176</x:v>
      </x:c>
      <x:c r="B350" s="22" t="n">
        <x:f>IF($E350="ranked",1+COUNTIFS($D$5:$D$546,$D350,$E$5:$E$546,"ranked",$G$5:$G$546,"&gt;"&amp;$G350),"")</x:f>
        <x:v>8</x:v>
      </x:c>
      <x:c r="C350" t="str">
        <x:v>gtja_187</x:v>
      </x:c>
      <x:c r="D350" s="22" t="n">
        <x:v>10</x:v>
      </x:c>
      <x:c r="E350" t="str">
        <x:v>ranked</x:v>
      </x:c>
      <x:c r="F350" s="23" t="n">
        <x:v>-0.07167235594661475</x:v>
      </x:c>
      <x:c r="G350" s="23" t="n">
        <x:f>ABS(F350)</x:f>
        <x:v>0.07167235594661475</x:v>
      </x:c>
      <x:c r="H350" s="23" t="str">
        <x:f>IF(F350&gt;=0,"positive","negative")</x:f>
        <x:v>negative</x:v>
      </x:c>
      <x:c r="I350" s="23" t="n">
        <x:v>0.18685390242020566</x:v>
      </x:c>
      <x:c r="J350" s="23" t="n">
        <x:v>-0.3835743060128049</x:v>
      </x:c>
      <x:c r="K350" s="23" t="n">
        <x:v>0.37267704671019586</x:v>
      </x:c>
      <x:c r="L350" s="24" t="n">
        <x:v>1991</x:v>
      </x:c>
      <x:c r="M350" t="str">
        <x:v>legacy_common_sample_8902245</x:v>
      </x:c>
      <x:c r="N350" s="25" t="n">
        <x:v>46210.96675238426</x:v>
      </x:c>
      <x:c r="O350" s="24" t="n">
        <x:v>8902245</x:v>
      </x:c>
      <x:c r="P350" t="str">
        <x:v>factor_report/gtja191_batch/gtja_187/ic_summary.csv</x:v>
      </x:c>
    </x:row>
    <x:row r="351">
      <x:c r="A351" s="22" t="n">
        <x:f>IF($E351="ranked",1+COUNTIFS($D$5:$D$546,$D351,$E$5:$E$546,"ranked",$F$5:$F$546,"&gt;"&amp;$F351),"")</x:f>
        <x:v>177</x:v>
      </x:c>
      <x:c r="B351" s="22" t="n">
        <x:f>IF($E351="ranked",1+COUNTIFS($D$5:$D$546,$D351,$E$5:$E$546,"ranked",$G$5:$G$546,"&gt;"&amp;$G351),"")</x:f>
        <x:v>7</x:v>
      </x:c>
      <x:c r="C351" t="str">
        <x:v>gtja_167</x:v>
      </x:c>
      <x:c r="D351" s="22" t="n">
        <x:v>10</x:v>
      </x:c>
      <x:c r="E351" t="str">
        <x:v>ranked</x:v>
      </x:c>
      <x:c r="F351" s="23" t="n">
        <x:v>-0.07656174607108787</x:v>
      </x:c>
      <x:c r="G351" s="23" t="n">
        <x:f>ABS(F351)</x:f>
        <x:v>0.07656174607108787</x:v>
      </x:c>
      <x:c r="H351" s="23" t="str">
        <x:f>IF(F351&gt;=0,"positive","negative")</x:f>
        <x:v>negative</x:v>
      </x:c>
      <x:c r="I351" s="23" t="n">
        <x:v>0.1806564724880464</x:v>
      </x:c>
      <x:c r="J351" s="23" t="n">
        <x:v>-0.4237974151529709</x:v>
      </x:c>
      <x:c r="K351" s="23" t="n">
        <x:v>0.35760924158714213</x:v>
      </x:c>
      <x:c r="L351" s="24" t="n">
        <x:v>1991</x:v>
      </x:c>
      <x:c r="M351" t="str">
        <x:v>legacy_common_sample_8902245</x:v>
      </x:c>
      <x:c r="N351" s="25" t="n">
        <x:v>46210.888780636575</x:v>
      </x:c>
      <x:c r="O351" s="24" t="n">
        <x:v>8902245</x:v>
      </x:c>
      <x:c r="P351" t="str">
        <x:v>factor_report/gtja191_batch/gtja_167/ic_summary.csv</x:v>
      </x:c>
    </x:row>
    <x:row r="352">
      <x:c r="A352" s="22" t="n">
        <x:f>IF($E352="ranked",1+COUNTIFS($D$5:$D$546,$D352,$E$5:$E$546,"ranked",$F$5:$F$546,"&gt;"&amp;$F352),"")</x:f>
        <x:v>178</x:v>
      </x:c>
      <x:c r="B352" s="22" t="n">
        <x:f>IF($E352="ranked",1+COUNTIFS($D$5:$D$546,$D352,$E$5:$E$546,"ranked",$G$5:$G$546,"&gt;"&amp;$G352),"")</x:f>
        <x:v>5</x:v>
      </x:c>
      <x:c r="C352" t="str">
        <x:v>gtja_132</x:v>
      </x:c>
      <x:c r="D352" s="22" t="n">
        <x:v>10</x:v>
      </x:c>
      <x:c r="E352" t="str">
        <x:v>ranked</x:v>
      </x:c>
      <x:c r="F352" s="23" t="n">
        <x:v>-0.07790170414028826</x:v>
      </x:c>
      <x:c r="G352" s="23" t="n">
        <x:f>ABS(F352)</x:f>
        <x:v>0.07790170414028826</x:v>
      </x:c>
      <x:c r="H352" s="23" t="str">
        <x:f>IF(F352&gt;=0,"positive","negative")</x:f>
        <x:v>negative</x:v>
      </x:c>
      <x:c r="I352" s="23" t="n">
        <x:v>0.15629782605035936</x:v>
      </x:c>
      <x:c r="J352" s="23" t="n">
        <x:v>-0.498418347259598</x:v>
      </x:c>
      <x:c r="K352" s="23" t="n">
        <x:v>0.30135610246107486</x:v>
      </x:c>
      <x:c r="L352" s="24" t="n">
        <x:v>1991</x:v>
      </x:c>
      <x:c r="M352" t="str">
        <x:v>legacy_common_sample_8902245</x:v>
      </x:c>
      <x:c r="N352" s="25" t="n">
        <x:v>46210.73378372685</x:v>
      </x:c>
      <x:c r="O352" s="24" t="n">
        <x:v>8902245</x:v>
      </x:c>
      <x:c r="P352" t="str">
        <x:v>factor_report/gtja191_batch/gtja_132/ic_summary.csv</x:v>
      </x:c>
    </x:row>
    <x:row r="353">
      <x:c r="A353" s="22" t="n">
        <x:f>IF($E353="ranked",1+COUNTIFS($D$5:$D$546,$D353,$E$5:$E$546,"ranked",$F$5:$F$546,"&gt;"&amp;$F353),"")</x:f>
        <x:v>179</x:v>
      </x:c>
      <x:c r="B353" s="22" t="n">
        <x:f>IF($E353="ranked",1+COUNTIFS($D$5:$D$546,$D353,$E$5:$E$546,"ranked",$G$5:$G$546,"&gt;"&amp;$G353),"")</x:f>
        <x:v>4</x:v>
      </x:c>
      <x:c r="C353" t="str">
        <x:v>gtja_159</x:v>
      </x:c>
      <x:c r="D353" s="22" t="n">
        <x:v>10</x:v>
      </x:c>
      <x:c r="E353" t="str">
        <x:v>ranked</x:v>
      </x:c>
      <x:c r="F353" s="23" t="n">
        <x:v>-0.08558369624505881</x:v>
      </x:c>
      <x:c r="G353" s="23" t="n">
        <x:f>ABS(F353)</x:f>
        <x:v>0.08558369624505881</x:v>
      </x:c>
      <x:c r="H353" s="23" t="str">
        <x:f>IF(F353&gt;=0,"positive","negative")</x:f>
        <x:v>negative</x:v>
      </x:c>
      <x:c r="I353" s="23" t="n">
        <x:v>0.17934245882606162</x:v>
      </x:c>
      <x:c r="J353" s="23" t="n">
        <x:v>-0.4772082238933929</x:v>
      </x:c>
      <x:c r="K353" s="23" t="n">
        <x:v>0.3068809643395279</x:v>
      </x:c>
      <x:c r="L353" s="24" t="n">
        <x:v>1991</x:v>
      </x:c>
      <x:c r="M353" t="str">
        <x:v>legacy_common_sample_8902245</x:v>
      </x:c>
      <x:c r="N353" s="25" t="n">
        <x:v>46210.85484907407</x:v>
      </x:c>
      <x:c r="O353" s="24" t="n">
        <x:v>8902245</x:v>
      </x:c>
      <x:c r="P353" t="str">
        <x:v>factor_report/gtja191_batch/gtja_159/ic_summary.csv</x:v>
      </x:c>
    </x:row>
    <x:row r="354">
      <x:c r="A354" s="22" t="n">
        <x:f>IF($E354="ranked",1+COUNTIFS($D$5:$D$546,$D354,$E$5:$E$546,"ranked",$F$5:$F$546,"&gt;"&amp;$F354),"")</x:f>
        <x:v>180</x:v>
      </x:c>
      <x:c r="B354" s="22" t="n">
        <x:f>IF($E354="ranked",1+COUNTIFS($D$5:$D$546,$D354,$E$5:$E$546,"ranked",$G$5:$G$546,"&gt;"&amp;$G354),"")</x:f>
        <x:v>3</x:v>
      </x:c>
      <x:c r="C354" t="str">
        <x:v>gtja_095</x:v>
      </x:c>
      <x:c r="D354" s="22" t="n">
        <x:v>10</x:v>
      </x:c>
      <x:c r="E354" t="str">
        <x:v>ranked</x:v>
      </x:c>
      <x:c r="F354" s="23" t="n">
        <x:v>-0.08771344028321716</x:v>
      </x:c>
      <x:c r="G354" s="23" t="n">
        <x:f>ABS(F354)</x:f>
        <x:v>0.08771344028321716</x:v>
      </x:c>
      <x:c r="H354" s="23" t="str">
        <x:f>IF(F354&gt;=0,"positive","negative")</x:f>
        <x:v>negative</x:v>
      </x:c>
      <x:c r="I354" s="23" t="n">
        <x:v>0.1441482190729027</x:v>
      </x:c>
      <x:c r="J354" s="23" t="n">
        <x:v>-0.6084947899276941</x:v>
      </x:c>
      <x:c r="K354" s="23" t="n">
        <x:v>0.27071823204419887</x:v>
      </x:c>
      <x:c r="L354" s="24" t="n">
        <x:v>1991</x:v>
      </x:c>
      <x:c r="M354" t="str">
        <x:v>legacy_common_sample_8902245</x:v>
      </x:c>
      <x:c r="N354" s="25" t="n">
        <x:v>46210.552701967594</x:v>
      </x:c>
      <x:c r="O354" s="24" t="n">
        <x:v>8902245</x:v>
      </x:c>
      <x:c r="P354" t="str">
        <x:v>factor_report/gtja191_batch/gtja_095/ic_summary.csv</x:v>
      </x:c>
    </x:row>
    <x:row r="355">
      <x:c r="A355" s="22" t="n">
        <x:f>IF($E355="ranked",1+COUNTIFS($D$5:$D$546,$D355,$E$5:$E$546,"ranked",$F$5:$F$546,"&gt;"&amp;$F355),"")</x:f>
        <x:v>181</x:v>
      </x:c>
      <x:c r="B355" s="22" t="n">
        <x:f>IF($E355="ranked",1+COUNTIFS($D$5:$D$546,$D355,$E$5:$E$546,"ranked",$G$5:$G$546,"&gt;"&amp;$G355),"")</x:f>
        <x:v>2</x:v>
      </x:c>
      <x:c r="C355" t="str">
        <x:v>gtja_070</x:v>
      </x:c>
      <x:c r="D355" s="22" t="n">
        <x:v>10</x:v>
      </x:c>
      <x:c r="E355" t="str">
        <x:v>ranked</x:v>
      </x:c>
      <x:c r="F355" s="23" t="n">
        <x:v>-0.09200568839452039</x:v>
      </x:c>
      <x:c r="G355" s="23" t="n">
        <x:f>ABS(F355)</x:f>
        <x:v>0.09200568839452039</x:v>
      </x:c>
      <x:c r="H355" s="23" t="str">
        <x:f>IF(F355&gt;=0,"positive","negative")</x:f>
        <x:v>negative</x:v>
      </x:c>
      <x:c r="I355" s="23" t="n">
        <x:v>0.14186656930093233</x:v>
      </x:c>
      <x:c r="J355" s="23" t="n">
        <x:v>-0.648536782470257</x:v>
      </x:c>
      <x:c r="K355" s="23" t="n">
        <x:v>0.25916624811652433</x:v>
      </x:c>
      <x:c r="L355" s="24" t="n">
        <x:v>1991</x:v>
      </x:c>
      <x:c r="M355" t="str">
        <x:v>legacy_common_sample_8902245</x:v>
      </x:c>
      <x:c r="N355" s="25" t="n">
        <x:v>46210.41622457176</x:v>
      </x:c>
      <x:c r="O355" s="24" t="n">
        <x:v>8902245</x:v>
      </x:c>
      <x:c r="P355" t="str">
        <x:v>factor_report/gtja191_batch/gtja_070/ic_summary.csv</x:v>
      </x:c>
    </x:row>
    <x:row r="356">
      <x:c r="A356" s="22" t="n">
        <x:f>IF($E356="ranked",1+COUNTIFS($D$5:$D$546,$D356,$E$5:$E$546,"ranked",$F$5:$F$546,"&gt;"&amp;$F356),"")</x:f>
        <x:v>182</x:v>
      </x:c>
      <x:c r="B356" s="22" t="n">
        <x:f>IF($E356="ranked",1+COUNTIFS($D$5:$D$546,$D356,$E$5:$E$546,"ranked",$G$5:$G$546,"&gt;"&amp;$G356),"")</x:f>
        <x:v>1</x:v>
      </x:c>
      <x:c r="C356" t="str">
        <x:v>gtja_150</x:v>
      </x:c>
      <x:c r="D356" s="22" t="n">
        <x:v>10</x:v>
      </x:c>
      <x:c r="E356" t="str">
        <x:v>ranked</x:v>
      </x:c>
      <x:c r="F356" s="23" t="n">
        <x:v>-0.09224468197712768</x:v>
      </x:c>
      <x:c r="G356" s="23" t="n">
        <x:f>ABS(F356)</x:f>
        <x:v>0.09224468197712768</x:v>
      </x:c>
      <x:c r="H356" s="23" t="str">
        <x:f>IF(F356&gt;=0,"positive","negative")</x:f>
        <x:v>negative</x:v>
      </x:c>
      <x:c r="I356" s="23" t="n">
        <x:v>0.1447917197567441</x:v>
      </x:c>
      <x:c r="J356" s="23" t="n">
        <x:v>-0.6370853397701364</x:v>
      </x:c>
      <x:c r="K356" s="23" t="n">
        <x:v>0.25565042692114515</x:v>
      </x:c>
      <x:c r="L356" s="24" t="n">
        <x:v>1991</x:v>
      </x:c>
      <x:c r="M356" t="str">
        <x:v>legacy_common_sample_8902245</x:v>
      </x:c>
      <x:c r="N356" s="25" t="n">
        <x:v>46210.81356047454</x:v>
      </x:c>
      <x:c r="O356" s="24" t="n">
        <x:v>8902245</x:v>
      </x:c>
      <x:c r="P356" t="str">
        <x:v>factor_report/gtja191_batch/gtja_150/ic_summary.csv</x:v>
      </x:c>
    </x:row>
    <x:row r="357">
      <x:c r="A357" s="22" t="str">
        <x:f>IF($E357="ranked",1+COUNTIFS($D$5:$D$546,$D357,$E$5:$E$546,"ranked",$F$5:$F$546,"&gt;"&amp;$F357),"")</x:f>
      </x:c>
      <x:c r="B357" s="22" t="str">
        <x:f>IF($E357="ranked",1+COUNTIFS($D$5:$D$546,$D357,$E$5:$E$546,"ranked",$G$5:$G$546,"&gt;"&amp;$G357),"")</x:f>
      </x:c>
      <x:c r="C357" t="str">
        <x:v>gtja_005</x:v>
      </x:c>
      <x:c r="D357" s="22" t="n">
        <x:v>10</x:v>
      </x:c>
      <x:c r="E357" t="str">
        <x:v>not comparable</x:v>
      </x:c>
      <x:c r="F357" s="23" t="n">
        <x:v>0.03902523523078319</x:v>
      </x:c>
      <x:c r="G357" s="23" t="n">
        <x:f>ABS(F357)</x:f>
        <x:v>0.03902523523078319</x:v>
      </x:c>
      <x:c r="H357" s="23" t="str">
        <x:f>IF(F357&gt;=0,"positive","negative")</x:f>
        <x:v>positive</x:v>
      </x:c>
      <x:c r="I357" s="23" t="n">
        <x:v>0.06908063952007329</x:v>
      </x:c>
      <x:c r="J357" s="23" t="n">
        <x:v>0.5649229002786421</x:v>
      </x:c>
      <x:c r="K357" s="23" t="n">
        <x:v>0.7246266767906859</x:v>
      </x:c>
      <x:c r="L357" s="24" t="n">
        <x:v>3951</x:v>
      </x:c>
      <x:c r="M357" t="str">
        <x:v>latest_context_sample_13231952</x:v>
      </x:c>
      <x:c r="N357" s="25" t="n">
        <x:v>46230.276212083336</x:v>
      </x:c>
      <x:c r="O357" s="24" t="n">
        <x:v>13231952</x:v>
      </x:c>
      <x:c r="P357" t="str">
        <x:v>factor_report/gtja191_batch/gtja_005/ic_summary.csv</x:v>
      </x:c>
    </x:row>
    <x:row r="358">
      <x:c r="A358" s="22" t="str">
        <x:f>IF($E358="ranked",1+COUNTIFS($D$5:$D$546,$D358,$E$5:$E$546,"ranked",$F$5:$F$546,"&gt;"&amp;$F358),"")</x:f>
      </x:c>
      <x:c r="B358" s="22" t="str">
        <x:f>IF($E358="ranked",1+COUNTIFS($D$5:$D$546,$D358,$E$5:$E$546,"ranked",$G$5:$G$546,"&gt;"&amp;$G358),"")</x:f>
      </x:c>
      <x:c r="C358" t="str">
        <x:v>gtja_012</x:v>
      </x:c>
      <x:c r="D358" s="22" t="n">
        <x:v>10</x:v>
      </x:c>
      <x:c r="E358" t="str">
        <x:v>not comparable</x:v>
      </x:c>
      <x:c r="F358" s="23" t="n">
        <x:v>0.031925398033713505</x:v>
      </x:c>
      <x:c r="G358" s="23" t="n">
        <x:f>ABS(F358)</x:f>
        <x:v>0.031925398033713505</x:v>
      </x:c>
      <x:c r="H358" s="23" t="str">
        <x:f>IF(F358&gt;=0,"positive","negative")</x:f>
        <x:v>positive</x:v>
      </x:c>
      <x:c r="I358" s="23" t="n">
        <x:v>0.10539465741221862</x:v>
      </x:c>
      <x:c r="J358" s="23" t="n">
        <x:v>0.3029128688074499</x:v>
      </x:c>
      <x:c r="K358" s="23" t="n">
        <x:v>0.6289546950139205</x:v>
      </x:c>
      <x:c r="L358" s="24" t="n">
        <x:v>3951</x:v>
      </x:c>
      <x:c r="M358" t="str">
        <x:v>latest_context_sample_13231952</x:v>
      </x:c>
      <x:c r="N358" s="25" t="n">
        <x:v>46230.30990840278</x:v>
      </x:c>
      <x:c r="O358" s="24" t="n">
        <x:v>13231952</x:v>
      </x:c>
      <x:c r="P358" t="str">
        <x:v>factor_report/gtja191_batch/gtja_012/ic_summary.csv</x:v>
      </x:c>
    </x:row>
    <x:row r="359">
      <x:c r="A359" s="22" t="str">
        <x:f>IF($E359="ranked",1+COUNTIFS($D$5:$D$546,$D359,$E$5:$E$546,"ranked",$F$5:$F$546,"&gt;"&amp;$F359),"")</x:f>
      </x:c>
      <x:c r="B359" s="22" t="str">
        <x:f>IF($E359="ranked",1+COUNTIFS($D$5:$D$546,$D359,$E$5:$E$546,"ranked",$G$5:$G$546,"&gt;"&amp;$G359),"")</x:f>
      </x:c>
      <x:c r="C359" t="str">
        <x:v>gtja_007</x:v>
      </x:c>
      <x:c r="D359" s="22" t="n">
        <x:v>10</x:v>
      </x:c>
      <x:c r="E359" t="str">
        <x:v>not comparable</x:v>
      </x:c>
      <x:c r="F359" s="23" t="n">
        <x:v>0.02179431632463765</x:v>
      </x:c>
      <x:c r="G359" s="23" t="n">
        <x:f>ABS(F359)</x:f>
        <x:v>0.02179431632463765</x:v>
      </x:c>
      <x:c r="H359" s="23" t="str">
        <x:f>IF(F359&gt;=0,"positive","negative")</x:f>
        <x:v>positive</x:v>
      </x:c>
      <x:c r="I359" s="23" t="n">
        <x:v>0.08047998351579305</x:v>
      </x:c>
      <x:c r="J359" s="23" t="n">
        <x:v>0.2708041847493772</x:v>
      </x:c>
      <x:c r="K359" s="23" t="n">
        <x:v>0.6125031637560111</x:v>
      </x:c>
      <x:c r="L359" s="24" t="n">
        <x:v>3951</x:v>
      </x:c>
      <x:c r="M359" t="str">
        <x:v>latest_context_sample_13231952</x:v>
      </x:c>
      <x:c r="N359" s="25" t="n">
        <x:v>46230.29278930555</x:v>
      </x:c>
      <x:c r="O359" s="24" t="n">
        <x:v>13231952</x:v>
      </x:c>
      <x:c r="P359" t="str">
        <x:v>factor_report/gtja191_batch/gtja_007/ic_summary.csv</x:v>
      </x:c>
    </x:row>
    <x:row r="360">
      <x:c r="A360" s="22" t="str">
        <x:f>IF($E360="ranked",1+COUNTIFS($D$5:$D$546,$D360,$E$5:$E$546,"ranked",$F$5:$F$546,"&gt;"&amp;$F360),"")</x:f>
      </x:c>
      <x:c r="B360" s="22" t="str">
        <x:f>IF($E360="ranked",1+COUNTIFS($D$5:$D$546,$D360,$E$5:$E$546,"ranked",$G$5:$G$546,"&gt;"&amp;$G360),"")</x:f>
      </x:c>
      <x:c r="C360" t="str">
        <x:v>gtja_015</x:v>
      </x:c>
      <x:c r="D360" s="22" t="n">
        <x:v>10</x:v>
      </x:c>
      <x:c r="E360" t="str">
        <x:v>not comparable</x:v>
      </x:c>
      <x:c r="F360" s="23" t="n">
        <x:v>0.016707428436345515</x:v>
      </x:c>
      <x:c r="G360" s="23" t="n">
        <x:f>ABS(F360)</x:f>
        <x:v>0.016707428436345515</x:v>
      </x:c>
      <x:c r="H360" s="23" t="str">
        <x:f>IF(F360&gt;=0,"positive","negative")</x:f>
        <x:v>positive</x:v>
      </x:c>
      <x:c r="I360" s="23" t="n">
        <x:v>0.06578251278786885</x:v>
      </x:c>
      <x:c r="J360" s="23" t="n">
        <x:v>0.25397978472215765</x:v>
      </x:c>
      <x:c r="K360" s="23" t="n">
        <x:v>0.6350291065553024</x:v>
      </x:c>
      <x:c r="L360" s="24" t="n">
        <x:v>3951</x:v>
      </x:c>
      <x:c r="M360" t="str">
        <x:v>latest_context_sample_13231952</x:v>
      </x:c>
      <x:c r="N360" s="25" t="n">
        <x:v>46230.32700612269</x:v>
      </x:c>
      <x:c r="O360" s="24" t="n">
        <x:v>13231952</x:v>
      </x:c>
      <x:c r="P360" t="str">
        <x:v>factor_report/gtja191_batch/gtja_015/ic_summary.csv</x:v>
      </x:c>
    </x:row>
    <x:row r="361">
      <x:c r="A361" s="22" t="n">
        <x:f>IF($E361="ranked",1+COUNTIFS($D$5:$D$546,$D361,$E$5:$E$546,"ranked",$F$5:$F$546,"&gt;"&amp;$F361),"")</x:f>
        <x:v>1</x:v>
      </x:c>
      <x:c r="B361" s="22" t="n">
        <x:f>IF($E361="ranked",1+COUNTIFS($D$5:$D$546,$D361,$E$5:$E$546,"ranked",$G$5:$G$546,"&gt;"&amp;$G361),"")</x:f>
        <x:v>7</x:v>
      </x:c>
      <x:c r="C361" t="str">
        <x:v>gtja_042</x:v>
      </x:c>
      <x:c r="D361" s="22" t="n">
        <x:v>20</x:v>
      </x:c>
      <x:c r="E361" t="str">
        <x:v>ranked</x:v>
      </x:c>
      <x:c r="F361" s="23" t="n">
        <x:v>0.08864795979424941</x:v>
      </x:c>
      <x:c r="G361" s="23" t="n">
        <x:f>ABS(F361)</x:f>
        <x:v>0.08864795979424941</x:v>
      </x:c>
      <x:c r="H361" s="23" t="str">
        <x:f>IF(F361&gt;=0,"positive","negative")</x:f>
        <x:v>positive</x:v>
      </x:c>
      <x:c r="I361" s="23" t="n">
        <x:v>0.124498312567154</x:v>
      </x:c>
      <x:c r="J361" s="23" t="n">
        <x:v>0.7120414563565508</x:v>
      </x:c>
      <x:c r="K361" s="23" t="n">
        <x:v>0.7491166077738516</x:v>
      </x:c>
      <x:c r="L361" s="24" t="n">
        <x:v>1981</x:v>
      </x:c>
      <x:c r="M361" t="str">
        <x:v>legacy_common_sample_8902245</x:v>
      </x:c>
      <x:c r="N361" s="25" t="n">
        <x:v>46211.25270762732</x:v>
      </x:c>
      <x:c r="O361" s="24" t="n">
        <x:v>8902245</x:v>
      </x:c>
      <x:c r="P361" t="str">
        <x:v>factor_report/gtja191_batch/gtja_042/ic_summary.csv</x:v>
      </x:c>
    </x:row>
    <x:row r="362">
      <x:c r="A362" s="22" t="n">
        <x:f>IF($E362="ranked",1+COUNTIFS($D$5:$D$546,$D362,$E$5:$E$546,"ranked",$F$5:$F$546,"&gt;"&amp;$F362),"")</x:f>
        <x:v>2</x:v>
      </x:c>
      <x:c r="B362" s="22" t="n">
        <x:f>IF($E362="ranked",1+COUNTIFS($D$5:$D$546,$D362,$E$5:$E$546,"ranked",$G$5:$G$546,"&gt;"&amp;$G362),"")</x:f>
        <x:v>12</x:v>
      </x:c>
      <x:c r="C362" t="str">
        <x:v>gtja_041</x:v>
      </x:c>
      <x:c r="D362" s="22" t="n">
        <x:v>20</x:v>
      </x:c>
      <x:c r="E362" t="str">
        <x:v>ranked</x:v>
      </x:c>
      <x:c r="F362" s="23" t="n">
        <x:v>0.07454857927237946</x:v>
      </x:c>
      <x:c r="G362" s="23" t="n">
        <x:f>ABS(F362)</x:f>
        <x:v>0.07454857927237946</x:v>
      </x:c>
      <x:c r="H362" s="23" t="str">
        <x:f>IF(F362&gt;=0,"positive","negative")</x:f>
        <x:v>positive</x:v>
      </x:c>
      <x:c r="I362" s="23" t="n">
        <x:v>0.14327787214005627</x:v>
      </x:c>
      <x:c r="J362" s="23" t="n">
        <x:v>0.5203076941253504</x:v>
      </x:c>
      <x:c r="K362" s="23" t="n">
        <x:v>0.6956082786471479</x:v>
      </x:c>
      <x:c r="L362" s="24" t="n">
        <x:v>1981</x:v>
      </x:c>
      <x:c r="M362" t="str">
        <x:v>legacy_common_sample_8902245</x:v>
      </x:c>
      <x:c r="N362" s="25" t="n">
        <x:v>46211.24883207176</x:v>
      </x:c>
      <x:c r="O362" s="24" t="n">
        <x:v>8902245</x:v>
      </x:c>
      <x:c r="P362" t="str">
        <x:v>factor_report/gtja191_batch/gtja_041/ic_summary.csv</x:v>
      </x:c>
    </x:row>
    <x:row r="363">
      <x:c r="A363" s="22" t="n">
        <x:f>IF($E363="ranked",1+COUNTIFS($D$5:$D$546,$D363,$E$5:$E$546,"ranked",$F$5:$F$546,"&gt;"&amp;$F363),"")</x:f>
        <x:v>3</x:v>
      </x:c>
      <x:c r="B363" s="22" t="n">
        <x:f>IF($E363="ranked",1+COUNTIFS($D$5:$D$546,$D363,$E$5:$E$546,"ranked",$G$5:$G$546,"&gt;"&amp;$G363),"")</x:f>
        <x:v>14</x:v>
      </x:c>
      <x:c r="C363" t="str">
        <x:v>gtja_164</x:v>
      </x:c>
      <x:c r="D363" s="22" t="n">
        <x:v>20</x:v>
      </x:c>
      <x:c r="E363" t="str">
        <x:v>ranked</x:v>
      </x:c>
      <x:c r="F363" s="23" t="n">
        <x:v>0.07173398532509588</x:v>
      </x:c>
      <x:c r="G363" s="23" t="n">
        <x:f>ABS(F363)</x:f>
        <x:v>0.07173398532509588</x:v>
      </x:c>
      <x:c r="H363" s="23" t="str">
        <x:f>IF(F363&gt;=0,"positive","negative")</x:f>
        <x:v>positive</x:v>
      </x:c>
      <x:c r="I363" s="23" t="n">
        <x:v>0.18793592471919088</x:v>
      </x:c>
      <x:c r="J363" s="23" t="n">
        <x:v>0.3816938429003342</x:v>
      </x:c>
      <x:c r="K363" s="23" t="n">
        <x:v>0.6234225138818779</x:v>
      </x:c>
      <x:c r="L363" s="24" t="n">
        <x:v>1981</x:v>
      </x:c>
      <x:c r="M363" t="str">
        <x:v>legacy_common_sample_8902245</x:v>
      </x:c>
      <x:c r="N363" s="25" t="n">
        <x:v>46211.51530107639</x:v>
      </x:c>
      <x:c r="O363" s="24" t="n">
        <x:v>8902245</x:v>
      </x:c>
      <x:c r="P363" t="str">
        <x:v>factor_report/gtja191_batch/gtja_164/ic_summary.csv</x:v>
      </x:c>
    </x:row>
    <x:row r="364">
      <x:c r="A364" s="22" t="n">
        <x:f>IF($E364="ranked",1+COUNTIFS($D$5:$D$546,$D364,$E$5:$E$546,"ranked",$F$5:$F$546,"&gt;"&amp;$F364),"")</x:f>
        <x:v>4</x:v>
      </x:c>
      <x:c r="B364" s="22" t="n">
        <x:f>IF($E364="ranked",1+COUNTIFS($D$5:$D$546,$D364,$E$5:$E$546,"ranked",$G$5:$G$546,"&gt;"&amp;$G364),"")</x:f>
        <x:v>16</x:v>
      </x:c>
      <x:c r="C364" t="str">
        <x:v>gtja_144</x:v>
      </x:c>
      <x:c r="D364" s="22" t="n">
        <x:v>20</x:v>
      </x:c>
      <x:c r="E364" t="str">
        <x:v>ranked</x:v>
      </x:c>
      <x:c r="F364" s="23" t="n">
        <x:v>0.06900964811763187</x:v>
      </x:c>
      <x:c r="G364" s="23" t="n">
        <x:f>ABS(F364)</x:f>
        <x:v>0.06900964811763187</x:v>
      </x:c>
      <x:c r="H364" s="23" t="str">
        <x:f>IF(F364&gt;=0,"positive","negative")</x:f>
        <x:v>positive</x:v>
      </x:c>
      <x:c r="I364" s="23" t="n">
        <x:v>0.1600424455375173</x:v>
      </x:c>
      <x:c r="J364" s="23" t="n">
        <x:v>0.4311959110963132</x:v>
      </x:c>
      <x:c r="K364" s="23" t="n">
        <x:v>0.7067137809187279</x:v>
      </x:c>
      <x:c r="L364" s="24" t="n">
        <x:v>1981</x:v>
      </x:c>
      <x:c r="M364" t="str">
        <x:v>legacy_common_sample_8902245</x:v>
      </x:c>
      <x:c r="N364" s="25" t="n">
        <x:v>46211.45256542824</x:v>
      </x:c>
      <x:c r="O364" s="24" t="n">
        <x:v>8902245</x:v>
      </x:c>
      <x:c r="P364" t="str">
        <x:v>factor_report/gtja191_batch/gtja_144/ic_summary.csv</x:v>
      </x:c>
    </x:row>
    <x:row r="365">
      <x:c r="A365" s="22" t="n">
        <x:f>IF($E365="ranked",1+COUNTIFS($D$5:$D$546,$D365,$E$5:$E$546,"ranked",$F$5:$F$546,"&gt;"&amp;$F365),"")</x:f>
        <x:v>5</x:v>
      </x:c>
      <x:c r="B365" s="22" t="n">
        <x:f>IF($E365="ranked",1+COUNTIFS($D$5:$D$546,$D365,$E$5:$E$546,"ranked",$G$5:$G$546,"&gt;"&amp;$G365),"")</x:f>
        <x:v>22</x:v>
      </x:c>
      <x:c r="C365" t="str">
        <x:v>gtja_121</x:v>
      </x:c>
      <x:c r="D365" s="22" t="n">
        <x:v>20</x:v>
      </x:c>
      <x:c r="E365" t="str">
        <x:v>ranked</x:v>
      </x:c>
      <x:c r="F365" s="23" t="n">
        <x:v>0.06405034880037078</x:v>
      </x:c>
      <x:c r="G365" s="23" t="n">
        <x:f>ABS(F365)</x:f>
        <x:v>0.06405034880037078</x:v>
      </x:c>
      <x:c r="H365" s="23" t="str">
        <x:f>IF(F365&gt;=0,"positive","negative")</x:f>
        <x:v>positive</x:v>
      </x:c>
      <x:c r="I365" s="23" t="n">
        <x:v>0.13772742519142997</x:v>
      </x:c>
      <x:c r="J365" s="23" t="n">
        <x:v>0.4650515226821817</x:v>
      </x:c>
      <x:c r="K365" s="23" t="n">
        <x:v>0.6795918367346939</x:v>
      </x:c>
      <x:c r="L365" s="24" t="n">
        <x:v>1960</x:v>
      </x:c>
      <x:c r="M365" t="str">
        <x:v>legacy_common_sample_8902245</x:v>
      </x:c>
      <x:c r="N365" s="25" t="n">
        <x:v>46211.40481090278</x:v>
      </x:c>
      <x:c r="O365" s="24" t="n">
        <x:v>8902245</x:v>
      </x:c>
      <x:c r="P365" t="str">
        <x:v>factor_report/gtja191_batch/gtja_121/ic_summary.csv</x:v>
      </x:c>
    </x:row>
    <x:row r="366">
      <x:c r="A366" s="22" t="n">
        <x:f>IF($E366="ranked",1+COUNTIFS($D$5:$D$546,$D366,$E$5:$E$546,"ranked",$F$5:$F$546,"&gt;"&amp;$F366),"")</x:f>
        <x:v>6</x:v>
      </x:c>
      <x:c r="B366" s="22" t="n">
        <x:f>IF($E366="ranked",1+COUNTIFS($D$5:$D$546,$D366,$E$5:$E$546,"ranked",$G$5:$G$546,"&gt;"&amp;$G366),"")</x:f>
        <x:v>23</x:v>
      </x:c>
      <x:c r="C366" t="str">
        <x:v>gtja_156</x:v>
      </x:c>
      <x:c r="D366" s="22" t="n">
        <x:v>20</x:v>
      </x:c>
      <x:c r="E366" t="str">
        <x:v>ranked</x:v>
      </x:c>
      <x:c r="F366" s="23" t="n">
        <x:v>0.06318085745008127</x:v>
      </x:c>
      <x:c r="G366" s="23" t="n">
        <x:f>ABS(F366)</x:f>
        <x:v>0.06318085745008127</x:v>
      </x:c>
      <x:c r="H366" s="23" t="str">
        <x:f>IF(F366&gt;=0,"positive","negative")</x:f>
        <x:v>positive</x:v>
      </x:c>
      <x:c r="I366" s="23" t="n">
        <x:v>0.11019826229320252</x:v>
      </x:c>
      <x:c r="J366" s="23" t="n">
        <x:v>0.5733380557488021</x:v>
      </x:c>
      <x:c r="K366" s="23" t="n">
        <x:v>0.712771327612317</x:v>
      </x:c>
      <x:c r="L366" s="24" t="n">
        <x:v>1981</x:v>
      </x:c>
      <x:c r="M366" t="str">
        <x:v>legacy_common_sample_8902245</x:v>
      </x:c>
      <x:c r="N366" s="25" t="n">
        <x:v>46211.50185851852</x:v>
      </x:c>
      <x:c r="O366" s="24" t="n">
        <x:v>8902245</x:v>
      </x:c>
      <x:c r="P366" t="str">
        <x:v>factor_report/gtja191_batch/gtja_156/ic_summary.csv</x:v>
      </x:c>
    </x:row>
    <x:row r="367">
      <x:c r="A367" s="22" t="n">
        <x:f>IF($E367="ranked",1+COUNTIFS($D$5:$D$546,$D367,$E$5:$E$546,"ranked",$F$5:$F$546,"&gt;"&amp;$F367),"")</x:f>
        <x:v>7</x:v>
      </x:c>
      <x:c r="B367" s="22" t="n">
        <x:f>IF($E367="ranked",1+COUNTIFS($D$5:$D$546,$D367,$E$5:$E$546,"ranked",$G$5:$G$546,"&gt;"&amp;$G367),"")</x:f>
        <x:v>33</x:v>
      </x:c>
      <x:c r="C367" t="str">
        <x:v>gtja_140</x:v>
      </x:c>
      <x:c r="D367" s="22" t="n">
        <x:v>20</x:v>
      </x:c>
      <x:c r="E367" t="str">
        <x:v>ranked</x:v>
      </x:c>
      <x:c r="F367" s="23" t="n">
        <x:v>0.058904394386351505</x:v>
      </x:c>
      <x:c r="G367" s="23" t="n">
        <x:f>ABS(F367)</x:f>
        <x:v>0.058904394386351505</x:v>
      </x:c>
      <x:c r="H367" s="23" t="str">
        <x:f>IF(F367&gt;=0,"positive","negative")</x:f>
        <x:v>positive</x:v>
      </x:c>
      <x:c r="I367" s="23" t="n">
        <x:v>0.10162398472028311</x:v>
      </x:c>
      <x:c r="J367" s="23" t="n">
        <x:v>0.5796308277862163</x:v>
      </x:c>
      <x:c r="K367" s="23" t="n">
        <x:v>0.7358684480986639</x:v>
      </x:c>
      <x:c r="L367" s="24" t="n">
        <x:v>1946</x:v>
      </x:c>
      <x:c r="M367" t="str">
        <x:v>legacy_common_sample_8902245</x:v>
      </x:c>
      <x:c r="N367" s="25" t="n">
        <x:v>46211.441442916665</x:v>
      </x:c>
      <x:c r="O367" s="24" t="n">
        <x:v>8902245</x:v>
      </x:c>
      <x:c r="P367" t="str">
        <x:v>factor_report/gtja191_batch/gtja_140/ic_summary.csv</x:v>
      </x:c>
    </x:row>
    <x:row r="368">
      <x:c r="A368" s="22" t="n">
        <x:f>IF($E368="ranked",1+COUNTIFS($D$5:$D$546,$D368,$E$5:$E$546,"ranked",$F$5:$F$546,"&gt;"&amp;$F368),"")</x:f>
        <x:v>8</x:v>
      </x:c>
      <x:c r="B368" s="22" t="n">
        <x:f>IF($E368="ranked",1+COUNTIFS($D$5:$D$546,$D368,$E$5:$E$546,"ranked",$G$5:$G$546,"&gt;"&amp;$G368),"")</x:f>
        <x:v>42</x:v>
      </x:c>
      <x:c r="C368" t="str">
        <x:v>gtja_099</x:v>
      </x:c>
      <x:c r="D368" s="22" t="n">
        <x:v>20</x:v>
      </x:c>
      <x:c r="E368" t="str">
        <x:v>ranked</x:v>
      </x:c>
      <x:c r="F368" s="23" t="n">
        <x:v>0.05377091383717746</x:v>
      </x:c>
      <x:c r="G368" s="23" t="n">
        <x:f>ABS(F368)</x:f>
        <x:v>0.05377091383717746</x:v>
      </x:c>
      <x:c r="H368" s="23" t="str">
        <x:f>IF(F368&gt;=0,"positive","negative")</x:f>
        <x:v>positive</x:v>
      </x:c>
      <x:c r="I368" s="23" t="n">
        <x:v>0.06086357969076099</x:v>
      </x:c>
      <x:c r="J368" s="23" t="n">
        <x:v>0.8834661732086687</x:v>
      </x:c>
      <x:c r="K368" s="23" t="n">
        <x:v>0.8096920747097426</x:v>
      </x:c>
      <x:c r="L368" s="24" t="n">
        <x:v>1981</x:v>
      </x:c>
      <x:c r="M368" t="str">
        <x:v>legacy_common_sample_8902245</x:v>
      </x:c>
      <x:c r="N368" s="25" t="n">
        <x:v>46211.34822918982</x:v>
      </x:c>
      <x:c r="O368" s="24" t="n">
        <x:v>8902245</x:v>
      </x:c>
      <x:c r="P368" t="str">
        <x:v>factor_report/gtja191_batch/gtja_099/ic_summary.csv</x:v>
      </x:c>
    </x:row>
    <x:row r="369">
      <x:c r="A369" s="22" t="n">
        <x:f>IF($E369="ranked",1+COUNTIFS($D$5:$D$546,$D369,$E$5:$E$546,"ranked",$F$5:$F$546,"&gt;"&amp;$F369),"")</x:f>
        <x:v>9</x:v>
      </x:c>
      <x:c r="B369" s="22" t="n">
        <x:f>IF($E369="ranked",1+COUNTIFS($D$5:$D$546,$D369,$E$5:$E$546,"ranked",$G$5:$G$546,"&gt;"&amp;$G369),"")</x:f>
        <x:v>43</x:v>
      </x:c>
      <x:c r="C369" t="str">
        <x:v>gtja_120</x:v>
      </x:c>
      <x:c r="D369" s="22" t="n">
        <x:v>20</x:v>
      </x:c>
      <x:c r="E369" t="str">
        <x:v>ranked</x:v>
      </x:c>
      <x:c r="F369" s="23" t="n">
        <x:v>0.05357793930772217</x:v>
      </x:c>
      <x:c r="G369" s="23" t="n">
        <x:f>ABS(F369)</x:f>
        <x:v>0.05357793930772217</x:v>
      </x:c>
      <x:c r="H369" s="23" t="str">
        <x:f>IF(F369&gt;=0,"positive","negative")</x:f>
        <x:v>positive</x:v>
      </x:c>
      <x:c r="I369" s="23" t="n">
        <x:v>0.15056080826428653</x:v>
      </x:c>
      <x:c r="J369" s="23" t="n">
        <x:v>0.3558558161674735</x:v>
      </x:c>
      <x:c r="K369" s="23" t="n">
        <x:v>0.618879353861686</x:v>
      </x:c>
      <x:c r="L369" s="24" t="n">
        <x:v>1981</x:v>
      </x:c>
      <x:c r="M369" t="str">
        <x:v>legacy_common_sample_8902245</x:v>
      </x:c>
      <x:c r="N369" s="25" t="n">
        <x:v>46211.39541752315</x:v>
      </x:c>
      <x:c r="O369" s="24" t="n">
        <x:v>8902245</x:v>
      </x:c>
      <x:c r="P369" t="str">
        <x:v>factor_report/gtja191_batch/gtja_120/ic_summary.csv</x:v>
      </x:c>
    </x:row>
    <x:row r="370">
      <x:c r="A370" s="22" t="n">
        <x:f>IF($E370="ranked",1+COUNTIFS($D$5:$D$546,$D370,$E$5:$E$546,"ranked",$F$5:$F$546,"&gt;"&amp;$F370),"")</x:f>
        <x:v>10</x:v>
      </x:c>
      <x:c r="B370" s="22" t="n">
        <x:f>IF($E370="ranked",1+COUNTIFS($D$5:$D$546,$D370,$E$5:$E$546,"ranked",$G$5:$G$546,"&gt;"&amp;$G370),"")</x:f>
        <x:v>44</x:v>
      </x:c>
      <x:c r="C370" t="str">
        <x:v>gtja_083</x:v>
      </x:c>
      <x:c r="D370" s="22" t="n">
        <x:v>20</x:v>
      </x:c>
      <x:c r="E370" t="str">
        <x:v>ranked</x:v>
      </x:c>
      <x:c r="F370" s="23" t="n">
        <x:v>0.05278327687859521</x:v>
      </x:c>
      <x:c r="G370" s="23" t="n">
        <x:f>ABS(F370)</x:f>
        <x:v>0.05278327687859521</x:v>
      </x:c>
      <x:c r="H370" s="23" t="str">
        <x:f>IF(F370&gt;=0,"positive","negative")</x:f>
        <x:v>positive</x:v>
      </x:c>
      <x:c r="I370" s="23" t="n">
        <x:v>0.06044424555546098</x:v>
      </x:c>
      <x:c r="J370" s="23" t="n">
        <x:v>0.8732556158743613</x:v>
      </x:c>
      <x:c r="K370" s="23" t="n">
        <x:v>0.8081776880363453</x:v>
      </x:c>
      <x:c r="L370" s="24" t="n">
        <x:v>1981</x:v>
      </x:c>
      <x:c r="M370" t="str">
        <x:v>legacy_common_sample_8902245</x:v>
      </x:c>
      <x:c r="N370" s="25" t="n">
        <x:v>46211.31746125</x:v>
      </x:c>
      <x:c r="O370" s="24" t="n">
        <x:v>8902245</x:v>
      </x:c>
      <x:c r="P370" t="str">
        <x:v>factor_report/gtja191_batch/gtja_083/ic_summary.csv</x:v>
      </x:c>
    </x:row>
    <x:row r="371">
      <x:c r="A371" s="22" t="n">
        <x:f>IF($E371="ranked",1+COUNTIFS($D$5:$D$546,$D371,$E$5:$E$546,"ranked",$F$5:$F$546,"&gt;"&amp;$F371),"")</x:f>
        <x:v>11</x:v>
      </x:c>
      <x:c r="B371" s="22" t="n">
        <x:f>IF($E371="ranked",1+COUNTIFS($D$5:$D$546,$D371,$E$5:$E$546,"ranked",$G$5:$G$546,"&gt;"&amp;$G371),"")</x:f>
        <x:v>46</x:v>
      </x:c>
      <x:c r="C371" t="str">
        <x:v>gtja_061</x:v>
      </x:c>
      <x:c r="D371" s="22" t="n">
        <x:v>20</x:v>
      </x:c>
      <x:c r="E371" t="str">
        <x:v>ranked</x:v>
      </x:c>
      <x:c r="F371" s="23" t="n">
        <x:v>0.0524166661641735</x:v>
      </x:c>
      <x:c r="G371" s="23" t="n">
        <x:f>ABS(F371)</x:f>
        <x:v>0.0524166661641735</x:v>
      </x:c>
      <x:c r="H371" s="23" t="str">
        <x:f>IF(F371&gt;=0,"positive","negative")</x:f>
        <x:v>positive</x:v>
      </x:c>
      <x:c r="I371" s="23" t="n">
        <x:v>0.09336431784432507</x:v>
      </x:c>
      <x:c r="J371" s="23" t="n">
        <x:v>0.5614207587482473</x:v>
      </x:c>
      <x:c r="K371" s="23" t="n">
        <x:v>0.7243159525038719</x:v>
      </x:c>
      <x:c r="L371" s="24" t="n">
        <x:v>1937</x:v>
      </x:c>
      <x:c r="M371" t="str">
        <x:v>legacy_common_sample_8902245</x:v>
      </x:c>
      <x:c r="N371" s="25" t="n">
        <x:v>46211.287648680554</x:v>
      </x:c>
      <x:c r="O371" s="24" t="n">
        <x:v>8902245</x:v>
      </x:c>
      <x:c r="P371" t="str">
        <x:v>factor_report/gtja191_batch/gtja_061/ic_summary.csv</x:v>
      </x:c>
    </x:row>
    <x:row r="372">
      <x:c r="A372" s="22" t="n">
        <x:f>IF($E372="ranked",1+COUNTIFS($D$5:$D$546,$D372,$E$5:$E$546,"ranked",$F$5:$F$546,"&gt;"&amp;$F372),"")</x:f>
        <x:v>12</x:v>
      </x:c>
      <x:c r="B372" s="22" t="n">
        <x:f>IF($E372="ranked",1+COUNTIFS($D$5:$D$546,$D372,$E$5:$E$546,"ranked",$G$5:$G$546,"&gt;"&amp;$G372),"")</x:f>
        <x:v>49</x:v>
      </x:c>
      <x:c r="C372" t="str">
        <x:v>gtja_157</x:v>
      </x:c>
      <x:c r="D372" s="22" t="n">
        <x:v>20</x:v>
      </x:c>
      <x:c r="E372" t="str">
        <x:v>ranked</x:v>
      </x:c>
      <x:c r="F372" s="23" t="n">
        <x:v>0.05137294362528669</x:v>
      </x:c>
      <x:c r="G372" s="23" t="n">
        <x:f>ABS(F372)</x:f>
        <x:v>0.05137294362528669</x:v>
      </x:c>
      <x:c r="H372" s="23" t="str">
        <x:f>IF(F372&gt;=0,"positive","negative")</x:f>
        <x:v>positive</x:v>
      </x:c>
      <x:c r="I372" s="23" t="n">
        <x:v>0.11069149955785575</x:v>
      </x:c>
      <x:c r="J372" s="23" t="n">
        <x:v>0.464109202879082</x:v>
      </x:c>
      <x:c r="K372" s="23" t="n">
        <x:v>0.6774356385663807</x:v>
      </x:c>
      <x:c r="L372" s="24" t="n">
        <x:v>1981</x:v>
      </x:c>
      <x:c r="M372" t="str">
        <x:v>legacy_common_sample_8902245</x:v>
      </x:c>
      <x:c r="N372" s="25" t="n">
        <x:v>46211.50636057871</x:v>
      </x:c>
      <x:c r="O372" s="24" t="n">
        <x:v>8902245</x:v>
      </x:c>
      <x:c r="P372" t="str">
        <x:v>factor_report/gtja191_batch/gtja_157/ic_summary.csv</x:v>
      </x:c>
    </x:row>
    <x:row r="373">
      <x:c r="A373" s="22" t="n">
        <x:f>IF($E373="ranked",1+COUNTIFS($D$5:$D$546,$D373,$E$5:$E$546,"ranked",$F$5:$F$546,"&gt;"&amp;$F373),"")</x:f>
        <x:v>13</x:v>
      </x:c>
      <x:c r="B373" s="22" t="n">
        <x:f>IF($E373="ranked",1+COUNTIFS($D$5:$D$546,$D373,$E$5:$E$546,"ranked",$G$5:$G$546,"&gt;"&amp;$G373),"")</x:f>
        <x:v>52</x:v>
      </x:c>
      <x:c r="C373" t="str">
        <x:v>gtja_062</x:v>
      </x:c>
      <x:c r="D373" s="22" t="n">
        <x:v>20</x:v>
      </x:c>
      <x:c r="E373" t="str">
        <x:v>ranked</x:v>
      </x:c>
      <x:c r="F373" s="23" t="n">
        <x:v>0.04954705953979472</x:v>
      </x:c>
      <x:c r="G373" s="23" t="n">
        <x:f>ABS(F373)</x:f>
        <x:v>0.04954705953979472</x:v>
      </x:c>
      <x:c r="H373" s="23" t="str">
        <x:f>IF(F373&gt;=0,"positive","negative")</x:f>
        <x:v>positive</x:v>
      </x:c>
      <x:c r="I373" s="23" t="n">
        <x:v>0.05959154420453773</x:v>
      </x:c>
      <x:c r="J373" s="23" t="n">
        <x:v>0.8314444641631195</x:v>
      </x:c>
      <x:c r="K373" s="23" t="n">
        <x:v>0.8101968702675416</x:v>
      </x:c>
      <x:c r="L373" s="24" t="n">
        <x:v>1981</x:v>
      </x:c>
      <x:c r="M373" t="str">
        <x:v>legacy_common_sample_8902245</x:v>
      </x:c>
      <x:c r="N373" s="25" t="n">
        <x:v>46211.290294004626</x:v>
      </x:c>
      <x:c r="O373" s="24" t="n">
        <x:v>8902245</x:v>
      </x:c>
      <x:c r="P373" t="str">
        <x:v>factor_report/gtja191_batch/gtja_062/ic_summary.csv</x:v>
      </x:c>
    </x:row>
    <x:row r="374">
      <x:c r="A374" s="22" t="n">
        <x:f>IF($E374="ranked",1+COUNTIFS($D$5:$D$546,$D374,$E$5:$E$546,"ranked",$F$5:$F$546,"&gt;"&amp;$F374),"")</x:f>
        <x:v>14</x:v>
      </x:c>
      <x:c r="B374" s="22" t="n">
        <x:f>IF($E374="ranked",1+COUNTIFS($D$5:$D$546,$D374,$E$5:$E$546,"ranked",$G$5:$G$546,"&gt;"&amp;$G374),"")</x:f>
        <x:v>54</x:v>
      </x:c>
      <x:c r="C374" t="str">
        <x:v>gtja_046</x:v>
      </x:c>
      <x:c r="D374" s="22" t="n">
        <x:v>20</x:v>
      </x:c>
      <x:c r="E374" t="str">
        <x:v>ranked</x:v>
      </x:c>
      <x:c r="F374" s="23" t="n">
        <x:v>0.04895945324656493</x:v>
      </x:c>
      <x:c r="G374" s="23" t="n">
        <x:f>ABS(F374)</x:f>
        <x:v>0.04895945324656493</x:v>
      </x:c>
      <x:c r="H374" s="23" t="str">
        <x:f>IF(F374&gt;=0,"positive","negative")</x:f>
        <x:v>positive</x:v>
      </x:c>
      <x:c r="I374" s="23" t="n">
        <x:v>0.13112112927469824</x:v>
      </x:c>
      <x:c r="J374" s="23" t="n">
        <x:v>0.37339102795549506</x:v>
      </x:c>
      <x:c r="K374" s="23" t="n">
        <x:v>0.6304896516910651</x:v>
      </x:c>
      <x:c r="L374" s="24" t="n">
        <x:v>1981</x:v>
      </x:c>
      <x:c r="M374" t="str">
        <x:v>legacy_common_sample_8902245</x:v>
      </x:c>
      <x:c r="N374" s="25" t="n">
        <x:v>46211.26878402778</x:v>
      </x:c>
      <x:c r="O374" s="24" t="n">
        <x:v>8902245</x:v>
      </x:c>
      <x:c r="P374" t="str">
        <x:v>factor_report/gtja191_batch/gtja_046/ic_summary.csv</x:v>
      </x:c>
    </x:row>
    <x:row r="375">
      <x:c r="A375" s="22" t="n">
        <x:f>IF($E375="ranked",1+COUNTIFS($D$5:$D$546,$D375,$E$5:$E$546,"ranked",$F$5:$F$546,"&gt;"&amp;$F375),"")</x:f>
        <x:v>15</x:v>
      </x:c>
      <x:c r="B375" s="22" t="n">
        <x:f>IF($E375="ranked",1+COUNTIFS($D$5:$D$546,$D375,$E$5:$E$546,"ranked",$G$5:$G$546,"&gt;"&amp;$G375),"")</x:f>
        <x:v>60</x:v>
      </x:c>
      <x:c r="C375" t="str">
        <x:v>gtja_016</x:v>
      </x:c>
      <x:c r="D375" s="22" t="n">
        <x:v>20</x:v>
      </x:c>
      <x:c r="E375" t="str">
        <x:v>ranked</x:v>
      </x:c>
      <x:c r="F375" s="23" t="n">
        <x:v>0.045956893896997295</x:v>
      </x:c>
      <x:c r="G375" s="23" t="n">
        <x:f>ABS(F375)</x:f>
        <x:v>0.045956893896997295</x:v>
      </x:c>
      <x:c r="H375" s="23" t="str">
        <x:f>IF(F375&gt;=0,"positive","negative")</x:f>
        <x:v>positive</x:v>
      </x:c>
      <x:c r="I375" s="23" t="n">
        <x:v>0.0587882605896828</x:v>
      </x:c>
      <x:c r="J375" s="23" t="n">
        <x:v>0.7817359016242542</x:v>
      </x:c>
      <x:c r="K375" s="23" t="n">
        <x:v>0.7743563856638062</x:v>
      </x:c>
      <x:c r="L375" s="24" t="n">
        <x:v>1981</x:v>
      </x:c>
      <x:c r="M375" t="str">
        <x:v>legacy_common_sample_8902245</x:v>
      </x:c>
      <x:c r="N375" s="25" t="n">
        <x:v>46211.19679032407</x:v>
      </x:c>
      <x:c r="O375" s="24" t="n">
        <x:v>8902245</x:v>
      </x:c>
      <x:c r="P375" t="str">
        <x:v>factor_report/gtja191_batch/gtja_016/ic_summary.csv</x:v>
      </x:c>
    </x:row>
    <x:row r="376">
      <x:c r="A376" s="22" t="n">
        <x:f>IF($E376="ranked",1+COUNTIFS($D$5:$D$546,$D376,$E$5:$E$546,"ranked",$F$5:$F$546,"&gt;"&amp;$F376),"")</x:f>
        <x:v>16</x:v>
      </x:c>
      <x:c r="B376" s="22" t="n">
        <x:f>IF($E376="ranked",1+COUNTIFS($D$5:$D$546,$D376,$E$5:$E$546,"ranked",$G$5:$G$546,"&gt;"&amp;$G376),"")</x:f>
        <x:v>63</x:v>
      </x:c>
      <x:c r="C376" t="str">
        <x:v>gtja_090</x:v>
      </x:c>
      <x:c r="D376" s="22" t="n">
        <x:v>20</x:v>
      </x:c>
      <x:c r="E376" t="str">
        <x:v>ranked</x:v>
      </x:c>
      <x:c r="F376" s="23" t="n">
        <x:v>0.043954812384740215</x:v>
      </x:c>
      <x:c r="G376" s="23" t="n">
        <x:f>ABS(F376)</x:f>
        <x:v>0.043954812384740215</x:v>
      </x:c>
      <x:c r="H376" s="23" t="str">
        <x:f>IF(F376&gt;=0,"positive","negative")</x:f>
        <x:v>positive</x:v>
      </x:c>
      <x:c r="I376" s="23" t="n">
        <x:v>0.056250806410902174</x:v>
      </x:c>
      <x:c r="J376" s="23" t="n">
        <x:v>0.7814076844278124</x:v>
      </x:c>
      <x:c r="K376" s="23" t="n">
        <x:v>0.784452296819788</x:v>
      </x:c>
      <x:c r="L376" s="24" t="n">
        <x:v>1981</x:v>
      </x:c>
      <x:c r="M376" t="str">
        <x:v>legacy_common_sample_8902245</x:v>
      </x:c>
      <x:c r="N376" s="25" t="n">
        <x:v>46211.33284847222</x:v>
      </x:c>
      <x:c r="O376" s="24" t="n">
        <x:v>8902245</x:v>
      </x:c>
      <x:c r="P376" t="str">
        <x:v>factor_report/gtja191_batch/gtja_090/ic_summary.csv</x:v>
      </x:c>
    </x:row>
    <x:row r="377">
      <x:c r="A377" s="22" t="n">
        <x:f>IF($E377="ranked",1+COUNTIFS($D$5:$D$546,$D377,$E$5:$E$546,"ranked",$F$5:$F$546,"&gt;"&amp;$F377),"")</x:f>
        <x:v>17</x:v>
      </x:c>
      <x:c r="B377" s="22" t="n">
        <x:f>IF($E377="ranked",1+COUNTIFS($D$5:$D$546,$D377,$E$5:$E$546,"ranked",$G$5:$G$546,"&gt;"&amp;$G377),"")</x:f>
        <x:v>65</x:v>
      </x:c>
      <x:c r="C377" t="str">
        <x:v>gtja_034</x:v>
      </x:c>
      <x:c r="D377" s="22" t="n">
        <x:v>20</x:v>
      </x:c>
      <x:c r="E377" t="str">
        <x:v>ranked</x:v>
      </x:c>
      <x:c r="F377" s="23" t="n">
        <x:v>0.04388568023091014</x:v>
      </x:c>
      <x:c r="G377" s="23" t="n">
        <x:f>ABS(F377)</x:f>
        <x:v>0.04388568023091014</x:v>
      </x:c>
      <x:c r="H377" s="23" t="str">
        <x:f>IF(F377&gt;=0,"positive","negative")</x:f>
        <x:v>positive</x:v>
      </x:c>
      <x:c r="I377" s="23" t="n">
        <x:v>0.12856784648346237</x:v>
      </x:c>
      <x:c r="J377" s="23" t="n">
        <x:v>0.3413425785004118</x:v>
      </x:c>
      <x:c r="K377" s="23" t="n">
        <x:v>0.6234225138818779</x:v>
      </x:c>
      <x:c r="L377" s="24" t="n">
        <x:v>1981</x:v>
      </x:c>
      <x:c r="M377" t="str">
        <x:v>legacy_common_sample_8902245</x:v>
      </x:c>
      <x:c r="N377" s="25" t="n">
        <x:v>46211.230695833336</x:v>
      </x:c>
      <x:c r="O377" s="24" t="n">
        <x:v>8902245</x:v>
      </x:c>
      <x:c r="P377" t="str">
        <x:v>factor_report/gtja191_batch/gtja_034/ic_summary.csv</x:v>
      </x:c>
    </x:row>
    <x:row r="378">
      <x:c r="A378" s="22" t="n">
        <x:f>IF($E378="ranked",1+COUNTIFS($D$5:$D$546,$D378,$E$5:$E$546,"ranked",$F$5:$F$546,"&gt;"&amp;$F378),"")</x:f>
        <x:v>18</x:v>
      </x:c>
      <x:c r="B378" s="22" t="n">
        <x:f>IF($E378="ranked",1+COUNTIFS($D$5:$D$546,$D378,$E$5:$E$546,"ranked",$G$5:$G$546,"&gt;"&amp;$G378),"")</x:f>
        <x:v>66</x:v>
      </x:c>
      <x:c r="C378" t="str">
        <x:v>gtja_185</x:v>
      </x:c>
      <x:c r="D378" s="22" t="n">
        <x:v>20</x:v>
      </x:c>
      <x:c r="E378" t="str">
        <x:v>ranked</x:v>
      </x:c>
      <x:c r="F378" s="23" t="n">
        <x:v>0.04305487070574985</x:v>
      </x:c>
      <x:c r="G378" s="23" t="n">
        <x:f>ABS(F378)</x:f>
        <x:v>0.04305487070574985</x:v>
      </x:c>
      <x:c r="H378" s="23" t="str">
        <x:f>IF(F378&gt;=0,"positive","negative")</x:f>
        <x:v>positive</x:v>
      </x:c>
      <x:c r="I378" s="23" t="n">
        <x:v>0.10316897199019846</x:v>
      </x:c>
      <x:c r="J378" s="23" t="n">
        <x:v>0.4173238317218113</x:v>
      </x:c>
      <x:c r="K378" s="23" t="n">
        <x:v>0.6910651186269561</x:v>
      </x:c>
      <x:c r="L378" s="24" t="n">
        <x:v>1981</x:v>
      </x:c>
      <x:c r="M378" t="str">
        <x:v>legacy_common_sample_8902245</x:v>
      </x:c>
      <x:c r="N378" s="25" t="n">
        <x:v>46211.545996712965</x:v>
      </x:c>
      <x:c r="O378" s="24" t="n">
        <x:v>8902245</x:v>
      </x:c>
      <x:c r="P378" t="str">
        <x:v>factor_report/gtja191_batch/gtja_185/ic_summary.csv</x:v>
      </x:c>
    </x:row>
    <x:row r="379">
      <x:c r="A379" s="22" t="n">
        <x:f>IF($E379="ranked",1+COUNTIFS($D$5:$D$546,$D379,$E$5:$E$546,"ranked",$F$5:$F$546,"&gt;"&amp;$F379),"")</x:f>
        <x:v>19</x:v>
      </x:c>
      <x:c r="B379" s="22" t="n">
        <x:f>IF($E379="ranked",1+COUNTIFS($D$5:$D$546,$D379,$E$5:$E$546,"ranked",$G$5:$G$546,"&gt;"&amp;$G379),"")</x:f>
        <x:v>67</x:v>
      </x:c>
      <x:c r="C379" t="str">
        <x:v>gtja_077</x:v>
      </x:c>
      <x:c r="D379" s="22" t="n">
        <x:v>20</x:v>
      </x:c>
      <x:c r="E379" t="str">
        <x:v>ranked</x:v>
      </x:c>
      <x:c r="F379" s="23" t="n">
        <x:v>0.04287942113184183</x:v>
      </x:c>
      <x:c r="G379" s="23" t="n">
        <x:f>ABS(F379)</x:f>
        <x:v>0.04287942113184183</x:v>
      </x:c>
      <x:c r="H379" s="23" t="str">
        <x:f>IF(F379&gt;=0,"positive","negative")</x:f>
        <x:v>positive</x:v>
      </x:c>
      <x:c r="I379" s="23" t="n">
        <x:v>0.08791953664390777</x:v>
      </x:c>
      <x:c r="J379" s="23" t="n">
        <x:v>0.4877120918586311</x:v>
      </x:c>
      <x:c r="K379" s="23" t="n">
        <x:v>0.6855123674911661</x:v>
      </x:c>
      <x:c r="L379" s="24" t="n">
        <x:v>1981</x:v>
      </x:c>
      <x:c r="M379" t="str">
        <x:v>legacy_common_sample_8902245</x:v>
      </x:c>
      <x:c r="N379" s="25" t="n">
        <x:v>46211.309369814815</x:v>
      </x:c>
      <x:c r="O379" s="24" t="n">
        <x:v>8902245</x:v>
      </x:c>
      <x:c r="P379" t="str">
        <x:v>factor_report/gtja191_batch/gtja_077/ic_summary.csv</x:v>
      </x:c>
    </x:row>
    <x:row r="380">
      <x:c r="A380" s="22" t="n">
        <x:f>IF($E380="ranked",1+COUNTIFS($D$5:$D$546,$D380,$E$5:$E$546,"ranked",$F$5:$F$546,"&gt;"&amp;$F380),"")</x:f>
        <x:v>20</x:v>
      </x:c>
      <x:c r="B380" s="22" t="n">
        <x:f>IF($E380="ranked",1+COUNTIFS($D$5:$D$546,$D380,$E$5:$E$546,"ranked",$G$5:$G$546,"&gt;"&amp;$G380),"")</x:f>
        <x:v>72</x:v>
      </x:c>
      <x:c r="C380" t="str">
        <x:v>gtja_049</x:v>
      </x:c>
      <x:c r="D380" s="22" t="n">
        <x:v>20</x:v>
      </x:c>
      <x:c r="E380" t="str">
        <x:v>ranked</x:v>
      </x:c>
      <x:c r="F380" s="23" t="n">
        <x:v>0.04048704282719138</x:v>
      </x:c>
      <x:c r="G380" s="23" t="n">
        <x:f>ABS(F380)</x:f>
        <x:v>0.04048704282719138</x:v>
      </x:c>
      <x:c r="H380" s="23" t="str">
        <x:f>IF(F380&gt;=0,"positive","negative")</x:f>
        <x:v>positive</x:v>
      </x:c>
      <x:c r="I380" s="23" t="n">
        <x:v>0.12070709891165099</x:v>
      </x:c>
      <x:c r="J380" s="23" t="n">
        <x:v>0.3354155902365362</x:v>
      </x:c>
      <x:c r="K380" s="23" t="n">
        <x:v>0.6249369005552751</x:v>
      </x:c>
      <x:c r="L380" s="24" t="n">
        <x:v>1981</x:v>
      </x:c>
      <x:c r="M380" t="str">
        <x:v>legacy_common_sample_8902245</x:v>
      </x:c>
      <x:c r="N380" s="25" t="n">
        <x:v>46211.27667114583</x:v>
      </x:c>
      <x:c r="O380" s="24" t="n">
        <x:v>8902245</x:v>
      </x:c>
      <x:c r="P380" t="str">
        <x:v>factor_report/gtja191_batch/gtja_049/ic_summary.csv</x:v>
      </x:c>
    </x:row>
    <x:row r="381">
      <x:c r="A381" s="22" t="n">
        <x:f>IF($E381="ranked",1+COUNTIFS($D$5:$D$546,$D381,$E$5:$E$546,"ranked",$F$5:$F$546,"&gt;"&amp;$F381),"")</x:f>
        <x:v>21</x:v>
      </x:c>
      <x:c r="B381" s="22" t="n">
        <x:f>IF($E381="ranked",1+COUNTIFS($D$5:$D$546,$D381,$E$5:$E$546,"ranked",$G$5:$G$546,"&gt;"&amp;$G381),"")</x:f>
        <x:v>75</x:v>
      </x:c>
      <x:c r="C381" t="str">
        <x:v>gtja_139</x:v>
      </x:c>
      <x:c r="D381" s="22" t="n">
        <x:v>20</x:v>
      </x:c>
      <x:c r="E381" t="str">
        <x:v>ranked</x:v>
      </x:c>
      <x:c r="F381" s="23" t="n">
        <x:v>0.03993494936333283</x:v>
      </x:c>
      <x:c r="G381" s="23" t="n">
        <x:f>ABS(F381)</x:f>
        <x:v>0.03993494936333283</x:v>
      </x:c>
      <x:c r="H381" s="23" t="str">
        <x:f>IF(F381&gt;=0,"positive","negative")</x:f>
        <x:v>positive</x:v>
      </x:c>
      <x:c r="I381" s="23" t="n">
        <x:v>0.07257327935758602</x:v>
      </x:c>
      <x:c r="J381" s="23" t="n">
        <x:v>0.5502707017904445</x:v>
      </x:c>
      <x:c r="K381" s="23" t="n">
        <x:v>0.7193336698637052</x:v>
      </x:c>
      <x:c r="L381" s="24" t="n">
        <x:v>1981</x:v>
      </x:c>
      <x:c r="M381" t="str">
        <x:v>legacy_common_sample_8902245</x:v>
      </x:c>
      <x:c r="N381" s="25" t="n">
        <x:v>46211.435147662036</x:v>
      </x:c>
      <x:c r="O381" s="24" t="n">
        <x:v>8902245</x:v>
      </x:c>
      <x:c r="P381" t="str">
        <x:v>factor_report/gtja191_batch/gtja_139/ic_summary.csv</x:v>
      </x:c>
    </x:row>
    <x:row r="382">
      <x:c r="A382" s="22" t="n">
        <x:f>IF($E382="ranked",1+COUNTIFS($D$5:$D$546,$D382,$E$5:$E$546,"ranked",$F$5:$F$546,"&gt;"&amp;$F382),"")</x:f>
        <x:v>22</x:v>
      </x:c>
      <x:c r="B382" s="22" t="n">
        <x:f>IF($E382="ranked",1+COUNTIFS($D$5:$D$546,$D382,$E$5:$E$546,"ranked",$G$5:$G$546,"&gt;"&amp;$G382),"")</x:f>
        <x:v>76</x:v>
      </x:c>
      <x:c r="C382" t="str">
        <x:v>gtja_105</x:v>
      </x:c>
      <x:c r="D382" s="22" t="n">
        <x:v>20</x:v>
      </x:c>
      <x:c r="E382" t="str">
        <x:v>ranked</x:v>
      </x:c>
      <x:c r="F382" s="23" t="n">
        <x:v>0.03959051741431011</x:v>
      </x:c>
      <x:c r="G382" s="23" t="n">
        <x:f>ABS(F382)</x:f>
        <x:v>0.03959051741431011</x:v>
      </x:c>
      <x:c r="H382" s="23" t="str">
        <x:f>IF(F382&gt;=0,"positive","negative")</x:f>
        <x:v>positive</x:v>
      </x:c>
      <x:c r="I382" s="23" t="n">
        <x:v>0.052563513803642214</x:v>
      </x:c>
      <x:c r="J382" s="23" t="n">
        <x:v>0.7531938896285663</x:v>
      </x:c>
      <x:c r="K382" s="23" t="n">
        <x:v>0.7864714790509844</x:v>
      </x:c>
      <x:c r="L382" s="24" t="n">
        <x:v>1981</x:v>
      </x:c>
      <x:c r="M382" t="str">
        <x:v>legacy_common_sample_8902245</x:v>
      </x:c>
      <x:c r="N382" s="25" t="n">
        <x:v>46211.35838456018</x:v>
      </x:c>
      <x:c r="O382" s="24" t="n">
        <x:v>8902245</x:v>
      </x:c>
      <x:c r="P382" t="str">
        <x:v>factor_report/gtja191_batch/gtja_105/ic_summary.csv</x:v>
      </x:c>
    </x:row>
    <x:row r="383">
      <x:c r="A383" s="22" t="n">
        <x:f>IF($E383="ranked",1+COUNTIFS($D$5:$D$546,$D383,$E$5:$E$546,"ranked",$F$5:$F$546,"&gt;"&amp;$F383),"")</x:f>
        <x:v>23</x:v>
      </x:c>
      <x:c r="B383" s="22" t="n">
        <x:f>IF($E383="ranked",1+COUNTIFS($D$5:$D$546,$D383,$E$5:$E$546,"ranked",$G$5:$G$546,"&gt;"&amp;$G383),"")</x:f>
        <x:v>79</x:v>
      </x:c>
      <x:c r="C383" t="str">
        <x:v>gtja_035</x:v>
      </x:c>
      <x:c r="D383" s="22" t="n">
        <x:v>20</x:v>
      </x:c>
      <x:c r="E383" t="str">
        <x:v>ranked</x:v>
      </x:c>
      <x:c r="F383" s="23" t="n">
        <x:v>0.03934209835890449</x:v>
      </x:c>
      <x:c r="G383" s="23" t="n">
        <x:f>ABS(F383)</x:f>
        <x:v>0.03934209835890449</x:v>
      </x:c>
      <x:c r="H383" s="23" t="str">
        <x:f>IF(F383&gt;=0,"positive","negative")</x:f>
        <x:v>positive</x:v>
      </x:c>
      <x:c r="I383" s="23" t="n">
        <x:v>0.09802067572825025</x:v>
      </x:c>
      <x:c r="J383" s="23" t="n">
        <x:v>0.4013653044789796</x:v>
      </x:c>
      <x:c r="K383" s="23" t="n">
        <x:v>0.6567390206966178</x:v>
      </x:c>
      <x:c r="L383" s="24" t="n">
        <x:v>1981</x:v>
      </x:c>
      <x:c r="M383" t="str">
        <x:v>legacy_common_sample_8902245</x:v>
      </x:c>
      <x:c r="N383" s="25" t="n">
        <x:v>46211.2335940162</x:v>
      </x:c>
      <x:c r="O383" s="24" t="n">
        <x:v>8902245</x:v>
      </x:c>
      <x:c r="P383" t="str">
        <x:v>factor_report/gtja191_batch/gtja_035/ic_summary.csv</x:v>
      </x:c>
    </x:row>
    <x:row r="384">
      <x:c r="A384" s="22" t="n">
        <x:f>IF($E384="ranked",1+COUNTIFS($D$5:$D$546,$D384,$E$5:$E$546,"ranked",$F$5:$F$546,"&gt;"&amp;$F384),"")</x:f>
        <x:v>24</x:v>
      </x:c>
      <x:c r="B384" s="22" t="n">
        <x:f>IF($E384="ranked",1+COUNTIFS($D$5:$D$546,$D384,$E$5:$E$546,"ranked",$G$5:$G$546,"&gt;"&amp;$G384),"")</x:f>
        <x:v>82</x:v>
      </x:c>
      <x:c r="C384" t="str">
        <x:v>gtja_054</x:v>
      </x:c>
      <x:c r="D384" s="22" t="n">
        <x:v>20</x:v>
      </x:c>
      <x:c r="E384" t="str">
        <x:v>ranked</x:v>
      </x:c>
      <x:c r="F384" s="23" t="n">
        <x:v>0.038602647215080194</x:v>
      </x:c>
      <x:c r="G384" s="23" t="n">
        <x:f>ABS(F384)</x:f>
        <x:v>0.038602647215080194</x:v>
      </x:c>
      <x:c r="H384" s="23" t="str">
        <x:f>IF(F384&gt;=0,"positive","negative")</x:f>
        <x:v>positive</x:v>
      </x:c>
      <x:c r="I384" s="23" t="n">
        <x:v>0.11603224447110118</x:v>
      </x:c>
      <x:c r="J384" s="23" t="n">
        <x:v>0.33268896409820387</x:v>
      </x:c>
      <x:c r="K384" s="23" t="n">
        <x:v>0.6249369005552751</x:v>
      </x:c>
      <x:c r="L384" s="24" t="n">
        <x:v>1981</x:v>
      </x:c>
      <x:c r="M384" t="str">
        <x:v>legacy_common_sample_8902245</x:v>
      </x:c>
      <x:c r="N384" s="25" t="n">
        <x:v>46211.27909778935</x:v>
      </x:c>
      <x:c r="O384" s="24" t="n">
        <x:v>8902245</x:v>
      </x:c>
      <x:c r="P384" t="str">
        <x:v>factor_report/gtja191_batch/gtja_054/ic_summary.csv</x:v>
      </x:c>
    </x:row>
    <x:row r="385">
      <x:c r="A385" s="22" t="n">
        <x:f>IF($E385="ranked",1+COUNTIFS($D$5:$D$546,$D385,$E$5:$E$546,"ranked",$F$5:$F$546,"&gt;"&amp;$F385),"")</x:f>
        <x:v>25</x:v>
      </x:c>
      <x:c r="B385" s="22" t="n">
        <x:f>IF($E385="ranked",1+COUNTIFS($D$5:$D$546,$D385,$E$5:$E$546,"ranked",$G$5:$G$546,"&gt;"&amp;$G385),"")</x:f>
        <x:v>84</x:v>
      </x:c>
      <x:c r="C385" t="str">
        <x:v>gtja_148</x:v>
      </x:c>
      <x:c r="D385" s="22" t="n">
        <x:v>20</x:v>
      </x:c>
      <x:c r="E385" t="str">
        <x:v>ranked</x:v>
      </x:c>
      <x:c r="F385" s="23" t="n">
        <x:v>0.03800825867623931</x:v>
      </x:c>
      <x:c r="G385" s="23" t="n">
        <x:f>ABS(F385)</x:f>
        <x:v>0.03800825867623931</x:v>
      </x:c>
      <x:c r="H385" s="23" t="str">
        <x:f>IF(F385&gt;=0,"positive","negative")</x:f>
        <x:v>positive</x:v>
      </x:c>
      <x:c r="I385" s="23" t="n">
        <x:v>0.09543178137946179</x:v>
      </x:c>
      <x:c r="J385" s="23" t="n">
        <x:v>0.3982767389105785</x:v>
      </x:c>
      <x:c r="K385" s="23" t="n">
        <x:v>0.6481952211489578</x:v>
      </x:c>
      <x:c r="L385" s="24" t="n">
        <x:v>1967</x:v>
      </x:c>
      <x:c r="M385" t="str">
        <x:v>legacy_common_sample_8902245</x:v>
      </x:c>
      <x:c r="N385" s="25" t="n">
        <x:v>46211.47057563657</x:v>
      </x:c>
      <x:c r="O385" s="24" t="n">
        <x:v>8902245</x:v>
      </x:c>
      <x:c r="P385" t="str">
        <x:v>factor_report/gtja191_batch/gtja_148/ic_summary.csv</x:v>
      </x:c>
    </x:row>
    <x:row r="386">
      <x:c r="A386" s="22" t="n">
        <x:f>IF($E386="ranked",1+COUNTIFS($D$5:$D$546,$D386,$E$5:$E$546,"ranked",$F$5:$F$546,"&gt;"&amp;$F386),"")</x:f>
        <x:v>26</x:v>
      </x:c>
      <x:c r="B386" s="22" t="n">
        <x:f>IF($E386="ranked",1+COUNTIFS($D$5:$D$546,$D386,$E$5:$E$546,"ranked",$G$5:$G$546,"&gt;"&amp;$G386),"")</x:f>
        <x:v>86</x:v>
      </x:c>
      <x:c r="C386" t="str">
        <x:v>gtja_103</x:v>
      </x:c>
      <x:c r="D386" s="22" t="n">
        <x:v>20</x:v>
      </x:c>
      <x:c r="E386" t="str">
        <x:v>ranked</x:v>
      </x:c>
      <x:c r="F386" s="23" t="n">
        <x:v>0.03790450316082415</x:v>
      </x:c>
      <x:c r="G386" s="23" t="n">
        <x:f>ABS(F386)</x:f>
        <x:v>0.03790450316082415</x:v>
      </x:c>
      <x:c r="H386" s="23" t="str">
        <x:f>IF(F386&gt;=0,"positive","negative")</x:f>
        <x:v>positive</x:v>
      </x:c>
      <x:c r="I386" s="23" t="n">
        <x:v>0.104257390630995</x:v>
      </x:c>
      <x:c r="J386" s="23" t="n">
        <x:v>0.36356658200838765</x:v>
      </x:c>
      <x:c r="K386" s="23" t="n">
        <x:v>0.6264512872286724</x:v>
      </x:c>
      <x:c r="L386" s="24" t="n">
        <x:v>1981</x:v>
      </x:c>
      <x:c r="M386" t="str">
        <x:v>legacy_common_sample_8902245</x:v>
      </x:c>
      <x:c r="N386" s="25" t="n">
        <x:v>46211.35333019676</x:v>
      </x:c>
      <x:c r="O386" s="24" t="n">
        <x:v>8902245</x:v>
      </x:c>
      <x:c r="P386" t="str">
        <x:v>factor_report/gtja191_batch/gtja_103/ic_summary.csv</x:v>
      </x:c>
    </x:row>
    <x:row r="387">
      <x:c r="A387" s="22" t="n">
        <x:f>IF($E387="ranked",1+COUNTIFS($D$5:$D$546,$D387,$E$5:$E$546,"ranked",$F$5:$F$546,"&gt;"&amp;$F387),"")</x:f>
        <x:v>27</x:v>
      </x:c>
      <x:c r="B387" s="22" t="n">
        <x:f>IF($E387="ranked",1+COUNTIFS($D$5:$D$546,$D387,$E$5:$E$546,"ranked",$G$5:$G$546,"&gt;"&amp;$G387),"")</x:f>
        <x:v>89</x:v>
      </x:c>
      <x:c r="C387" t="str">
        <x:v>gtja_032</x:v>
      </x:c>
      <x:c r="D387" s="22" t="n">
        <x:v>20</x:v>
      </x:c>
      <x:c r="E387" t="str">
        <x:v>ranked</x:v>
      </x:c>
      <x:c r="F387" s="23" t="n">
        <x:v>0.03773642741915077</x:v>
      </x:c>
      <x:c r="G387" s="23" t="n">
        <x:f>ABS(F387)</x:f>
        <x:v>0.03773642741915077</x:v>
      </x:c>
      <x:c r="H387" s="23" t="str">
        <x:f>IF(F387&gt;=0,"positive","negative")</x:f>
        <x:v>positive</x:v>
      </x:c>
      <x:c r="I387" s="23" t="n">
        <x:v>0.050327468143486626</x:v>
      </x:c>
      <x:c r="J387" s="23" t="n">
        <x:v>0.7498177200482639</x:v>
      </x:c>
      <x:c r="K387" s="23" t="n">
        <x:v>0.7657748611812216</x:v>
      </x:c>
      <x:c r="L387" s="24" t="n">
        <x:v>1981</x:v>
      </x:c>
      <x:c r="M387" t="str">
        <x:v>legacy_common_sample_8902245</x:v>
      </x:c>
      <x:c r="N387" s="25" t="n">
        <x:v>46211.2231158912</x:v>
      </x:c>
      <x:c r="O387" s="24" t="n">
        <x:v>8902245</x:v>
      </x:c>
      <x:c r="P387" t="str">
        <x:v>factor_report/gtja191_batch/gtja_032/ic_summary.csv</x:v>
      </x:c>
    </x:row>
    <x:row r="388">
      <x:c r="A388" s="22" t="n">
        <x:f>IF($E388="ranked",1+COUNTIFS($D$5:$D$546,$D388,$E$5:$E$546,"ranked",$F$5:$F$546,"&gt;"&amp;$F388),"")</x:f>
        <x:v>28</x:v>
      </x:c>
      <x:c r="B388" s="22" t="n">
        <x:f>IF($E388="ranked",1+COUNTIFS($D$5:$D$546,$D388,$E$5:$E$546,"ranked",$G$5:$G$546,"&gt;"&amp;$G388),"")</x:f>
        <x:v>90</x:v>
      </x:c>
      <x:c r="C388" t="str">
        <x:v>gtja_154</x:v>
      </x:c>
      <x:c r="D388" s="22" t="n">
        <x:v>20</x:v>
      </x:c>
      <x:c r="E388" t="str">
        <x:v>ranked</x:v>
      </x:c>
      <x:c r="F388" s="23" t="n">
        <x:v>0.03766733258790282</x:v>
      </x:c>
      <x:c r="G388" s="23" t="n">
        <x:f>ABS(F388)</x:f>
        <x:v>0.03766733258790282</x:v>
      </x:c>
      <x:c r="H388" s="23" t="str">
        <x:f>IF(F388&gt;=0,"positive","negative")</x:f>
        <x:v>positive</x:v>
      </x:c>
      <x:c r="I388" s="23" t="n">
        <x:v>0.08357481590984377</x:v>
      </x:c>
      <x:c r="J388" s="23" t="n">
        <x:v>0.45070195103434524</x:v>
      </x:c>
      <x:c r="K388" s="23" t="n">
        <x:v>0.6440586001085187</x:v>
      </x:c>
      <x:c r="L388" s="24" t="n">
        <x:v>1843</x:v>
      </x:c>
      <x:c r="M388" t="str">
        <x:v>legacy_common_sample_8902245</x:v>
      </x:c>
      <x:c r="N388" s="25" t="n">
        <x:v>46211.49520696759</x:v>
      </x:c>
      <x:c r="O388" s="24" t="n">
        <x:v>8902245</x:v>
      </x:c>
      <x:c r="P388" t="str">
        <x:v>factor_report/gtja191_batch/gtja_154/ic_summary.csv</x:v>
      </x:c>
    </x:row>
    <x:row r="389">
      <x:c r="A389" s="22" t="n">
        <x:f>IF($E389="ranked",1+COUNTIFS($D$5:$D$546,$D389,$E$5:$E$546,"ranked",$F$5:$F$546,"&gt;"&amp;$F389),"")</x:f>
        <x:v>29</x:v>
      </x:c>
      <x:c r="B389" s="22" t="n">
        <x:f>IF($E389="ranked",1+COUNTIFS($D$5:$D$546,$D389,$E$5:$E$546,"ranked",$G$5:$G$546,"&gt;"&amp;$G389),"")</x:f>
        <x:v>91</x:v>
      </x:c>
      <x:c r="C389" t="str">
        <x:v>gtja_064</x:v>
      </x:c>
      <x:c r="D389" s="22" t="n">
        <x:v>20</x:v>
      </x:c>
      <x:c r="E389" t="str">
        <x:v>ranked</x:v>
      </x:c>
      <x:c r="F389" s="23" t="n">
        <x:v>0.03708133958236362</x:v>
      </x:c>
      <x:c r="G389" s="23" t="n">
        <x:f>ABS(F389)</x:f>
        <x:v>0.03708133958236362</x:v>
      </x:c>
      <x:c r="H389" s="23" t="str">
        <x:f>IF(F389&gt;=0,"positive","negative")</x:f>
        <x:v>positive</x:v>
      </x:c>
      <x:c r="I389" s="23" t="n">
        <x:v>0.049170969307831436</x:v>
      </x:c>
      <x:c r="J389" s="23" t="n">
        <x:v>0.7541307422723045</x:v>
      </x:c>
      <x:c r="K389" s="23" t="n">
        <x:v>0.7745901639344263</x:v>
      </x:c>
      <x:c r="L389" s="24" t="n">
        <x:v>1952</x:v>
      </x:c>
      <x:c r="M389" t="str">
        <x:v>legacy_common_sample_8902245</x:v>
      </x:c>
      <x:c r="N389" s="25" t="n">
        <x:v>46211.2933559838</x:v>
      </x:c>
      <x:c r="O389" s="24" t="n">
        <x:v>8902245</x:v>
      </x:c>
      <x:c r="P389" t="str">
        <x:v>factor_report/gtja191_batch/gtja_064/ic_summary.csv</x:v>
      </x:c>
    </x:row>
    <x:row r="390">
      <x:c r="A390" s="22" t="n">
        <x:f>IF($E390="ranked",1+COUNTIFS($D$5:$D$546,$D390,$E$5:$E$546,"ranked",$F$5:$F$546,"&gt;"&amp;$F390),"")</x:f>
        <x:v>30</x:v>
      </x:c>
      <x:c r="B390" s="22" t="n">
        <x:f>IF($E390="ranked",1+COUNTIFS($D$5:$D$546,$D390,$E$5:$E$546,"ranked",$G$5:$G$546,"&gt;"&amp;$G390),"")</x:f>
        <x:v>96</x:v>
      </x:c>
      <x:c r="C390" t="str">
        <x:v>gtja_098</x:v>
      </x:c>
      <x:c r="D390" s="22" t="n">
        <x:v>20</x:v>
      </x:c>
      <x:c r="E390" t="str">
        <x:v>ranked</x:v>
      </x:c>
      <x:c r="F390" s="23" t="n">
        <x:v>0.03461128060512544</x:v>
      </x:c>
      <x:c r="G390" s="23" t="n">
        <x:f>ABS(F390)</x:f>
        <x:v>0.03461128060512544</x:v>
      </x:c>
      <x:c r="H390" s="23" t="str">
        <x:f>IF(F390&gt;=0,"positive","negative")</x:f>
        <x:v>positive</x:v>
      </x:c>
      <x:c r="I390" s="23" t="n">
        <x:v>0.1071797678042114</x:v>
      </x:c>
      <x:c r="J390" s="23" t="n">
        <x:v>0.32292737066151267</x:v>
      </x:c>
      <x:c r="K390" s="23" t="n">
        <x:v>0.6274608783442706</x:v>
      </x:c>
      <x:c r="L390" s="24" t="n">
        <x:v>1981</x:v>
      </x:c>
      <x:c r="M390" t="str">
        <x:v>legacy_common_sample_8902245</x:v>
      </x:c>
      <x:c r="N390" s="25" t="n">
        <x:v>46211.34572662037</x:v>
      </x:c>
      <x:c r="O390" s="24" t="n">
        <x:v>8902245</x:v>
      </x:c>
      <x:c r="P390" t="str">
        <x:v>factor_report/gtja191_batch/gtja_098/ic_summary.csv</x:v>
      </x:c>
    </x:row>
    <x:row r="391">
      <x:c r="A391" s="22" t="n">
        <x:f>IF($E391="ranked",1+COUNTIFS($D$5:$D$546,$D391,$E$5:$E$546,"ranked",$F$5:$F$546,"&gt;"&amp;$F391),"")</x:f>
        <x:v>31</x:v>
      </x:c>
      <x:c r="B391" s="22" t="n">
        <x:f>IF($E391="ranked",1+COUNTIFS($D$5:$D$546,$D391,$E$5:$E$546,"ranked",$G$5:$G$546,"&gt;"&amp;$G391),"")</x:f>
        <x:v>101</x:v>
      </x:c>
      <x:c r="C391" t="str">
        <x:v>gtja_184</x:v>
      </x:c>
      <x:c r="D391" s="22" t="n">
        <x:v>20</x:v>
      </x:c>
      <x:c r="E391" t="str">
        <x:v>ranked</x:v>
      </x:c>
      <x:c r="F391" s="23" t="n">
        <x:v>0.03304714221422142</x:v>
      </x:c>
      <x:c r="G391" s="23" t="n">
        <x:f>ABS(F391)</x:f>
        <x:v>0.03304714221422142</x:v>
      </x:c>
      <x:c r="H391" s="23" t="str">
        <x:f>IF(F391&gt;=0,"positive","negative")</x:f>
        <x:v>positive</x:v>
      </x:c>
      <x:c r="I391" s="23" t="n">
        <x:v>0.1029528743334474</x:v>
      </x:c>
      <x:c r="J391" s="23" t="n">
        <x:v>0.32099290503718403</x:v>
      </x:c>
      <x:c r="K391" s="23" t="n">
        <x:v>0.6400217509516042</x:v>
      </x:c>
      <x:c r="L391" s="24" t="n">
        <x:v>1839</x:v>
      </x:c>
      <x:c r="M391" t="str">
        <x:v>legacy_common_sample_8902245</x:v>
      </x:c>
      <x:c r="N391" s="25" t="n">
        <x:v>46211.54342018518</x:v>
      </x:c>
      <x:c r="O391" s="24" t="n">
        <x:v>8902245</x:v>
      </x:c>
      <x:c r="P391" t="str">
        <x:v>factor_report/gtja191_batch/gtja_184/ic_summary.csv</x:v>
      </x:c>
    </x:row>
    <x:row r="392">
      <x:c r="A392" s="22" t="n">
        <x:f>IF($E392="ranked",1+COUNTIFS($D$5:$D$546,$D392,$E$5:$E$546,"ranked",$F$5:$F$546,"&gt;"&amp;$F392),"")</x:f>
        <x:v>32</x:v>
      </x:c>
      <x:c r="B392" s="22" t="n">
        <x:f>IF($E392="ranked",1+COUNTIFS($D$5:$D$546,$D392,$E$5:$E$546,"ranked",$G$5:$G$546,"&gt;"&amp;$G392),"")</x:f>
        <x:v>102</x:v>
      </x:c>
      <x:c r="C392" t="str">
        <x:v>gtja_008</x:v>
      </x:c>
      <x:c r="D392" s="22" t="n">
        <x:v>20</x:v>
      </x:c>
      <x:c r="E392" t="str">
        <x:v>ranked</x:v>
      </x:c>
      <x:c r="F392" s="23" t="n">
        <x:v>0.03263710560902991</x:v>
      </x:c>
      <x:c r="G392" s="23" t="n">
        <x:f>ABS(F392)</x:f>
        <x:v>0.03263710560902991</x:v>
      </x:c>
      <x:c r="H392" s="23" t="str">
        <x:f>IF(F392&gt;=0,"positive","negative")</x:f>
        <x:v>positive</x:v>
      </x:c>
      <x:c r="I392" s="23" t="n">
        <x:v>0.12327443811446455</x:v>
      </x:c>
      <x:c r="J392" s="23" t="n">
        <x:v>0.26475160713144147</x:v>
      </x:c>
      <x:c r="K392" s="23" t="n">
        <x:v>0.6042402826855123</x:v>
      </x:c>
      <x:c r="L392" s="24" t="n">
        <x:v>1981</x:v>
      </x:c>
      <x:c r="M392" t="str">
        <x:v>legacy_common_sample_8902245</x:v>
      </x:c>
      <x:c r="N392" s="25" t="n">
        <x:v>46211.178455532405</x:v>
      </x:c>
      <x:c r="O392" s="24" t="n">
        <x:v>8902245</x:v>
      </x:c>
      <x:c r="P392" t="str">
        <x:v>factor_report/gtja191_batch/gtja_008/ic_summary.csv</x:v>
      </x:c>
    </x:row>
    <x:row r="393">
      <x:c r="A393" s="22" t="n">
        <x:f>IF($E393="ranked",1+COUNTIFS($D$5:$D$546,$D393,$E$5:$E$546,"ranked",$F$5:$F$546,"&gt;"&amp;$F393),"")</x:f>
        <x:v>33</x:v>
      </x:c>
      <x:c r="B393" s="22" t="n">
        <x:f>IF($E393="ranked",1+COUNTIFS($D$5:$D$546,$D393,$E$5:$E$546,"ranked",$G$5:$G$546,"&gt;"&amp;$G393),"")</x:f>
        <x:v>103</x:v>
      </x:c>
      <x:c r="C393" t="str">
        <x:v>gtja_056</x:v>
      </x:c>
      <x:c r="D393" s="22" t="n">
        <x:v>20</x:v>
      </x:c>
      <x:c r="E393" t="str">
        <x:v>ranked</x:v>
      </x:c>
      <x:c r="F393" s="23" t="n">
        <x:v>0.03241313674768896</x:v>
      </x:c>
      <x:c r="G393" s="23" t="n">
        <x:f>ABS(F393)</x:f>
        <x:v>0.03241313674768896</x:v>
      </x:c>
      <x:c r="H393" s="23" t="str">
        <x:f>IF(F393&gt;=0,"positive","negative")</x:f>
        <x:v>positive</x:v>
      </x:c>
      <x:c r="I393" s="23" t="n">
        <x:v>0.08848711684236264</x:v>
      </x:c>
      <x:c r="J393" s="23" t="n">
        <x:v>0.3663034564165094</x:v>
      </x:c>
      <x:c r="K393" s="23" t="n">
        <x:v>0.6263959390862944</x:v>
      </x:c>
      <x:c r="L393" s="24" t="n">
        <x:v>1970</x:v>
      </x:c>
      <x:c r="M393" t="str">
        <x:v>legacy_common_sample_8902245</x:v>
      </x:c>
      <x:c r="N393" s="25" t="n">
        <x:v>46211.28159711805</x:v>
      </x:c>
      <x:c r="O393" s="24" t="n">
        <x:v>8902245</x:v>
      </x:c>
      <x:c r="P393" t="str">
        <x:v>factor_report/gtja191_batch/gtja_056/ic_summary.csv</x:v>
      </x:c>
    </x:row>
    <x:row r="394">
      <x:c r="A394" s="22" t="n">
        <x:f>IF($E394="ranked",1+COUNTIFS($D$5:$D$546,$D394,$E$5:$E$546,"ranked",$F$5:$F$546,"&gt;"&amp;$F394),"")</x:f>
        <x:v>34</x:v>
      </x:c>
      <x:c r="B394" s="22" t="n">
        <x:f>IF($E394="ranked",1+COUNTIFS($D$5:$D$546,$D394,$E$5:$E$546,"ranked",$G$5:$G$546,"&gt;"&amp;$G394),"")</x:f>
        <x:v>104</x:v>
      </x:c>
      <x:c r="C394" t="str">
        <x:v>gtja_033</x:v>
      </x:c>
      <x:c r="D394" s="22" t="n">
        <x:v>20</x:v>
      </x:c>
      <x:c r="E394" t="str">
        <x:v>ranked</x:v>
      </x:c>
      <x:c r="F394" s="23" t="n">
        <x:v>0.03213346568996951</x:v>
      </x:c>
      <x:c r="G394" s="23" t="n">
        <x:f>ABS(F394)</x:f>
        <x:v>0.03213346568996951</x:v>
      </x:c>
      <x:c r="H394" s="23" t="str">
        <x:f>IF(F394&gt;=0,"positive","negative")</x:f>
        <x:v>positive</x:v>
      </x:c>
      <x:c r="I394" s="23" t="n">
        <x:v>0.11613755386915903</x:v>
      </x:c>
      <x:c r="J394" s="23" t="n">
        <x:v>0.2766845401804414</x:v>
      </x:c>
      <x:c r="K394" s="23" t="n">
        <x:v>0.6147859922178989</x:v>
      </x:c>
      <x:c r="L394" s="24" t="n">
        <x:v>1799</x:v>
      </x:c>
      <x:c r="M394" t="str">
        <x:v>legacy_common_sample_8902245</x:v>
      </x:c>
      <x:c r="N394" s="25" t="n">
        <x:v>46211.22782114583</x:v>
      </x:c>
      <x:c r="O394" s="24" t="n">
        <x:v>8902245</x:v>
      </x:c>
      <x:c r="P394" t="str">
        <x:v>factor_report/gtja191_batch/gtja_033/ic_summary.csv</x:v>
      </x:c>
    </x:row>
    <x:row r="395">
      <x:c r="A395" s="22" t="n">
        <x:f>IF($E395="ranked",1+COUNTIFS($D$5:$D$546,$D395,$E$5:$E$546,"ranked",$F$5:$F$546,"&gt;"&amp;$F395),"")</x:f>
        <x:v>35</x:v>
      </x:c>
      <x:c r="B395" s="22" t="n">
        <x:f>IF($E395="ranked",1+COUNTIFS($D$5:$D$546,$D395,$E$5:$E$546,"ranked",$G$5:$G$546,"&gt;"&amp;$G395),"")</x:f>
        <x:v>105</x:v>
      </x:c>
      <x:c r="C395" t="str">
        <x:v>gtja_166</x:v>
      </x:c>
      <x:c r="D395" s="22" t="n">
        <x:v>20</x:v>
      </x:c>
      <x:c r="E395" t="str">
        <x:v>ranked</x:v>
      </x:c>
      <x:c r="F395" s="23" t="n">
        <x:v>0.031560567818774</x:v>
      </x:c>
      <x:c r="G395" s="23" t="n">
        <x:f>ABS(F395)</x:f>
        <x:v>0.031560567818774</x:v>
      </x:c>
      <x:c r="H395" s="23" t="str">
        <x:f>IF(F395&gt;=0,"positive","negative")</x:f>
        <x:v>positive</x:v>
      </x:c>
      <x:c r="I395" s="23" t="n">
        <x:v>0.09028592668954233</x:v>
      </x:c>
      <x:c r="J395" s="23" t="n">
        <x:v>0.34956242878580995</x:v>
      </x:c>
      <x:c r="K395" s="23" t="n">
        <x:v>0.6395759717314488</x:v>
      </x:c>
      <x:c r="L395" s="24" t="n">
        <x:v>1981</x:v>
      </x:c>
      <x:c r="M395" t="str">
        <x:v>legacy_common_sample_8902245</x:v>
      </x:c>
      <x:c r="N395" s="25" t="n">
        <x:v>46211.52024034722</x:v>
      </x:c>
      <x:c r="O395" s="24" t="n">
        <x:v>8902245</x:v>
      </x:c>
      <x:c r="P395" t="str">
        <x:v>factor_report/gtja191_batch/gtja_166/ic_summary.csv</x:v>
      </x:c>
    </x:row>
    <x:row r="396">
      <x:c r="A396" s="22" t="n">
        <x:f>IF($E396="ranked",1+COUNTIFS($D$5:$D$546,$D396,$E$5:$E$546,"ranked",$F$5:$F$546,"&gt;"&amp;$F396),"")</x:f>
        <x:v>36</x:v>
      </x:c>
      <x:c r="B396" s="22" t="n">
        <x:f>IF($E396="ranked",1+COUNTIFS($D$5:$D$546,$D396,$E$5:$E$546,"ranked",$G$5:$G$546,"&gt;"&amp;$G396),"")</x:f>
        <x:v>106</x:v>
      </x:c>
      <x:c r="C396" t="str">
        <x:v>gtja_086</x:v>
      </x:c>
      <x:c r="D396" s="22" t="n">
        <x:v>20</x:v>
      </x:c>
      <x:c r="E396" t="str">
        <x:v>ranked</x:v>
      </x:c>
      <x:c r="F396" s="23" t="n">
        <x:v>0.031187852970758673</x:v>
      </x:c>
      <x:c r="G396" s="23" t="n">
        <x:f>ABS(F396)</x:f>
        <x:v>0.031187852970758673</x:v>
      </x:c>
      <x:c r="H396" s="23" t="str">
        <x:f>IF(F396&gt;=0,"positive","negative")</x:f>
        <x:v>positive</x:v>
      </x:c>
      <x:c r="I396" s="23" t="n">
        <x:v>0.09537633457491719</x:v>
      </x:c>
      <x:c r="J396" s="23" t="n">
        <x:v>0.3269978146021214</x:v>
      </x:c>
      <x:c r="K396" s="23" t="n">
        <x:v>0.6451287228672388</x:v>
      </x:c>
      <x:c r="L396" s="24" t="n">
        <x:v>1981</x:v>
      </x:c>
      <x:c r="M396" t="str">
        <x:v>legacy_common_sample_8902245</x:v>
      </x:c>
      <x:c r="N396" s="25" t="n">
        <x:v>46211.32645658565</x:v>
      </x:c>
      <x:c r="O396" s="24" t="n">
        <x:v>8902245</x:v>
      </x:c>
      <x:c r="P396" t="str">
        <x:v>factor_report/gtja191_batch/gtja_086/ic_summary.csv</x:v>
      </x:c>
    </x:row>
    <x:row r="397">
      <x:c r="A397" s="22" t="n">
        <x:f>IF($E397="ranked",1+COUNTIFS($D$5:$D$546,$D397,$E$5:$E$546,"ranked",$F$5:$F$546,"&gt;"&amp;$F397),"")</x:f>
        <x:v>37</x:v>
      </x:c>
      <x:c r="B397" s="22" t="n">
        <x:f>IF($E397="ranked",1+COUNTIFS($D$5:$D$546,$D397,$E$5:$E$546,"ranked",$G$5:$G$546,"&gt;"&amp;$G397),"")</x:f>
        <x:v>108</x:v>
      </x:c>
      <x:c r="C397" t="str">
        <x:v>gtja_026</x:v>
      </x:c>
      <x:c r="D397" s="22" t="n">
        <x:v>20</x:v>
      </x:c>
      <x:c r="E397" t="str">
        <x:v>ranked</x:v>
      </x:c>
      <x:c r="F397" s="23" t="n">
        <x:v>0.030547769477213424</x:v>
      </x:c>
      <x:c r="G397" s="23" t="n">
        <x:f>ABS(F397)</x:f>
        <x:v>0.030547769477213424</x:v>
      </x:c>
      <x:c r="H397" s="23" t="str">
        <x:f>IF(F397&gt;=0,"positive","negative")</x:f>
        <x:v>positive</x:v>
      </x:c>
      <x:c r="I397" s="23" t="n">
        <x:v>0.12363195768515851</x:v>
      </x:c>
      <x:c r="J397" s="23" t="n">
        <x:v>0.24708635250285738</x:v>
      </x:c>
      <x:c r="K397" s="23" t="n">
        <x:v>0.5861495844875346</x:v>
      </x:c>
      <x:c r="L397" s="24" t="n">
        <x:v>1805</x:v>
      </x:c>
      <x:c r="M397" t="str">
        <x:v>legacy_common_sample_8902245</x:v>
      </x:c>
      <x:c r="N397" s="25" t="n">
        <x:v>46211.21334347222</x:v>
      </x:c>
      <x:c r="O397" s="24" t="n">
        <x:v>8902245</x:v>
      </x:c>
      <x:c r="P397" t="str">
        <x:v>factor_report/gtja191_batch/gtja_026/ic_summary.csv</x:v>
      </x:c>
    </x:row>
    <x:row r="398">
      <x:c r="A398" s="22" t="n">
        <x:f>IF($E398="ranked",1+COUNTIFS($D$5:$D$546,$D398,$E$5:$E$546,"ranked",$F$5:$F$546,"&gt;"&amp;$F398),"")</x:f>
        <x:v>38</x:v>
      </x:c>
      <x:c r="B398" s="22" t="n">
        <x:f>IF($E398="ranked",1+COUNTIFS($D$5:$D$546,$D398,$E$5:$E$546,"ranked",$G$5:$G$546,"&gt;"&amp;$G398),"")</x:f>
        <x:v>109</x:v>
      </x:c>
      <x:c r="C398" t="str">
        <x:v>gtja_025</x:v>
      </x:c>
      <x:c r="D398" s="22" t="n">
        <x:v>20</x:v>
      </x:c>
      <x:c r="E398" t="str">
        <x:v>ranked</x:v>
      </x:c>
      <x:c r="F398" s="23" t="n">
        <x:v>0.0303902036840893</x:v>
      </x:c>
      <x:c r="G398" s="23" t="n">
        <x:f>ABS(F398)</x:f>
        <x:v>0.0303902036840893</x:v>
      </x:c>
      <x:c r="H398" s="23" t="str">
        <x:f>IF(F398&gt;=0,"positive","negative")</x:f>
        <x:v>positive</x:v>
      </x:c>
      <x:c r="I398" s="23" t="n">
        <x:v>0.12358260783534632</x:v>
      </x:c>
      <x:c r="J398" s="23" t="n">
        <x:v>0.2459100371516621</x:v>
      </x:c>
      <x:c r="K398" s="23" t="n">
        <x:v>0.5992174399105645</x:v>
      </x:c>
      <x:c r="L398" s="24" t="n">
        <x:v>1789</x:v>
      </x:c>
      <x:c r="M398" t="str">
        <x:v>legacy_common_sample_8902245</x:v>
      </x:c>
      <x:c r="N398" s="25" t="n">
        <x:v>46211.209765810185</x:v>
      </x:c>
      <x:c r="O398" s="24" t="n">
        <x:v>8902245</x:v>
      </x:c>
      <x:c r="P398" t="str">
        <x:v>factor_report/gtja191_batch/gtja_025/ic_summary.csv</x:v>
      </x:c>
    </x:row>
    <x:row r="399">
      <x:c r="A399" s="22" t="n">
        <x:f>IF($E399="ranked",1+COUNTIFS($D$5:$D$546,$D399,$E$5:$E$546,"ranked",$F$5:$F$546,"&gt;"&amp;$F399),"")</x:f>
        <x:v>39</x:v>
      </x:c>
      <x:c r="B399" s="22" t="n">
        <x:f>IF($E399="ranked",1+COUNTIFS($D$5:$D$546,$D399,$E$5:$E$546,"ranked",$G$5:$G$546,"&gt;"&amp;$G399),"")</x:f>
        <x:v>112</x:v>
      </x:c>
      <x:c r="C399" t="str">
        <x:v>gtja_190</x:v>
      </x:c>
      <x:c r="D399" s="22" t="n">
        <x:v>20</x:v>
      </x:c>
      <x:c r="E399" t="str">
        <x:v>ranked</x:v>
      </x:c>
      <x:c r="F399" s="23" t="n">
        <x:v>0.029581587819414487</x:v>
      </x:c>
      <x:c r="G399" s="23" t="n">
        <x:f>ABS(F399)</x:f>
        <x:v>0.029581587819414487</x:v>
      </x:c>
      <x:c r="H399" s="23" t="str">
        <x:f>IF(F399&gt;=0,"positive","negative")</x:f>
        <x:v>positive</x:v>
      </x:c>
      <x:c r="I399" s="23" t="n">
        <x:v>0.07822043890188278</x:v>
      </x:c>
      <x:c r="J399" s="23" t="n">
        <x:v>0.37818232976831906</x:v>
      </x:c>
      <x:c r="K399" s="23" t="n">
        <x:v>0.6370519939424533</x:v>
      </x:c>
      <x:c r="L399" s="24" t="n">
        <x:v>1981</x:v>
      </x:c>
      <x:c r="M399" t="str">
        <x:v>legacy_common_sample_8902245</x:v>
      </x:c>
      <x:c r="N399" s="25" t="n">
        <x:v>46211.55394319444</x:v>
      </x:c>
      <x:c r="O399" s="24" t="n">
        <x:v>8902245</x:v>
      </x:c>
      <x:c r="P399" t="str">
        <x:v>factor_report/gtja191_batch/gtja_190/ic_summary.csv</x:v>
      </x:c>
    </x:row>
    <x:row r="400">
      <x:c r="A400" s="22" t="n">
        <x:f>IF($E400="ranked",1+COUNTIFS($D$5:$D$546,$D400,$E$5:$E$546,"ranked",$F$5:$F$546,"&gt;"&amp;$F400),"")</x:f>
        <x:v>40</x:v>
      </x:c>
      <x:c r="B400" s="22" t="n">
        <x:f>IF($E400="ranked",1+COUNTIFS($D$5:$D$546,$D400,$E$5:$E$546,"ranked",$G$5:$G$546,"&gt;"&amp;$G400),"")</x:f>
        <x:v>113</x:v>
      </x:c>
      <x:c r="C400" t="str">
        <x:v>gtja_017</x:v>
      </x:c>
      <x:c r="D400" s="22" t="n">
        <x:v>20</x:v>
      </x:c>
      <x:c r="E400" t="str">
        <x:v>ranked</x:v>
      </x:c>
      <x:c r="F400" s="23" t="n">
        <x:v>0.02944576464845126</x:v>
      </x:c>
      <x:c r="G400" s="23" t="n">
        <x:f>ABS(F400)</x:f>
        <x:v>0.02944576464845126</x:v>
      </x:c>
      <x:c r="H400" s="23" t="str">
        <x:f>IF(F400&gt;=0,"positive","negative")</x:f>
        <x:v>positive</x:v>
      </x:c>
      <x:c r="I400" s="23" t="n">
        <x:v>0.12074792952012793</x:v>
      </x:c>
      <x:c r="J400" s="23" t="n">
        <x:v>0.24386144562042228</x:v>
      </x:c>
      <x:c r="K400" s="23" t="n">
        <x:v>0.5896012115093388</x:v>
      </x:c>
      <x:c r="L400" s="24" t="n">
        <x:v>1981</x:v>
      </x:c>
      <x:c r="M400" t="str">
        <x:v>legacy_common_sample_8902245</x:v>
      </x:c>
      <x:c r="N400" s="25" t="n">
        <x:v>46211.200878738426</x:v>
      </x:c>
      <x:c r="O400" s="24" t="n">
        <x:v>8902245</x:v>
      </x:c>
      <x:c r="P400" t="str">
        <x:v>factor_report/gtja191_batch/gtja_017/ic_summary.csv</x:v>
      </x:c>
    </x:row>
    <x:row r="401">
      <x:c r="A401" s="22" t="n">
        <x:f>IF($E401="ranked",1+COUNTIFS($D$5:$D$546,$D401,$E$5:$E$546,"ranked",$F$5:$F$546,"&gt;"&amp;$F401),"")</x:f>
        <x:v>41</x:v>
      </x:c>
      <x:c r="B401" s="22" t="n">
        <x:f>IF($E401="ranked",1+COUNTIFS($D$5:$D$546,$D401,$E$5:$E$546,"ranked",$G$5:$G$546,"&gt;"&amp;$G401),"")</x:f>
        <x:v>116</x:v>
      </x:c>
      <x:c r="C401" t="str">
        <x:v>gtja_087</x:v>
      </x:c>
      <x:c r="D401" s="22" t="n">
        <x:v>20</x:v>
      </x:c>
      <x:c r="E401" t="str">
        <x:v>ranked</x:v>
      </x:c>
      <x:c r="F401" s="23" t="n">
        <x:v>0.028545089065096254</x:v>
      </x:c>
      <x:c r="G401" s="23" t="n">
        <x:f>ABS(F401)</x:f>
        <x:v>0.028545089065096254</x:v>
      </x:c>
      <x:c r="H401" s="23" t="str">
        <x:f>IF(F401&gt;=0,"positive","negative")</x:f>
        <x:v>positive</x:v>
      </x:c>
      <x:c r="I401" s="23" t="n">
        <x:v>0.08815126591871315</x:v>
      </x:c>
      <x:c r="J401" s="23" t="n">
        <x:v>0.3238193889514702</x:v>
      </x:c>
      <x:c r="K401" s="23" t="n">
        <x:v>0.6214033316506815</x:v>
      </x:c>
      <x:c r="L401" s="24" t="n">
        <x:v>1981</x:v>
      </x:c>
      <x:c r="M401" t="str">
        <x:v>legacy_common_sample_8902245</x:v>
      </x:c>
      <x:c r="N401" s="25" t="n">
        <x:v>46211.33017637731</x:v>
      </x:c>
      <x:c r="O401" s="24" t="n">
        <x:v>8902245</x:v>
      </x:c>
      <x:c r="P401" t="str">
        <x:v>factor_report/gtja191_batch/gtja_087/ic_summary.csv</x:v>
      </x:c>
    </x:row>
    <x:row r="402">
      <x:c r="A402" s="22" t="n">
        <x:f>IF($E402="ranked",1+COUNTIFS($D$5:$D$546,$D402,$E$5:$E$546,"ranked",$F$5:$F$546,"&gt;"&amp;$F402),"")</x:f>
        <x:v>42</x:v>
      </x:c>
      <x:c r="B402" s="22" t="n">
        <x:f>IF($E402="ranked",1+COUNTIFS($D$5:$D$546,$D402,$E$5:$E$546,"ranked",$G$5:$G$546,"&gt;"&amp;$G402),"")</x:f>
        <x:v>117</x:v>
      </x:c>
      <x:c r="C402" t="str">
        <x:v>gtja_065</x:v>
      </x:c>
      <x:c r="D402" s="22" t="n">
        <x:v>20</x:v>
      </x:c>
      <x:c r="E402" t="str">
        <x:v>ranked</x:v>
      </x:c>
      <x:c r="F402" s="23" t="n">
        <x:v>0.028293083254012495</x:v>
      </x:c>
      <x:c r="G402" s="23" t="n">
        <x:f>ABS(F402)</x:f>
        <x:v>0.028293083254012495</x:v>
      </x:c>
      <x:c r="H402" s="23" t="str">
        <x:f>IF(F402&gt;=0,"positive","negative")</x:f>
        <x:v>positive</x:v>
      </x:c>
      <x:c r="I402" s="23" t="n">
        <x:v>0.12588998121335337</x:v>
      </x:c>
      <x:c r="J402" s="23" t="n">
        <x:v>0.22474451883555766</x:v>
      </x:c>
      <x:c r="K402" s="23" t="n">
        <x:v>0.5901060070671378</x:v>
      </x:c>
      <x:c r="L402" s="24" t="n">
        <x:v>1981</x:v>
      </x:c>
      <x:c r="M402" t="str">
        <x:v>legacy_common_sample_8902245</x:v>
      </x:c>
      <x:c r="N402" s="25" t="n">
        <x:v>46211.29584099537</x:v>
      </x:c>
      <x:c r="O402" s="24" t="n">
        <x:v>8902245</x:v>
      </x:c>
      <x:c r="P402" t="str">
        <x:v>factor_report/gtja191_batch/gtja_065/ic_summary.csv</x:v>
      </x:c>
    </x:row>
    <x:row r="403">
      <x:c r="A403" s="22" t="n">
        <x:f>IF($E403="ranked",1+COUNTIFS($D$5:$D$546,$D403,$E$5:$E$546,"ranked",$F$5:$F$546,"&gt;"&amp;$F403),"")</x:f>
        <x:v>43</x:v>
      </x:c>
      <x:c r="B403" s="22" t="n">
        <x:f>IF($E403="ranked",1+COUNTIFS($D$5:$D$546,$D403,$E$5:$E$546,"ranked",$G$5:$G$546,"&gt;"&amp;$G403),"")</x:f>
        <x:v>119</x:v>
      </x:c>
      <x:c r="C403" t="str">
        <x:v>gtja_168</x:v>
      </x:c>
      <x:c r="D403" s="22" t="n">
        <x:v>20</x:v>
      </x:c>
      <x:c r="E403" t="str">
        <x:v>ranked</x:v>
      </x:c>
      <x:c r="F403" s="23" t="n">
        <x:v>0.027973862548659086</x:v>
      </x:c>
      <x:c r="G403" s="23" t="n">
        <x:f>ABS(F403)</x:f>
        <x:v>0.027973862548659086</x:v>
      </x:c>
      <x:c r="H403" s="23" t="str">
        <x:f>IF(F403&gt;=0,"positive","negative")</x:f>
        <x:v>positive</x:v>
      </x:c>
      <x:c r="I403" s="23" t="n">
        <x:v>0.08046810068219426</x:v>
      </x:c>
      <x:c r="J403" s="23" t="n">
        <x:v>0.34763915528640105</x:v>
      </x:c>
      <x:c r="K403" s="23" t="n">
        <x:v>0.6400807672892479</x:v>
      </x:c>
      <x:c r="L403" s="24" t="n">
        <x:v>1981</x:v>
      </x:c>
      <x:c r="M403" t="str">
        <x:v>legacy_common_sample_8902245</x:v>
      </x:c>
      <x:c r="N403" s="25" t="n">
        <x:v>46211.52286168982</x:v>
      </x:c>
      <x:c r="O403" s="24" t="n">
        <x:v>8902245</x:v>
      </x:c>
      <x:c r="P403" t="str">
        <x:v>factor_report/gtja191_batch/gtja_168/ic_summary.csv</x:v>
      </x:c>
    </x:row>
    <x:row r="404">
      <x:c r="A404" s="22" t="n">
        <x:f>IF($E404="ranked",1+COUNTIFS($D$5:$D$546,$D404,$E$5:$E$546,"ranked",$F$5:$F$546,"&gt;"&amp;$F404),"")</x:f>
        <x:v>44</x:v>
      </x:c>
      <x:c r="B404" s="22" t="n">
        <x:f>IF($E404="ranked",1+COUNTIFS($D$5:$D$546,$D404,$E$5:$E$546,"ranked",$G$5:$G$546,"&gt;"&amp;$G404),"")</x:f>
        <x:v>121</x:v>
      </x:c>
      <x:c r="C404" t="str">
        <x:v>gtja_136</x:v>
      </x:c>
      <x:c r="D404" s="22" t="n">
        <x:v>20</x:v>
      </x:c>
      <x:c r="E404" t="str">
        <x:v>ranked</x:v>
      </x:c>
      <x:c r="F404" s="23" t="n">
        <x:v>0.027085990344603763</x:v>
      </x:c>
      <x:c r="G404" s="23" t="n">
        <x:f>ABS(F404)</x:f>
        <x:v>0.027085990344603763</x:v>
      </x:c>
      <x:c r="H404" s="23" t="str">
        <x:f>IF(F404&gt;=0,"positive","negative")</x:f>
        <x:v>positive</x:v>
      </x:c>
      <x:c r="I404" s="23" t="n">
        <x:v>0.07234314056502635</x:v>
      </x:c>
      <x:c r="J404" s="23" t="n">
        <x:v>0.37440993206891887</x:v>
      </x:c>
      <x:c r="K404" s="23" t="n">
        <x:v>0.6653205451792025</x:v>
      </x:c>
      <x:c r="L404" s="24" t="n">
        <x:v>1981</x:v>
      </x:c>
      <x:c r="M404" t="str">
        <x:v>legacy_common_sample_8902245</x:v>
      </x:c>
      <x:c r="N404" s="25" t="n">
        <x:v>46211.42709479167</x:v>
      </x:c>
      <x:c r="O404" s="24" t="n">
        <x:v>8902245</x:v>
      </x:c>
      <x:c r="P404" t="str">
        <x:v>factor_report/gtja191_batch/gtja_136/ic_summary.csv</x:v>
      </x:c>
    </x:row>
    <x:row r="405">
      <x:c r="A405" s="22" t="n">
        <x:f>IF($E405="ranked",1+COUNTIFS($D$5:$D$546,$D405,$E$5:$E$546,"ranked",$F$5:$F$546,"&gt;"&amp;$F405),"")</x:f>
        <x:v>45</x:v>
      </x:c>
      <x:c r="B405" s="22" t="n">
        <x:f>IF($E405="ranked",1+COUNTIFS($D$5:$D$546,$D405,$E$5:$E$546,"ranked",$G$5:$G$546,"&gt;"&amp;$G405),"")</x:f>
        <x:v>122</x:v>
      </x:c>
      <x:c r="C405" t="str">
        <x:v>gtja_001</x:v>
      </x:c>
      <x:c r="D405" s="22" t="n">
        <x:v>20</x:v>
      </x:c>
      <x:c r="E405" t="str">
        <x:v>ranked</x:v>
      </x:c>
      <x:c r="F405" s="23" t="n">
        <x:v>0.027015385108046932</x:v>
      </x:c>
      <x:c r="G405" s="23" t="n">
        <x:f>ABS(F405)</x:f>
        <x:v>0.027015385108046932</x:v>
      </x:c>
      <x:c r="H405" s="23" t="str">
        <x:f>IF(F405&gt;=0,"positive","negative")</x:f>
        <x:v>positive</x:v>
      </x:c>
      <x:c r="I405" s="23" t="n">
        <x:v>0.05807042058723976</x:v>
      </x:c>
      <x:c r="J405" s="23" t="n">
        <x:v>0.46521765874695975</x:v>
      </x:c>
      <x:c r="K405" s="23" t="n">
        <x:v>0.6769308430085815</x:v>
      </x:c>
      <x:c r="L405" s="24" t="n">
        <x:v>1981</x:v>
      </x:c>
      <x:c r="M405" t="str">
        <x:v>legacy_common_sample_8902245</x:v>
      </x:c>
      <x:c r="N405" s="25" t="n">
        <x:v>46211.15197799769</x:v>
      </x:c>
      <x:c r="O405" s="24" t="n">
        <x:v>8902245</x:v>
      </x:c>
      <x:c r="P405" t="str">
        <x:v>factor_report/gtja191_batch/gtja_001/ic_summary.csv</x:v>
      </x:c>
    </x:row>
    <x:row r="406">
      <x:c r="A406" s="22" t="n">
        <x:f>IF($E406="ranked",1+COUNTIFS($D$5:$D$546,$D406,$E$5:$E$546,"ranked",$F$5:$F$546,"&gt;"&amp;$F406),"")</x:f>
        <x:v>46</x:v>
      </x:c>
      <x:c r="B406" s="22" t="n">
        <x:f>IF($E406="ranked",1+COUNTIFS($D$5:$D$546,$D406,$E$5:$E$546,"ranked",$G$5:$G$546,"&gt;"&amp;$G406),"")</x:f>
        <x:v>124</x:v>
      </x:c>
      <x:c r="C406" t="str">
        <x:v>gtja_072</x:v>
      </x:c>
      <x:c r="D406" s="22" t="n">
        <x:v>20</x:v>
      </x:c>
      <x:c r="E406" t="str">
        <x:v>ranked</x:v>
      </x:c>
      <x:c r="F406" s="23" t="n">
        <x:v>0.0259470444569019</x:v>
      </x:c>
      <x:c r="G406" s="23" t="n">
        <x:f>ABS(F406)</x:f>
        <x:v>0.0259470444569019</x:v>
      </x:c>
      <x:c r="H406" s="23" t="str">
        <x:f>IF(F406&gt;=0,"positive","negative")</x:f>
        <x:v>positive</x:v>
      </x:c>
      <x:c r="I406" s="23" t="n">
        <x:v>0.13337445599066247</x:v>
      </x:c>
      <x:c r="J406" s="23" t="n">
        <x:v>0.1945428325399764</x:v>
      </x:c>
      <x:c r="K406" s="23" t="n">
        <x:v>0.5381120646138314</x:v>
      </x:c>
      <x:c r="L406" s="24" t="n">
        <x:v>1981</x:v>
      </x:c>
      <x:c r="M406" t="str">
        <x:v>legacy_common_sample_8902245</x:v>
      </x:c>
      <x:c r="N406" s="25" t="n">
        <x:v>46211.29907770833</x:v>
      </x:c>
      <x:c r="O406" s="24" t="n">
        <x:v>8902245</x:v>
      </x:c>
      <x:c r="P406" t="str">
        <x:v>factor_report/gtja191_batch/gtja_072/ic_summary.csv</x:v>
      </x:c>
    </x:row>
    <x:row r="407">
      <x:c r="A407" s="22" t="n">
        <x:f>IF($E407="ranked",1+COUNTIFS($D$5:$D$546,$D407,$E$5:$E$546,"ranked",$F$5:$F$546,"&gt;"&amp;$F407),"")</x:f>
        <x:v>47</x:v>
      </x:c>
      <x:c r="B407" s="22" t="n">
        <x:f>IF($E407="ranked",1+COUNTIFS($D$5:$D$546,$D407,$E$5:$E$546,"ranked",$G$5:$G$546,"&gt;"&amp;$G407),"")</x:f>
        <x:v>127</x:v>
      </x:c>
      <x:c r="C407" t="str">
        <x:v>gtja_038</x:v>
      </x:c>
      <x:c r="D407" s="22" t="n">
        <x:v>20</x:v>
      </x:c>
      <x:c r="E407" t="str">
        <x:v>ranked</x:v>
      </x:c>
      <x:c r="F407" s="23" t="n">
        <x:v>0.024956186800785343</x:v>
      </x:c>
      <x:c r="G407" s="23" t="n">
        <x:f>ABS(F407)</x:f>
        <x:v>0.024956186800785343</x:v>
      </x:c>
      <x:c r="H407" s="23" t="str">
        <x:f>IF(F407&gt;=0,"positive","negative")</x:f>
        <x:v>positive</x:v>
      </x:c>
      <x:c r="I407" s="23" t="n">
        <x:v>0.07624253048381201</x:v>
      </x:c>
      <x:c r="J407" s="23" t="n">
        <x:v>0.327326318295326</x:v>
      </x:c>
      <x:c r="K407" s="23" t="n">
        <x:v>0.6375567895002524</x:v>
      </x:c>
      <x:c r="L407" s="24" t="n">
        <x:v>1981</x:v>
      </x:c>
      <x:c r="M407" t="str">
        <x:v>legacy_common_sample_8902245</x:v>
      </x:c>
      <x:c r="N407" s="25" t="n">
        <x:v>46211.24138539352</x:v>
      </x:c>
      <x:c r="O407" s="24" t="n">
        <x:v>8902245</x:v>
      </x:c>
      <x:c r="P407" t="str">
        <x:v>factor_report/gtja191_batch/gtja_038/ic_summary.csv</x:v>
      </x:c>
    </x:row>
    <x:row r="408">
      <x:c r="A408" s="22" t="n">
        <x:f>IF($E408="ranked",1+COUNTIFS($D$5:$D$546,$D408,$E$5:$E$546,"ranked",$F$5:$F$546,"&gt;"&amp;$F408),"")</x:f>
        <x:v>48</x:v>
      </x:c>
      <x:c r="B408" s="22" t="n">
        <x:f>IF($E408="ranked",1+COUNTIFS($D$5:$D$546,$D408,$E$5:$E$546,"ranked",$G$5:$G$546,"&gt;"&amp;$G408),"")</x:f>
        <x:v>128</x:v>
      </x:c>
      <x:c r="C408" t="str">
        <x:v>gtja_047</x:v>
      </x:c>
      <x:c r="D408" s="22" t="n">
        <x:v>20</x:v>
      </x:c>
      <x:c r="E408" t="str">
        <x:v>ranked</x:v>
      </x:c>
      <x:c r="F408" s="23" t="n">
        <x:v>0.024927053410138605</x:v>
      </x:c>
      <x:c r="G408" s="23" t="n">
        <x:f>ABS(F408)</x:f>
        <x:v>0.024927053410138605</x:v>
      </x:c>
      <x:c r="H408" s="23" t="str">
        <x:f>IF(F408&gt;=0,"positive","negative")</x:f>
        <x:v>positive</x:v>
      </x:c>
      <x:c r="I408" s="23" t="n">
        <x:v>0.12964249137038794</x:v>
      </x:c>
      <x:c r="J408" s="23" t="n">
        <x:v>0.1922753346271489</x:v>
      </x:c>
      <x:c r="K408" s="23" t="n">
        <x:v>0.547198384654215</x:v>
      </x:c>
      <x:c r="L408" s="24" t="n">
        <x:v>1981</x:v>
      </x:c>
      <x:c r="M408" t="str">
        <x:v>legacy_common_sample_8902245</x:v>
      </x:c>
      <x:c r="N408" s="25" t="n">
        <x:v>46211.27178611111</x:v>
      </x:c>
      <x:c r="O408" s="24" t="n">
        <x:v>8902245</x:v>
      </x:c>
      <x:c r="P408" t="str">
        <x:v>factor_report/gtja191_batch/gtja_047/ic_summary.csv</x:v>
      </x:c>
    </x:row>
    <x:row r="409">
      <x:c r="A409" s="22" t="n">
        <x:f>IF($E409="ranked",1+COUNTIFS($D$5:$D$546,$D409,$E$5:$E$546,"ranked",$F$5:$F$546,"&gt;"&amp;$F409),"")</x:f>
        <x:v>49</x:v>
      </x:c>
      <x:c r="B409" s="22" t="n">
        <x:f>IF($E409="ranked",1+COUNTIFS($D$5:$D$546,$D409,$E$5:$E$546,"ranked",$G$5:$G$546,"&gt;"&amp;$G409),"")</x:f>
        <x:v>129</x:v>
      </x:c>
      <x:c r="C409" t="str">
        <x:v>gtja_082</x:v>
      </x:c>
      <x:c r="D409" s="22" t="n">
        <x:v>20</x:v>
      </x:c>
      <x:c r="E409" t="str">
        <x:v>ranked</x:v>
      </x:c>
      <x:c r="F409" s="23" t="n">
        <x:v>0.024805974874621117</x:v>
      </x:c>
      <x:c r="G409" s="23" t="n">
        <x:f>ABS(F409)</x:f>
        <x:v>0.024805974874621117</x:v>
      </x:c>
      <x:c r="H409" s="23" t="str">
        <x:f>IF(F409&gt;=0,"positive","negative")</x:f>
        <x:v>positive</x:v>
      </x:c>
      <x:c r="I409" s="23" t="n">
        <x:v>0.13499841269894594</x:v>
      </x:c>
      <x:c r="J409" s="23" t="n">
        <x:v>0.1837501225287725</x:v>
      </x:c>
      <x:c r="K409" s="23" t="n">
        <x:v>0.5310449268046441</x:v>
      </x:c>
      <x:c r="L409" s="24" t="n">
        <x:v>1981</x:v>
      </x:c>
      <x:c r="M409" t="str">
        <x:v>legacy_common_sample_8902245</x:v>
      </x:c>
      <x:c r="N409" s="25" t="n">
        <x:v>46211.314943969905</x:v>
      </x:c>
      <x:c r="O409" s="24" t="n">
        <x:v>8902245</x:v>
      </x:c>
      <x:c r="P409" t="str">
        <x:v>factor_report/gtja191_batch/gtja_082/ic_summary.csv</x:v>
      </x:c>
    </x:row>
    <x:row r="410">
      <x:c r="A410" s="22" t="n">
        <x:f>IF($E410="ranked",1+COUNTIFS($D$5:$D$546,$D410,$E$5:$E$546,"ranked",$F$5:$F$546,"&gt;"&amp;$F410),"")</x:f>
        <x:v>50</x:v>
      </x:c>
      <x:c r="B410" s="22" t="n">
        <x:f>IF($E410="ranked",1+COUNTIFS($D$5:$D$546,$D410,$E$5:$E$546,"ranked",$G$5:$G$546,"&gt;"&amp;$G410),"")</x:f>
        <x:v>131</x:v>
      </x:c>
      <x:c r="C410" t="str">
        <x:v>gtja_113</x:v>
      </x:c>
      <x:c r="D410" s="22" t="n">
        <x:v>20</x:v>
      </x:c>
      <x:c r="E410" t="str">
        <x:v>ranked</x:v>
      </x:c>
      <x:c r="F410" s="23" t="n">
        <x:v>0.024701835081301665</x:v>
      </x:c>
      <x:c r="G410" s="23" t="n">
        <x:f>ABS(F410)</x:f>
        <x:v>0.024701835081301665</x:v>
      </x:c>
      <x:c r="H410" s="23" t="str">
        <x:f>IF(F410&gt;=0,"positive","negative")</x:f>
        <x:v>positive</x:v>
      </x:c>
      <x:c r="I410" s="23" t="n">
        <x:v>0.05625777151537266</x:v>
      </x:c>
      <x:c r="J410" s="23" t="n">
        <x:v>0.4390830709416172</x:v>
      </x:c>
      <x:c r="K410" s="23" t="n">
        <x:v>0.6784452296819788</x:v>
      </x:c>
      <x:c r="L410" s="24" t="n">
        <x:v>1981</x:v>
      </x:c>
      <x:c r="M410" t="str">
        <x:v>legacy_common_sample_8902245</x:v>
      </x:c>
      <x:c r="N410" s="25" t="n">
        <x:v>46211.366626724535</x:v>
      </x:c>
      <x:c r="O410" s="24" t="n">
        <x:v>8902245</x:v>
      </x:c>
      <x:c r="P410" t="str">
        <x:v>factor_report/gtja191_batch/gtja_113/ic_summary.csv</x:v>
      </x:c>
    </x:row>
    <x:row r="411">
      <x:c r="A411" s="22" t="n">
        <x:f>IF($E411="ranked",1+COUNTIFS($D$5:$D$546,$D411,$E$5:$E$546,"ranked",$F$5:$F$546,"&gt;"&amp;$F411),"")</x:f>
        <x:v>51</x:v>
      </x:c>
      <x:c r="B411" s="22" t="n">
        <x:f>IF($E411="ranked",1+COUNTIFS($D$5:$D$546,$D411,$E$5:$E$546,"ranked",$G$5:$G$546,"&gt;"&amp;$G411),"")</x:f>
        <x:v>132</x:v>
      </x:c>
      <x:c r="C411" t="str">
        <x:v>gtja_101</x:v>
      </x:c>
      <x:c r="D411" s="22" t="n">
        <x:v>20</x:v>
      </x:c>
      <x:c r="E411" t="str">
        <x:v>ranked</x:v>
      </x:c>
      <x:c r="F411" s="23" t="n">
        <x:v>0.024210244793398127</x:v>
      </x:c>
      <x:c r="G411" s="23" t="n">
        <x:f>ABS(F411)</x:f>
        <x:v>0.024210244793398127</x:v>
      </x:c>
      <x:c r="H411" s="23" t="str">
        <x:f>IF(F411&gt;=0,"positive","negative")</x:f>
        <x:v>positive</x:v>
      </x:c>
      <x:c r="I411" s="23" t="n">
        <x:v>0.056029940687683</x:v>
      </x:c>
      <x:c r="J411" s="23" t="n">
        <x:v>0.4320947781891948</x:v>
      </x:c>
      <x:c r="K411" s="23" t="n">
        <x:v>0.6678571428571428</x:v>
      </x:c>
      <x:c r="L411" s="24" t="n">
        <x:v>1960</x:v>
      </x:c>
      <x:c r="M411" t="str">
        <x:v>legacy_common_sample_8902245</x:v>
      </x:c>
      <x:c r="N411" s="25" t="n">
        <x:v>46211.35053340278</x:v>
      </x:c>
      <x:c r="O411" s="24" t="n">
        <x:v>8902245</x:v>
      </x:c>
      <x:c r="P411" t="str">
        <x:v>factor_report/gtja191_batch/gtja_101/ic_summary.csv</x:v>
      </x:c>
    </x:row>
    <x:row r="412">
      <x:c r="A412" s="22" t="n">
        <x:f>IF($E412="ranked",1+COUNTIFS($D$5:$D$546,$D412,$E$5:$E$546,"ranked",$F$5:$F$546,"&gt;"&amp;$F412),"")</x:f>
        <x:v>52</x:v>
      </x:c>
      <x:c r="B412" s="22" t="n">
        <x:f>IF($E412="ranked",1+COUNTIFS($D$5:$D$546,$D412,$E$5:$E$546,"ranked",$G$5:$G$546,"&gt;"&amp;$G412),"")</x:f>
        <x:v>133</x:v>
      </x:c>
      <x:c r="C412" t="str">
        <x:v>gtja_048</x:v>
      </x:c>
      <x:c r="D412" s="22" t="n">
        <x:v>20</x:v>
      </x:c>
      <x:c r="E412" t="str">
        <x:v>ranked</x:v>
      </x:c>
      <x:c r="F412" s="23" t="n">
        <x:v>0.024154346270597194</x:v>
      </x:c>
      <x:c r="G412" s="23" t="n">
        <x:f>ABS(F412)</x:f>
        <x:v>0.024154346270597194</x:v>
      </x:c>
      <x:c r="H412" s="23" t="str">
        <x:f>IF(F412&gt;=0,"positive","negative")</x:f>
        <x:v>positive</x:v>
      </x:c>
      <x:c r="I412" s="23" t="n">
        <x:v>0.09718098100648785</x:v>
      </x:c>
      <x:c r="J412" s="23" t="n">
        <x:v>0.2485501383134282</x:v>
      </x:c>
      <x:c r="K412" s="23" t="n">
        <x:v>0.6032306915699142</x:v>
      </x:c>
      <x:c r="L412" s="24" t="n">
        <x:v>1981</x:v>
      </x:c>
      <x:c r="M412" t="str">
        <x:v>legacy_common_sample_8902245</x:v>
      </x:c>
      <x:c r="N412" s="25" t="n">
        <x:v>46211.27421923611</x:v>
      </x:c>
      <x:c r="O412" s="24" t="n">
        <x:v>8902245</x:v>
      </x:c>
      <x:c r="P412" t="str">
        <x:v>factor_report/gtja191_batch/gtja_048/ic_summary.csv</x:v>
      </x:c>
    </x:row>
    <x:row r="413">
      <x:c r="A413" s="22" t="n">
        <x:f>IF($E413="ranked",1+COUNTIFS($D$5:$D$546,$D413,$E$5:$E$546,"ranked",$F$5:$F$546,"&gt;"&amp;$F413),"")</x:f>
        <x:v>53</x:v>
      </x:c>
      <x:c r="B413" s="22" t="n">
        <x:f>IF($E413="ranked",1+COUNTIFS($D$5:$D$546,$D413,$E$5:$E$546,"ranked",$G$5:$G$546,"&gt;"&amp;$G413),"")</x:f>
        <x:v>134</x:v>
      </x:c>
      <x:c r="C413" t="str">
        <x:v>gtja_108</x:v>
      </x:c>
      <x:c r="D413" s="22" t="n">
        <x:v>20</x:v>
      </x:c>
      <x:c r="E413" t="str">
        <x:v>ranked</x:v>
      </x:c>
      <x:c r="F413" s="23" t="n">
        <x:v>0.02396255458178034</x:v>
      </x:c>
      <x:c r="G413" s="23" t="n">
        <x:f>ABS(F413)</x:f>
        <x:v>0.02396255458178034</x:v>
      </x:c>
      <x:c r="H413" s="23" t="str">
        <x:f>IF(F413&gt;=0,"positive","negative")</x:f>
        <x:v>positive</x:v>
      </x:c>
      <x:c r="I413" s="23" t="n">
        <x:v>0.08005244515589131</x:v>
      </x:c>
      <x:c r="J413" s="23" t="n">
        <x:v>0.2993356984301542</x:v>
      </x:c>
      <x:c r="K413" s="23" t="n">
        <x:v>0.6276762402088772</x:v>
      </x:c>
      <x:c r="L413" s="24" t="n">
        <x:v>1915</x:v>
      </x:c>
      <x:c r="M413" t="str">
        <x:v>legacy_common_sample_8902245</x:v>
      </x:c>
      <x:c r="N413" s="25" t="n">
        <x:v>46211.360724976854</x:v>
      </x:c>
      <x:c r="O413" s="24" t="n">
        <x:v>8902245</x:v>
      </x:c>
      <x:c r="P413" t="str">
        <x:v>factor_report/gtja191_batch/gtja_108/ic_summary.csv</x:v>
      </x:c>
    </x:row>
    <x:row r="414">
      <x:c r="A414" s="22" t="n">
        <x:f>IF($E414="ranked",1+COUNTIFS($D$5:$D$546,$D414,$E$5:$E$546,"ranked",$F$5:$F$546,"&gt;"&amp;$F414),"")</x:f>
        <x:v>54</x:v>
      </x:c>
      <x:c r="B414" s="22" t="n">
        <x:f>IF($E414="ranked",1+COUNTIFS($D$5:$D$546,$D414,$E$5:$E$546,"ranked",$G$5:$G$546,"&gt;"&amp;$G414),"")</x:f>
        <x:v>135</x:v>
      </x:c>
      <x:c r="C414" t="str">
        <x:v>gtja_092</x:v>
      </x:c>
      <x:c r="D414" s="22" t="n">
        <x:v>20</x:v>
      </x:c>
      <x:c r="E414" t="str">
        <x:v>ranked</x:v>
      </x:c>
      <x:c r="F414" s="23" t="n">
        <x:v>0.02360047061428451</x:v>
      </x:c>
      <x:c r="G414" s="23" t="n">
        <x:f>ABS(F414)</x:f>
        <x:v>0.02360047061428451</x:v>
      </x:c>
      <x:c r="H414" s="23" t="str">
        <x:f>IF(F414&gt;=0,"positive","negative")</x:f>
        <x:v>positive</x:v>
      </x:c>
      <x:c r="I414" s="23" t="n">
        <x:v>0.07845109509203571</x:v>
      </x:c>
      <x:c r="J414" s="23" t="n">
        <x:v>0.3008303528025629</x:v>
      </x:c>
      <x:c r="K414" s="23" t="n">
        <x:v>0.6103825136612022</x:v>
      </x:c>
      <x:c r="L414" s="24" t="n">
        <x:v>1830</x:v>
      </x:c>
      <x:c r="M414" t="str">
        <x:v>legacy_common_sample_8902245</x:v>
      </x:c>
      <x:c r="N414" s="25" t="n">
        <x:v>46211.339528993056</x:v>
      </x:c>
      <x:c r="O414" s="24" t="n">
        <x:v>8902245</x:v>
      </x:c>
      <x:c r="P414" t="str">
        <x:v>factor_report/gtja191_batch/gtja_092/ic_summary.csv</x:v>
      </x:c>
    </x:row>
    <x:row r="415">
      <x:c r="A415" s="22" t="n">
        <x:f>IF($E415="ranked",1+COUNTIFS($D$5:$D$546,$D415,$E$5:$E$546,"ranked",$F$5:$F$546,"&gt;"&amp;$F415),"")</x:f>
        <x:v>55</x:v>
      </x:c>
      <x:c r="B415" s="22" t="n">
        <x:f>IF($E415="ranked",1+COUNTIFS($D$5:$D$546,$D415,$E$5:$E$546,"ranked",$G$5:$G$546,"&gt;"&amp;$G415),"")</x:f>
        <x:v>137</x:v>
      </x:c>
      <x:c r="C415" t="str">
        <x:v>gtja_130</x:v>
      </x:c>
      <x:c r="D415" s="22" t="n">
        <x:v>20</x:v>
      </x:c>
      <x:c r="E415" t="str">
        <x:v>ranked</x:v>
      </x:c>
      <x:c r="F415" s="23" t="n">
        <x:v>0.020724012759167194</x:v>
      </x:c>
      <x:c r="G415" s="23" t="n">
        <x:f>ABS(F415)</x:f>
        <x:v>0.020724012759167194</x:v>
      </x:c>
      <x:c r="H415" s="23" t="str">
        <x:f>IF(F415&gt;=0,"positive","negative")</x:f>
        <x:v>positive</x:v>
      </x:c>
      <x:c r="I415" s="23" t="n">
        <x:v>0.05552645919161364</x:v>
      </x:c>
      <x:c r="J415" s="23" t="n">
        <x:v>0.37322770190787197</x:v>
      </x:c>
      <x:c r="K415" s="23" t="n">
        <x:v>0.6567390206966178</x:v>
      </x:c>
      <x:c r="L415" s="24" t="n">
        <x:v>1981</x:v>
      </x:c>
      <x:c r="M415" t="str">
        <x:v>legacy_common_sample_8902245</x:v>
      </x:c>
      <x:c r="N415" s="25" t="n">
        <x:v>46211.42025105324</x:v>
      </x:c>
      <x:c r="O415" s="24" t="n">
        <x:v>8902245</x:v>
      </x:c>
      <x:c r="P415" t="str">
        <x:v>factor_report/gtja191_batch/gtja_130/ic_summary.csv</x:v>
      </x:c>
    </x:row>
    <x:row r="416">
      <x:c r="A416" s="22" t="n">
        <x:f>IF($E416="ranked",1+COUNTIFS($D$5:$D$546,$D416,$E$5:$E$546,"ranked",$F$5:$F$546,"&gt;"&amp;$F416),"")</x:f>
        <x:v>56</x:v>
      </x:c>
      <x:c r="B416" s="22" t="n">
        <x:f>IF($E416="ranked",1+COUNTIFS($D$5:$D$546,$D416,$E$5:$E$546,"ranked",$G$5:$G$546,"&gt;"&amp;$G416),"")</x:f>
        <x:v>139</x:v>
      </x:c>
      <x:c r="C416" t="str">
        <x:v>gtja_141</x:v>
      </x:c>
      <x:c r="D416" s="22" t="n">
        <x:v>20</x:v>
      </x:c>
      <x:c r="E416" t="str">
        <x:v>ranked</x:v>
      </x:c>
      <x:c r="F416" s="23" t="n">
        <x:v>0.02011006977563733</x:v>
      </x:c>
      <x:c r="G416" s="23" t="n">
        <x:f>ABS(F416)</x:f>
        <x:v>0.02011006977563733</x:v>
      </x:c>
      <x:c r="H416" s="23" t="str">
        <x:f>IF(F416&gt;=0,"positive","negative")</x:f>
        <x:v>positive</x:v>
      </x:c>
      <x:c r="I416" s="23" t="n">
        <x:v>0.039929305111314074</x:v>
      </x:c>
      <x:c r="J416" s="23" t="n">
        <x:v>0.503641867034122</x:v>
      </x:c>
      <x:c r="K416" s="23" t="n">
        <x:v>0.6935890964159516</x:v>
      </x:c>
      <x:c r="L416" s="24" t="n">
        <x:v>1981</x:v>
      </x:c>
      <x:c r="M416" t="str">
        <x:v>legacy_common_sample_8902245</x:v>
      </x:c>
      <x:c r="N416" s="25" t="n">
        <x:v>46211.443886967594</x:v>
      </x:c>
      <x:c r="O416" s="24" t="n">
        <x:v>8902245</x:v>
      </x:c>
      <x:c r="P416" t="str">
        <x:v>factor_report/gtja191_batch/gtja_141/ic_summary.csv</x:v>
      </x:c>
    </x:row>
    <x:row r="417">
      <x:c r="A417" s="22" t="n">
        <x:f>IF($E417="ranked",1+COUNTIFS($D$5:$D$546,$D417,$E$5:$E$546,"ranked",$F$5:$F$546,"&gt;"&amp;$F417),"")</x:f>
        <x:v>57</x:v>
      </x:c>
      <x:c r="B417" s="22" t="n">
        <x:f>IF($E417="ranked",1+COUNTIFS($D$5:$D$546,$D417,$E$5:$E$546,"ranked",$G$5:$G$546,"&gt;"&amp;$G417),"")</x:f>
        <x:v>140</x:v>
      </x:c>
      <x:c r="C417" t="str">
        <x:v>gtja_006</x:v>
      </x:c>
      <x:c r="D417" s="22" t="n">
        <x:v>20</x:v>
      </x:c>
      <x:c r="E417" t="str">
        <x:v>ranked</x:v>
      </x:c>
      <x:c r="F417" s="23" t="n">
        <x:v>0.01986712337058728</x:v>
      </x:c>
      <x:c r="G417" s="23" t="n">
        <x:f>ABS(F417)</x:f>
        <x:v>0.01986712337058728</x:v>
      </x:c>
      <x:c r="H417" s="23" t="str">
        <x:f>IF(F417&gt;=0,"positive","negative")</x:f>
        <x:v>positive</x:v>
      </x:c>
      <x:c r="I417" s="23" t="n">
        <x:v>0.09698157815770737</x:v>
      </x:c>
      <x:c r="J417" s="23" t="n">
        <x:v>0.2048546099990268</x:v>
      </x:c>
      <x:c r="K417" s="23" t="n">
        <x:v>0.5729429581019687</x:v>
      </x:c>
      <x:c r="L417" s="24" t="n">
        <x:v>1981</x:v>
      </x:c>
      <x:c r="M417" t="str">
        <x:v>legacy_common_sample_8902245</x:v>
      </x:c>
      <x:c r="N417" s="25" t="n">
        <x:v>46211.17062405092</x:v>
      </x:c>
      <x:c r="O417" s="24" t="n">
        <x:v>8902245</x:v>
      </x:c>
      <x:c r="P417" t="str">
        <x:v>factor_report/gtja191_batch/gtja_006/ic_summary.csv</x:v>
      </x:c>
    </x:row>
    <x:row r="418">
      <x:c r="A418" s="22" t="n">
        <x:f>IF($E418="ranked",1+COUNTIFS($D$5:$D$546,$D418,$E$5:$E$546,"ranked",$F$5:$F$546,"&gt;"&amp;$F418),"")</x:f>
        <x:v>58</x:v>
      </x:c>
      <x:c r="B418" s="22" t="n">
        <x:f>IF($E418="ranked",1+COUNTIFS($D$5:$D$546,$D418,$E$5:$E$546,"ranked",$G$5:$G$546,"&gt;"&amp;$G418),"")</x:f>
        <x:v>141</x:v>
      </x:c>
      <x:c r="C418" t="str">
        <x:v>gtja_183</x:v>
      </x:c>
      <x:c r="D418" s="22" t="n">
        <x:v>20</x:v>
      </x:c>
      <x:c r="E418" t="str">
        <x:v>ranked</x:v>
      </x:c>
      <x:c r="F418" s="23" t="n">
        <x:v>0.01964685471091268</x:v>
      </x:c>
      <x:c r="G418" s="23" t="n">
        <x:f>ABS(F418)</x:f>
        <x:v>0.01964685471091268</x:v>
      </x:c>
      <x:c r="H418" s="23" t="str">
        <x:f>IF(F418&gt;=0,"positive","negative")</x:f>
        <x:v>positive</x:v>
      </x:c>
      <x:c r="I418" s="23" t="n">
        <x:v>0.08211819556773677</x:v>
      </x:c>
      <x:c r="J418" s="23" t="n">
        <x:v>0.23925093062604616</x:v>
      </x:c>
      <x:c r="K418" s="23" t="n">
        <x:v>0.6035532994923858</x:v>
      </x:c>
      <x:c r="L418" s="24" t="n">
        <x:v>1970</x:v>
      </x:c>
      <x:c r="M418" t="str">
        <x:v>legacy_common_sample_8902245</x:v>
      </x:c>
      <x:c r="N418" s="25" t="n">
        <x:v>46211.5411328125</x:v>
      </x:c>
      <x:c r="O418" s="24" t="n">
        <x:v>8902245</x:v>
      </x:c>
      <x:c r="P418" t="str">
        <x:v>factor_report/gtja191_batch/gtja_183/ic_summary.csv</x:v>
      </x:c>
    </x:row>
    <x:row r="419">
      <x:c r="A419" s="22" t="n">
        <x:f>IF($E419="ranked",1+COUNTIFS($D$5:$D$546,$D419,$E$5:$E$546,"ranked",$F$5:$F$546,"&gt;"&amp;$F419),"")</x:f>
        <x:v>59</x:v>
      </x:c>
      <x:c r="B419" s="22" t="n">
        <x:f>IF($E419="ranked",1+COUNTIFS($D$5:$D$546,$D419,$E$5:$E$546,"ranked",$G$5:$G$546,"&gt;"&amp;$G419),"")</x:f>
        <x:v>145</x:v>
      </x:c>
      <x:c r="C419" t="str">
        <x:v>gtja_037</x:v>
      </x:c>
      <x:c r="D419" s="22" t="n">
        <x:v>20</x:v>
      </x:c>
      <x:c r="E419" t="str">
        <x:v>ranked</x:v>
      </x:c>
      <x:c r="F419" s="23" t="n">
        <x:v>0.0168715826501612</x:v>
      </x:c>
      <x:c r="G419" s="23" t="n">
        <x:f>ABS(F419)</x:f>
        <x:v>0.0168715826501612</x:v>
      </x:c>
      <x:c r="H419" s="23" t="str">
        <x:f>IF(F419&gt;=0,"positive","negative")</x:f>
        <x:v>positive</x:v>
      </x:c>
      <x:c r="I419" s="23" t="n">
        <x:v>0.11276766820437169</x:v>
      </x:c>
      <x:c r="J419" s="23" t="n">
        <x:v>0.1496136518455308</x:v>
      </x:c>
      <x:c r="K419" s="23" t="n">
        <x:v>0.5593134780413932</x:v>
      </x:c>
      <x:c r="L419" s="24" t="n">
        <x:v>1981</x:v>
      </x:c>
      <x:c r="M419" t="str">
        <x:v>legacy_common_sample_8902245</x:v>
      </x:c>
      <x:c r="N419" s="25" t="n">
        <x:v>46211.237209722225</x:v>
      </x:c>
      <x:c r="O419" s="24" t="n">
        <x:v>8902245</x:v>
      </x:c>
      <x:c r="P419" t="str">
        <x:v>factor_report/gtja191_batch/gtja_037/ic_summary.csv</x:v>
      </x:c>
    </x:row>
    <x:row r="420">
      <x:c r="A420" s="22" t="n">
        <x:f>IF($E420="ranked",1+COUNTIFS($D$5:$D$546,$D420,$E$5:$E$546,"ranked",$F$5:$F$546,"&gt;"&amp;$F420),"")</x:f>
        <x:v>60</x:v>
      </x:c>
      <x:c r="B420" s="22" t="n">
        <x:f>IF($E420="ranked",1+COUNTIFS($D$5:$D$546,$D420,$E$5:$E$546,"ranked",$G$5:$G$546,"&gt;"&amp;$G420),"")</x:f>
        <x:v>147</x:v>
      </x:c>
      <x:c r="C420" t="str">
        <x:v>gtja_123</x:v>
      </x:c>
      <x:c r="D420" s="22" t="n">
        <x:v>20</x:v>
      </x:c>
      <x:c r="E420" t="str">
        <x:v>ranked</x:v>
      </x:c>
      <x:c r="F420" s="23" t="n">
        <x:v>0.016235807977282926</x:v>
      </x:c>
      <x:c r="G420" s="23" t="n">
        <x:f>ABS(F420)</x:f>
        <x:v>0.016235807977282926</x:v>
      </x:c>
      <x:c r="H420" s="23" t="str">
        <x:f>IF(F420&gt;=0,"positive","negative")</x:f>
        <x:v>positive</x:v>
      </x:c>
      <x:c r="I420" s="23" t="n">
        <x:v>0.05607815291636207</x:v>
      </x:c>
      <x:c r="J420" s="23" t="n">
        <x:v>0.2895210903522067</x:v>
      </x:c>
      <x:c r="K420" s="23" t="n">
        <x:v>0.6093189964157706</x:v>
      </x:c>
      <x:c r="L420" s="24" t="n">
        <x:v>1953</x:v>
      </x:c>
      <x:c r="M420" t="str">
        <x:v>legacy_common_sample_8902245</x:v>
      </x:c>
      <x:c r="N420" s="25" t="n">
        <x:v>46211.407905775464</x:v>
      </x:c>
      <x:c r="O420" s="24" t="n">
        <x:v>8902245</x:v>
      </x:c>
      <x:c r="P420" t="str">
        <x:v>factor_report/gtja191_batch/gtja_123/ic_summary.csv</x:v>
      </x:c>
    </x:row>
    <x:row r="421">
      <x:c r="A421" s="22" t="n">
        <x:f>IF($E421="ranked",1+COUNTIFS($D$5:$D$546,$D421,$E$5:$E$546,"ranked",$F$5:$F$546,"&gt;"&amp;$F421),"")</x:f>
        <x:v>61</x:v>
      </x:c>
      <x:c r="B421" s="22" t="n">
        <x:f>IF($E421="ranked",1+COUNTIFS($D$5:$D$546,$D421,$E$5:$E$546,"ranked",$G$5:$G$546,"&gt;"&amp;$G421),"")</x:f>
        <x:v>153</x:v>
      </x:c>
      <x:c r="C421" t="str">
        <x:v>gtja_013</x:v>
      </x:c>
      <x:c r="D421" s="22" t="n">
        <x:v>20</x:v>
      </x:c>
      <x:c r="E421" t="str">
        <x:v>ranked</x:v>
      </x:c>
      <x:c r="F421" s="23" t="n">
        <x:v>0.014255707603008797</x:v>
      </x:c>
      <x:c r="G421" s="23" t="n">
        <x:f>ABS(F421)</x:f>
        <x:v>0.014255707603008797</x:v>
      </x:c>
      <x:c r="H421" s="23" t="str">
        <x:f>IF(F421&gt;=0,"positive","negative")</x:f>
        <x:v>positive</x:v>
      </x:c>
      <x:c r="I421" s="23" t="n">
        <x:v>0.12062850055087566</x:v>
      </x:c>
      <x:c r="J421" s="23" t="n">
        <x:v>0.11817860238589621</x:v>
      </x:c>
      <x:c r="K421" s="23" t="n">
        <x:v>0.5456839979808178</x:v>
      </x:c>
      <x:c r="L421" s="24" t="n">
        <x:v>1981</x:v>
      </x:c>
      <x:c r="M421" t="str">
        <x:v>legacy_common_sample_8902245</x:v>
      </x:c>
      <x:c r="N421" s="25" t="n">
        <x:v>46211.18888071759</x:v>
      </x:c>
      <x:c r="O421" s="24" t="n">
        <x:v>8902245</x:v>
      </x:c>
      <x:c r="P421" t="str">
        <x:v>factor_report/gtja191_batch/gtja_013/ic_summary.csv</x:v>
      </x:c>
    </x:row>
    <x:row r="422">
      <x:c r="A422" s="22" t="n">
        <x:f>IF($E422="ranked",1+COUNTIFS($D$5:$D$546,$D422,$E$5:$E$546,"ranked",$F$5:$F$546,"&gt;"&amp;$F422),"")</x:f>
        <x:v>62</x:v>
      </x:c>
      <x:c r="B422" s="22" t="n">
        <x:f>IF($E422="ranked",1+COUNTIFS($D$5:$D$546,$D422,$E$5:$E$546,"ranked",$G$5:$G$546,"&gt;"&amp;$G422),"")</x:f>
        <x:v>155</x:v>
      </x:c>
      <x:c r="C422" t="str">
        <x:v>gtja_039</x:v>
      </x:c>
      <x:c r="D422" s="22" t="n">
        <x:v>20</x:v>
      </x:c>
      <x:c r="E422" t="str">
        <x:v>ranked</x:v>
      </x:c>
      <x:c r="F422" s="23" t="n">
        <x:v>0.013172002972081018</x:v>
      </x:c>
      <x:c r="G422" s="23" t="n">
        <x:f>ABS(F422)</x:f>
        <x:v>0.013172002972081018</x:v>
      </x:c>
      <x:c r="H422" s="23" t="str">
        <x:f>IF(F422&gt;=0,"positive","negative")</x:f>
        <x:v>positive</x:v>
      </x:c>
      <x:c r="I422" s="23" t="n">
        <x:v>0.09479783289928263</x:v>
      </x:c>
      <x:c r="J422" s="23" t="n">
        <x:v>0.13894835534980562</x:v>
      </x:c>
      <x:c r="K422" s="23" t="n">
        <x:v>0.545</x:v>
      </x:c>
      <x:c r="L422" s="24" t="n">
        <x:v>1800</x:v>
      </x:c>
      <x:c r="M422" t="str">
        <x:v>legacy_common_sample_8902245</x:v>
      </x:c>
      <x:c r="N422" s="25" t="n">
        <x:v>46211.24500390046</x:v>
      </x:c>
      <x:c r="O422" s="24" t="n">
        <x:v>8902245</x:v>
      </x:c>
      <x:c r="P422" t="str">
        <x:v>factor_report/gtja191_batch/gtja_039/ic_summary.csv</x:v>
      </x:c>
    </x:row>
    <x:row r="423">
      <x:c r="A423" s="22" t="n">
        <x:f>IF($E423="ranked",1+COUNTIFS($D$5:$D$546,$D423,$E$5:$E$546,"ranked",$F$5:$F$546,"&gt;"&amp;$F423),"")</x:f>
        <x:v>63</x:v>
      </x:c>
      <x:c r="B423" s="22" t="n">
        <x:f>IF($E423="ranked",1+COUNTIFS($D$5:$D$546,$D423,$E$5:$E$546,"ranked",$G$5:$G$546,"&gt;"&amp;$G423),"")</x:f>
        <x:v>156</x:v>
      </x:c>
      <x:c r="C423" t="str">
        <x:v>gtja_125</x:v>
      </x:c>
      <x:c r="D423" s="22" t="n">
        <x:v>20</x:v>
      </x:c>
      <x:c r="E423" t="str">
        <x:v>ranked</x:v>
      </x:c>
      <x:c r="F423" s="23" t="n">
        <x:v>0.013164239622034054</x:v>
      </x:c>
      <x:c r="G423" s="23" t="n">
        <x:f>ABS(F423)</x:f>
        <x:v>0.013164239622034054</x:v>
      </x:c>
      <x:c r="H423" s="23" t="str">
        <x:f>IF(F423&gt;=0,"positive","negative")</x:f>
        <x:v>positive</x:v>
      </x:c>
      <x:c r="I423" s="23" t="n">
        <x:v>0.09340038588090052</x:v>
      </x:c>
      <x:c r="J423" s="23" t="n">
        <x:v>0.1409441673915612</x:v>
      </x:c>
      <x:c r="K423" s="23" t="n">
        <x:v>0.5402597402597402</x:v>
      </x:c>
      <x:c r="L423" s="24" t="n">
        <x:v>1925</x:v>
      </x:c>
      <x:c r="M423" t="str">
        <x:v>legacy_common_sample_8902245</x:v>
      </x:c>
      <x:c r="N423" s="25" t="n">
        <x:v>46211.41519543981</x:v>
      </x:c>
      <x:c r="O423" s="24" t="n">
        <x:v>8902245</x:v>
      </x:c>
      <x:c r="P423" t="str">
        <x:v>factor_report/gtja191_batch/gtja_125/ic_summary.csv</x:v>
      </x:c>
    </x:row>
    <x:row r="424">
      <x:c r="A424" s="22" t="n">
        <x:f>IF($E424="ranked",1+COUNTIFS($D$5:$D$546,$D424,$E$5:$E$546,"ranked",$F$5:$F$546,"&gt;"&amp;$F424),"")</x:f>
        <x:v>64</x:v>
      </x:c>
      <x:c r="B424" s="22" t="n">
        <x:f>IF($E424="ranked",1+COUNTIFS($D$5:$D$546,$D424,$E$5:$E$546,"ranked",$G$5:$G$546,"&gt;"&amp;$G424),"")</x:f>
        <x:v>157</x:v>
      </x:c>
      <x:c r="C424" t="str">
        <x:v>gtja_115</x:v>
      </x:c>
      <x:c r="D424" s="22" t="n">
        <x:v>20</x:v>
      </x:c>
      <x:c r="E424" t="str">
        <x:v>ranked</x:v>
      </x:c>
      <x:c r="F424" s="23" t="n">
        <x:v>0.012895301921902426</x:v>
      </x:c>
      <x:c r="G424" s="23" t="n">
        <x:f>ABS(F424)</x:f>
        <x:v>0.012895301921902426</x:v>
      </x:c>
      <x:c r="H424" s="23" t="str">
        <x:f>IF(F424&gt;=0,"positive","negative")</x:f>
        <x:v>positive</x:v>
      </x:c>
      <x:c r="I424" s="23" t="n">
        <x:v>0.0644420066476776</x:v>
      </x:c>
      <x:c r="J424" s="23" t="n">
        <x:v>0.2001070822081105</x:v>
      </x:c>
      <x:c r="K424" s="23" t="n">
        <x:v>0.5825340737001514</x:v>
      </x:c>
      <x:c r="L424" s="24" t="n">
        <x:v>1981</x:v>
      </x:c>
      <x:c r="M424" t="str">
        <x:v>legacy_common_sample_8902245</x:v>
      </x:c>
      <x:c r="N424" s="25" t="n">
        <x:v>46211.375733472225</x:v>
      </x:c>
      <x:c r="O424" s="24" t="n">
        <x:v>8902245</x:v>
      </x:c>
      <x:c r="P424" t="str">
        <x:v>factor_report/gtja191_batch/gtja_115/ic_summary.csv</x:v>
      </x:c>
    </x:row>
    <x:row r="425">
      <x:c r="A425" s="22" t="n">
        <x:f>IF($E425="ranked",1+COUNTIFS($D$5:$D$546,$D425,$E$5:$E$546,"ranked",$F$5:$F$546,"&gt;"&amp;$F425),"")</x:f>
        <x:v>65</x:v>
      </x:c>
      <x:c r="B425" s="22" t="n">
        <x:f>IF($E425="ranked",1+COUNTIFS($D$5:$D$546,$D425,$E$5:$E$546,"ranked",$G$5:$G$546,"&gt;"&amp;$G425),"")</x:f>
        <x:v>159</x:v>
      </x:c>
      <x:c r="C425" t="str">
        <x:v>gtja_180</x:v>
      </x:c>
      <x:c r="D425" s="22" t="n">
        <x:v>20</x:v>
      </x:c>
      <x:c r="E425" t="str">
        <x:v>ranked</x:v>
      </x:c>
      <x:c r="F425" s="23" t="n">
        <x:v>0.011468082114046265</x:v>
      </x:c>
      <x:c r="G425" s="23" t="n">
        <x:f>ABS(F425)</x:f>
        <x:v>0.011468082114046265</x:v>
      </x:c>
      <x:c r="H425" s="23" t="str">
        <x:f>IF(F425&gt;=0,"positive","negative")</x:f>
        <x:v>positive</x:v>
      </x:c>
      <x:c r="I425" s="23" t="n">
        <x:v>0.07368641640340497</x:v>
      </x:c>
      <x:c r="J425" s="23" t="n">
        <x:v>0.1556335980740724</x:v>
      </x:c>
      <x:c r="K425" s="23" t="n">
        <x:v>0.5729429581019687</x:v>
      </x:c>
      <x:c r="L425" s="24" t="n">
        <x:v>1981</x:v>
      </x:c>
      <x:c r="M425" t="str">
        <x:v>legacy_common_sample_8902245</x:v>
      </x:c>
      <x:c r="N425" s="25" t="n">
        <x:v>46211.53854369213</x:v>
      </x:c>
      <x:c r="O425" s="24" t="n">
        <x:v>8902245</x:v>
      </x:c>
      <x:c r="P425" t="str">
        <x:v>factor_report/gtja191_batch/gtja_180/ic_summary.csv</x:v>
      </x:c>
    </x:row>
    <x:row r="426">
      <x:c r="A426" s="22" t="n">
        <x:f>IF($E426="ranked",1+COUNTIFS($D$5:$D$546,$D426,$E$5:$E$546,"ranked",$F$5:$F$546,"&gt;"&amp;$F426),"")</x:f>
        <x:v>66</x:v>
      </x:c>
      <x:c r="B426" s="22" t="n">
        <x:f>IF($E426="ranked",1+COUNTIFS($D$5:$D$546,$D426,$E$5:$E$546,"ranked",$G$5:$G$546,"&gt;"&amp;$G426),"")</x:f>
        <x:v>160</x:v>
      </x:c>
      <x:c r="C426" t="str">
        <x:v>gtja_117</x:v>
      </x:c>
      <x:c r="D426" s="22" t="n">
        <x:v>20</x:v>
      </x:c>
      <x:c r="E426" t="str">
        <x:v>ranked</x:v>
      </x:c>
      <x:c r="F426" s="23" t="n">
        <x:v>0.011127967456839522</x:v>
      </x:c>
      <x:c r="G426" s="23" t="n">
        <x:f>ABS(F426)</x:f>
        <x:v>0.011127967456839522</x:v>
      </x:c>
      <x:c r="H426" s="23" t="str">
        <x:f>IF(F426&gt;=0,"positive","negative")</x:f>
        <x:v>positive</x:v>
      </x:c>
      <x:c r="I426" s="23" t="n">
        <x:v>0.09143562000060194</x:v>
      </x:c>
      <x:c r="J426" s="23" t="n">
        <x:v>0.12170276153610883</x:v>
      </x:c>
      <x:c r="K426" s="23" t="n">
        <x:v>0.546693589096416</x:v>
      </x:c>
      <x:c r="L426" s="24" t="n">
        <x:v>1981</x:v>
      </x:c>
      <x:c r="M426" t="str">
        <x:v>legacy_common_sample_8902245</x:v>
      </x:c>
      <x:c r="N426" s="25" t="n">
        <x:v>46211.384815150464</x:v>
      </x:c>
      <x:c r="O426" s="24" t="n">
        <x:v>8902245</x:v>
      </x:c>
      <x:c r="P426" t="str">
        <x:v>factor_report/gtja191_batch/gtja_117/ic_summary.csv</x:v>
      </x:c>
    </x:row>
    <x:row r="427">
      <x:c r="A427" s="22" t="n">
        <x:f>IF($E427="ranked",1+COUNTIFS($D$5:$D$546,$D427,$E$5:$E$546,"ranked",$F$5:$F$546,"&gt;"&amp;$F427),"")</x:f>
        <x:v>67</x:v>
      </x:c>
      <x:c r="B427" s="22" t="n">
        <x:f>IF($E427="ranked",1+COUNTIFS($D$5:$D$546,$D427,$E$5:$E$546,"ranked",$G$5:$G$546,"&gt;"&amp;$G427),"")</x:f>
        <x:v>161</x:v>
      </x:c>
      <x:c r="C427" t="str">
        <x:v>gtja_170</x:v>
      </x:c>
      <x:c r="D427" s="22" t="n">
        <x:v>20</x:v>
      </x:c>
      <x:c r="E427" t="str">
        <x:v>ranked</x:v>
      </x:c>
      <x:c r="F427" s="23" t="n">
        <x:v>0.010736159541389215</x:v>
      </x:c>
      <x:c r="G427" s="23" t="n">
        <x:f>ABS(F427)</x:f>
        <x:v>0.010736159541389215</x:v>
      </x:c>
      <x:c r="H427" s="23" t="str">
        <x:f>IF(F427&gt;=0,"positive","negative")</x:f>
        <x:v>positive</x:v>
      </x:c>
      <x:c r="I427" s="23" t="n">
        <x:v>0.1159345468536043</x:v>
      </x:c>
      <x:c r="J427" s="23" t="n">
        <x:v>0.09260535218157398</x:v>
      </x:c>
      <x:c r="K427" s="23" t="n">
        <x:v>0.5249873801110551</x:v>
      </x:c>
      <x:c r="L427" s="24" t="n">
        <x:v>1981</x:v>
      </x:c>
      <x:c r="M427" t="str">
        <x:v>legacy_common_sample_8902245</x:v>
      </x:c>
      <x:c r="N427" s="25" t="n">
        <x:v>46211.52554471065</x:v>
      </x:c>
      <x:c r="O427" s="24" t="n">
        <x:v>8902245</x:v>
      </x:c>
      <x:c r="P427" t="str">
        <x:v>factor_report/gtja191_batch/gtja_170/ic_summary.csv</x:v>
      </x:c>
    </x:row>
    <x:row r="428">
      <x:c r="A428" s="22" t="n">
        <x:f>IF($E428="ranked",1+COUNTIFS($D$5:$D$546,$D428,$E$5:$E$546,"ranked",$F$5:$F$546,"&gt;"&amp;$F428),"")</x:f>
        <x:v>68</x:v>
      </x:c>
      <x:c r="B428" s="22" t="n">
        <x:f>IF($E428="ranked",1+COUNTIFS($D$5:$D$546,$D428,$E$5:$E$546,"ranked",$G$5:$G$546,"&gt;"&amp;$G428),"")</x:f>
        <x:v>162</x:v>
      </x:c>
      <x:c r="C428" t="str">
        <x:v>gtja_114</x:v>
      </x:c>
      <x:c r="D428" s="22" t="n">
        <x:v>20</x:v>
      </x:c>
      <x:c r="E428" t="str">
        <x:v>ranked</x:v>
      </x:c>
      <x:c r="F428" s="23" t="n">
        <x:v>0.010344839356969794</x:v>
      </x:c>
      <x:c r="G428" s="23" t="n">
        <x:f>ABS(F428)</x:f>
        <x:v>0.010344839356969794</x:v>
      </x:c>
      <x:c r="H428" s="23" t="str">
        <x:f>IF(F428&gt;=0,"positive","negative")</x:f>
        <x:v>positive</x:v>
      </x:c>
      <x:c r="I428" s="23" t="n">
        <x:v>0.11697512778055173</x:v>
      </x:c>
      <x:c r="J428" s="23" t="n">
        <x:v>0.0884362304470141</x:v>
      </x:c>
      <x:c r="K428" s="23" t="n">
        <x:v>0.5406360424028268</x:v>
      </x:c>
      <x:c r="L428" s="24" t="n">
        <x:v>1981</x:v>
      </x:c>
      <x:c r="M428" t="str">
        <x:v>legacy_common_sample_8902245</x:v>
      </x:c>
      <x:c r="N428" s="25" t="n">
        <x:v>46211.36905150463</x:v>
      </x:c>
      <x:c r="O428" s="24" t="n">
        <x:v>8902245</x:v>
      </x:c>
      <x:c r="P428" t="str">
        <x:v>factor_report/gtja191_batch/gtja_114/ic_summary.csv</x:v>
      </x:c>
    </x:row>
    <x:row r="429">
      <x:c r="A429" s="22" t="n">
        <x:f>IF($E429="ranked",1+COUNTIFS($D$5:$D$546,$D429,$E$5:$E$546,"ranked",$F$5:$F$546,"&gt;"&amp;$F429),"")</x:f>
        <x:v>69</x:v>
      </x:c>
      <x:c r="B429" s="22" t="n">
        <x:f>IF($E429="ranked",1+COUNTIFS($D$5:$D$546,$D429,$E$5:$E$546,"ranked",$G$5:$G$546,"&gt;"&amp;$G429),"")</x:f>
        <x:v>167</x:v>
      </x:c>
      <x:c r="C429" t="str">
        <x:v>gtja_085</x:v>
      </x:c>
      <x:c r="D429" s="22" t="n">
        <x:v>20</x:v>
      </x:c>
      <x:c r="E429" t="str">
        <x:v>ranked</x:v>
      </x:c>
      <x:c r="F429" s="23" t="n">
        <x:v>0.008351333931381075</x:v>
      </x:c>
      <x:c r="G429" s="23" t="n">
        <x:f>ABS(F429)</x:f>
        <x:v>0.008351333931381075</x:v>
      </x:c>
      <x:c r="H429" s="23" t="str">
        <x:f>IF(F429&gt;=0,"positive","negative")</x:f>
        <x:v>positive</x:v>
      </x:c>
      <x:c r="I429" s="23" t="n">
        <x:v>0.08216370751033718</x:v>
      </x:c>
      <x:c r="J429" s="23" t="n">
        <x:v>0.10164261307622198</x:v>
      </x:c>
      <x:c r="K429" s="23" t="n">
        <x:v>0.5350832912670368</x:v>
      </x:c>
      <x:c r="L429" s="24" t="n">
        <x:v>1981</x:v>
      </x:c>
      <x:c r="M429" t="str">
        <x:v>legacy_common_sample_8902245</x:v>
      </x:c>
      <x:c r="N429" s="25" t="n">
        <x:v>46211.32386585648</x:v>
      </x:c>
      <x:c r="O429" s="24" t="n">
        <x:v>8902245</x:v>
      </x:c>
      <x:c r="P429" t="str">
        <x:v>factor_report/gtja191_batch/gtja_085/ic_summary.csv</x:v>
      </x:c>
    </x:row>
    <x:row r="430">
      <x:c r="A430" s="22" t="n">
        <x:f>IF($E430="ranked",1+COUNTIFS($D$5:$D$546,$D430,$E$5:$E$546,"ranked",$F$5:$F$546,"&gt;"&amp;$F430),"")</x:f>
        <x:v>70</x:v>
      </x:c>
      <x:c r="B430" s="22" t="n">
        <x:f>IF($E430="ranked",1+COUNTIFS($D$5:$D$546,$D430,$E$5:$E$546,"ranked",$G$5:$G$546,"&gt;"&amp;$G430),"")</x:f>
        <x:v>168</x:v>
      </x:c>
      <x:c r="C430" t="str">
        <x:v>gtja_104</x:v>
      </x:c>
      <x:c r="D430" s="22" t="n">
        <x:v>20</x:v>
      </x:c>
      <x:c r="E430" t="str">
        <x:v>ranked</x:v>
      </x:c>
      <x:c r="F430" s="23" t="n">
        <x:v>0.007791365466936186</x:v>
      </x:c>
      <x:c r="G430" s="23" t="n">
        <x:f>ABS(F430)</x:f>
        <x:v>0.007791365466936186</x:v>
      </x:c>
      <x:c r="H430" s="23" t="str">
        <x:f>IF(F430&gt;=0,"positive","negative")</x:f>
        <x:v>positive</x:v>
      </x:c>
      <x:c r="I430" s="23" t="n">
        <x:v>0.05490881430977608</x:v>
      </x:c>
      <x:c r="J430" s="23" t="n">
        <x:v>0.14189644349229727</x:v>
      </x:c>
      <x:c r="K430" s="23" t="n">
        <x:v>0.5739525492175669</x:v>
      </x:c>
      <x:c r="L430" s="24" t="n">
        <x:v>1981</x:v>
      </x:c>
      <x:c r="M430" t="str">
        <x:v>legacy_common_sample_8902245</x:v>
      </x:c>
      <x:c r="N430" s="25" t="n">
        <x:v>46211.35578873842</x:v>
      </x:c>
      <x:c r="O430" s="24" t="n">
        <x:v>8902245</x:v>
      </x:c>
      <x:c r="P430" t="str">
        <x:v>factor_report/gtja191_batch/gtja_104/ic_summary.csv</x:v>
      </x:c>
    </x:row>
    <x:row r="431">
      <x:c r="A431" s="22" t="n">
        <x:f>IF($E431="ranked",1+COUNTIFS($D$5:$D$546,$D431,$E$5:$E$546,"ranked",$F$5:$F$546,"&gt;"&amp;$F431),"")</x:f>
        <x:v>71</x:v>
      </x:c>
      <x:c r="B431" s="22" t="n">
        <x:f>IF($E431="ranked",1+COUNTIFS($D$5:$D$546,$D431,$E$5:$E$546,"ranked",$G$5:$G$546,"&gt;"&amp;$G431),"")</x:f>
        <x:v>170</x:v>
      </x:c>
      <x:c r="C431" t="str">
        <x:v>gtja_138</x:v>
      </x:c>
      <x:c r="D431" s="22" t="n">
        <x:v>20</x:v>
      </x:c>
      <x:c r="E431" t="str">
        <x:v>ranked</x:v>
      </x:c>
      <x:c r="F431" s="23" t="n">
        <x:v>0.007090759251939209</x:v>
      </x:c>
      <x:c r="G431" s="23" t="n">
        <x:f>ABS(F431)</x:f>
        <x:v>0.007090759251939209</x:v>
      </x:c>
      <x:c r="H431" s="23" t="str">
        <x:f>IF(F431&gt;=0,"positive","negative")</x:f>
        <x:v>positive</x:v>
      </x:c>
      <x:c r="I431" s="23" t="n">
        <x:v>0.22814400892419004</x:v>
      </x:c>
      <x:c r="J431" s="23" t="n">
        <x:v>0.031080190469938648</x:v>
      </x:c>
      <x:c r="K431" s="23" t="n">
        <x:v>0.5166051660516605</x:v>
      </x:c>
      <x:c r="L431" s="24" t="n">
        <x:v>1897</x:v>
      </x:c>
      <x:c r="M431" t="str">
        <x:v>legacy_common_sample_8902245</x:v>
      </x:c>
      <x:c r="N431" s="25" t="n">
        <x:v>46211.431942800926</x:v>
      </x:c>
      <x:c r="O431" s="24" t="n">
        <x:v>8902245</x:v>
      </x:c>
      <x:c r="P431" t="str">
        <x:v>factor_report/gtja191_batch/gtja_138/ic_summary.csv</x:v>
      </x:c>
    </x:row>
    <x:row r="432">
      <x:c r="A432" s="22" t="n">
        <x:f>IF($E432="ranked",1+COUNTIFS($D$5:$D$546,$D432,$E$5:$E$546,"ranked",$F$5:$F$546,"&gt;"&amp;$F432),"")</x:f>
        <x:v>72</x:v>
      </x:c>
      <x:c r="B432" s="22" t="n">
        <x:f>IF($E432="ranked",1+COUNTIFS($D$5:$D$546,$D432,$E$5:$E$546,"ranked",$G$5:$G$546,"&gt;"&amp;$G432),"")</x:f>
        <x:v>171</x:v>
      </x:c>
      <x:c r="C432" t="str">
        <x:v>gtja_073</x:v>
      </x:c>
      <x:c r="D432" s="22" t="n">
        <x:v>20</x:v>
      </x:c>
      <x:c r="E432" t="str">
        <x:v>ranked</x:v>
      </x:c>
      <x:c r="F432" s="23" t="n">
        <x:v>0.007004128077654323</x:v>
      </x:c>
      <x:c r="G432" s="23" t="n">
        <x:f>ABS(F432)</x:f>
        <x:v>0.007004128077654323</x:v>
      </x:c>
      <x:c r="H432" s="23" t="str">
        <x:f>IF(F432&gt;=0,"positive","negative")</x:f>
        <x:v>positive</x:v>
      </x:c>
      <x:c r="I432" s="23" t="n">
        <x:v>0.05508156543705935</x:v>
      </x:c>
      <x:c r="J432" s="23" t="n">
        <x:v>0.12715920511841308</x:v>
      </x:c>
      <x:c r="K432" s="23" t="n">
        <x:v>0.5628470469459869</x:v>
      </x:c>
      <x:c r="L432" s="24" t="n">
        <x:v>1981</x:v>
      </x:c>
      <x:c r="M432" t="str">
        <x:v>legacy_common_sample_8902245</x:v>
      </x:c>
      <x:c r="N432" s="25" t="n">
        <x:v>46211.30391246528</x:v>
      </x:c>
      <x:c r="O432" s="24" t="n">
        <x:v>8902245</x:v>
      </x:c>
      <x:c r="P432" t="str">
        <x:v>factor_report/gtja191_batch/gtja_073/ic_summary.csv</x:v>
      </x:c>
    </x:row>
    <x:row r="433">
      <x:c r="A433" s="22" t="n">
        <x:f>IF($E433="ranked",1+COUNTIFS($D$5:$D$546,$D433,$E$5:$E$546,"ranked",$F$5:$F$546,"&gt;"&amp;$F433),"")</x:f>
        <x:v>73</x:v>
      </x:c>
      <x:c r="B433" s="22" t="n">
        <x:f>IF($E433="ranked",1+COUNTIFS($D$5:$D$546,$D433,$E$5:$E$546,"ranked",$G$5:$G$546,"&gt;"&amp;$G433),"")</x:f>
        <x:v>172</x:v>
      </x:c>
      <x:c r="C433" t="str">
        <x:v>gtja_165</x:v>
      </x:c>
      <x:c r="D433" s="22" t="n">
        <x:v>20</x:v>
      </x:c>
      <x:c r="E433" t="str">
        <x:v>ranked</x:v>
      </x:c>
      <x:c r="F433" s="23" t="n">
        <x:v>0.005974237224172743</x:v>
      </x:c>
      <x:c r="G433" s="23" t="n">
        <x:f>ABS(F433)</x:f>
        <x:v>0.005974237224172743</x:v>
      </x:c>
      <x:c r="H433" s="23" t="str">
        <x:f>IF(F433&gt;=0,"positive","negative")</x:f>
        <x:v>positive</x:v>
      </x:c>
      <x:c r="I433" s="23" t="n">
        <x:v>0.08434995342638171</x:v>
      </x:c>
      <x:c r="J433" s="23" t="n">
        <x:v>0.07082679932226507</x:v>
      </x:c>
      <x:c r="K433" s="23" t="n">
        <x:v>0.5321390937829295</x:v>
      </x:c>
      <x:c r="L433" s="24" t="n">
        <x:v>1898</x:v>
      </x:c>
      <x:c r="M433" t="str">
        <x:v>legacy_common_sample_8902245</x:v>
      </x:c>
      <x:c r="N433" s="25" t="n">
        <x:v>46211.5176621412</x:v>
      </x:c>
      <x:c r="O433" s="24" t="n">
        <x:v>8902245</x:v>
      </x:c>
      <x:c r="P433" t="str">
        <x:v>factor_report/gtja191_batch/gtja_165/ic_summary.csv</x:v>
      </x:c>
    </x:row>
    <x:row r="434">
      <x:c r="A434" s="22" t="n">
        <x:f>IF($E434="ranked",1+COUNTIFS($D$5:$D$546,$D434,$E$5:$E$546,"ranked",$F$5:$F$546,"&gt;"&amp;$F434),"")</x:f>
        <x:v>74</x:v>
      </x:c>
      <x:c r="B434" s="22" t="n">
        <x:f>IF($E434="ranked",1+COUNTIFS($D$5:$D$546,$D434,$E$5:$E$546,"ranked",$G$5:$G$546,"&gt;"&amp;$G434),"")</x:f>
        <x:v>174</x:v>
      </x:c>
      <x:c r="C434" t="str">
        <x:v>gtja_163</x:v>
      </x:c>
      <x:c r="D434" s="22" t="n">
        <x:v>20</x:v>
      </x:c>
      <x:c r="E434" t="str">
        <x:v>ranked</x:v>
      </x:c>
      <x:c r="F434" s="23" t="n">
        <x:v>0.004966602728574565</x:v>
      </x:c>
      <x:c r="G434" s="23" t="n">
        <x:f>ABS(F434)</x:f>
        <x:v>0.004966602728574565</x:v>
      </x:c>
      <x:c r="H434" s="23" t="str">
        <x:f>IF(F434&gt;=0,"positive","negative")</x:f>
        <x:v>positive</x:v>
      </x:c>
      <x:c r="I434" s="23" t="n">
        <x:v>0.11356715674606098</x:v>
      </x:c>
      <x:c r="J434" s="23" t="n">
        <x:v>0.043732738151400705</x:v>
      </x:c>
      <x:c r="K434" s="23" t="n">
        <x:v>0.5204442200908632</x:v>
      </x:c>
      <x:c r="L434" s="24" t="n">
        <x:v>1981</x:v>
      </x:c>
      <x:c r="M434" t="str">
        <x:v>legacy_common_sample_8902245</x:v>
      </x:c>
      <x:c r="N434" s="25" t="n">
        <x:v>46211.5122449537</x:v>
      </x:c>
      <x:c r="O434" s="24" t="n">
        <x:v>8902245</x:v>
      </x:c>
      <x:c r="P434" t="str">
        <x:v>factor_report/gtja191_batch/gtja_163/ic_summary.csv</x:v>
      </x:c>
    </x:row>
    <x:row r="435">
      <x:c r="A435" s="22" t="n">
        <x:f>IF($E435="ranked",1+COUNTIFS($D$5:$D$546,$D435,$E$5:$E$546,"ranked",$F$5:$F$546,"&gt;"&amp;$F435),"")</x:f>
        <x:v>75</x:v>
      </x:c>
      <x:c r="B435" s="22" t="n">
        <x:f>IF($E435="ranked",1+COUNTIFS($D$5:$D$546,$D435,$E$5:$E$546,"ranked",$G$5:$G$546,"&gt;"&amp;$G435),"")</x:f>
        <x:v>175</x:v>
      </x:c>
      <x:c r="C435" t="str">
        <x:v>gtja_119</x:v>
      </x:c>
      <x:c r="D435" s="22" t="n">
        <x:v>20</x:v>
      </x:c>
      <x:c r="E435" t="str">
        <x:v>ranked</x:v>
      </x:c>
      <x:c r="F435" s="23" t="n">
        <x:v>0.004066268877884704</x:v>
      </x:c>
      <x:c r="G435" s="23" t="n">
        <x:f>ABS(F435)</x:f>
        <x:v>0.004066268877884704</x:v>
      </x:c>
      <x:c r="H435" s="23" t="str">
        <x:f>IF(F435&gt;=0,"positive","negative")</x:f>
        <x:v>positive</x:v>
      </x:c>
      <x:c r="I435" s="23" t="n">
        <x:v>0.05056207116361191</x:v>
      </x:c>
      <x:c r="J435" s="23" t="n">
        <x:v>0.08042132737653916</x:v>
      </x:c>
      <x:c r="K435" s="23" t="n">
        <x:v>0.5209490156486623</x:v>
      </x:c>
      <x:c r="L435" s="24" t="n">
        <x:v>1981</x:v>
      </x:c>
      <x:c r="M435" t="str">
        <x:v>legacy_common_sample_8902245</x:v>
      </x:c>
      <x:c r="N435" s="25" t="n">
        <x:v>46211.39142025463</x:v>
      </x:c>
      <x:c r="O435" s="24" t="n">
        <x:v>8902245</x:v>
      </x:c>
      <x:c r="P435" t="str">
        <x:v>factor_report/gtja191_batch/gtja_119/ic_summary.csv</x:v>
      </x:c>
    </x:row>
    <x:row r="436">
      <x:c r="A436" s="22" t="n">
        <x:f>IF($E436="ranked",1+COUNTIFS($D$5:$D$546,$D436,$E$5:$E$546,"ranked",$F$5:$F$546,"&gt;"&amp;$F436),"")</x:f>
        <x:v>76</x:v>
      </x:c>
      <x:c r="B436" s="22" t="n">
        <x:f>IF($E436="ranked",1+COUNTIFS($D$5:$D$546,$D436,$E$5:$E$546,"ranked",$G$5:$G$546,"&gt;"&amp;$G436),"")</x:f>
        <x:v>176</x:v>
      </x:c>
      <x:c r="C436" t="str">
        <x:v>gtja_002</x:v>
      </x:c>
      <x:c r="D436" s="22" t="n">
        <x:v>20</x:v>
      </x:c>
      <x:c r="E436" t="str">
        <x:v>ranked</x:v>
      </x:c>
      <x:c r="F436" s="23" t="n">
        <x:v>0.00259474904267911</x:v>
      </x:c>
      <x:c r="G436" s="23" t="n">
        <x:f>ABS(F436)</x:f>
        <x:v>0.00259474904267911</x:v>
      </x:c>
      <x:c r="H436" s="23" t="str">
        <x:f>IF(F436&gt;=0,"positive","negative")</x:f>
        <x:v>positive</x:v>
      </x:c>
      <x:c r="I436" s="23" t="n">
        <x:v>0.09354214656137015</x:v>
      </x:c>
      <x:c r="J436" s="23" t="n">
        <x:v>0.02773882295909015</x:v>
      </x:c>
      <x:c r="K436" s="23" t="n">
        <x:v>0.5153962645128722</x:v>
      </x:c>
      <x:c r="L436" s="24" t="n">
        <x:v>1981</x:v>
      </x:c>
      <x:c r="M436" t="str">
        <x:v>legacy_common_sample_8902245</x:v>
      </x:c>
      <x:c r="N436" s="25" t="n">
        <x:v>46211.155761828704</x:v>
      </x:c>
      <x:c r="O436" s="24" t="n">
        <x:v>8902245</x:v>
      </x:c>
      <x:c r="P436" t="str">
        <x:v>factor_report/gtja191_batch/gtja_002/ic_summary.csv</x:v>
      </x:c>
    </x:row>
    <x:row r="437">
      <x:c r="A437" s="22" t="n">
        <x:f>IF($E437="ranked",1+COUNTIFS($D$5:$D$546,$D437,$E$5:$E$546,"ranked",$F$5:$F$546,"&gt;"&amp;$F437),"")</x:f>
        <x:v>77</x:v>
      </x:c>
      <x:c r="B437" s="22" t="n">
        <x:f>IF($E437="ranked",1+COUNTIFS($D$5:$D$546,$D437,$E$5:$E$546,"ranked",$G$5:$G$546,"&gt;"&amp;$G437),"")</x:f>
        <x:v>178</x:v>
      </x:c>
      <x:c r="C437" t="str">
        <x:v>gtja_111</x:v>
      </x:c>
      <x:c r="D437" s="22" t="n">
        <x:v>20</x:v>
      </x:c>
      <x:c r="E437" t="str">
        <x:v>ranked</x:v>
      </x:c>
      <x:c r="F437" s="23" t="n">
        <x:v>0.0019995421900137846</x:v>
      </x:c>
      <x:c r="G437" s="23" t="n">
        <x:f>ABS(F437)</x:f>
        <x:v>0.0019995421900137846</x:v>
      </x:c>
      <x:c r="H437" s="23" t="str">
        <x:f>IF(F437&gt;=0,"positive","negative")</x:f>
        <x:v>positive</x:v>
      </x:c>
      <x:c r="I437" s="23" t="n">
        <x:v>0.09244376042151504</x:v>
      </x:c>
      <x:c r="J437" s="23" t="n">
        <x:v>0.021629823158388288</x:v>
      </x:c>
      <x:c r="K437" s="23" t="n">
        <x:v>0.5133770822816759</x:v>
      </x:c>
      <x:c r="L437" s="24" t="n">
        <x:v>1981</x:v>
      </x:c>
      <x:c r="M437" t="str">
        <x:v>legacy_common_sample_8902245</x:v>
      </x:c>
      <x:c r="N437" s="25" t="n">
        <x:v>46211.36424368055</x:v>
      </x:c>
      <x:c r="O437" s="24" t="n">
        <x:v>8902245</x:v>
      </x:c>
      <x:c r="P437" t="str">
        <x:v>factor_report/gtja191_batch/gtja_111/ic_summary.csv</x:v>
      </x:c>
    </x:row>
    <x:row r="438">
      <x:c r="A438" s="22" t="n">
        <x:f>IF($E438="ranked",1+COUNTIFS($D$5:$D$546,$D438,$E$5:$E$546,"ranked",$F$5:$F$546,"&gt;"&amp;$F438),"")</x:f>
        <x:v>78</x:v>
      </x:c>
      <x:c r="B438" s="22" t="n">
        <x:f>IF($E438="ranked",1+COUNTIFS($D$5:$D$546,$D438,$E$5:$E$546,"ranked",$G$5:$G$546,"&gt;"&amp;$G438),"")</x:f>
        <x:v>180</x:v>
      </x:c>
      <x:c r="C438" t="str">
        <x:v>gtja_004</x:v>
      </x:c>
      <x:c r="D438" s="22" t="n">
        <x:v>20</x:v>
      </x:c>
      <x:c r="E438" t="str">
        <x:v>ranked</x:v>
      </x:c>
      <x:c r="F438" s="23" t="n">
        <x:v>0.0006447894973695364</x:v>
      </x:c>
      <x:c r="G438" s="23" t="n">
        <x:f>ABS(F438)</x:f>
        <x:v>0.0006447894973695364</x:v>
      </x:c>
      <x:c r="H438" s="23" t="str">
        <x:f>IF(F438&gt;=0,"positive","negative")</x:f>
        <x:v>positive</x:v>
      </x:c>
      <x:c r="I438" s="23" t="n">
        <x:v>0.06635328181691785</x:v>
      </x:c>
      <x:c r="J438" s="23" t="n">
        <x:v>0.009717522324647652</x:v>
      </x:c>
      <x:c r="K438" s="23" t="n">
        <x:v>0.4684502776375568</x:v>
      </x:c>
      <x:c r="L438" s="24" t="n">
        <x:v>1981</x:v>
      </x:c>
      <x:c r="M438" t="str">
        <x:v>legacy_common_sample_8902245</x:v>
      </x:c>
      <x:c r="N438" s="25" t="n">
        <x:v>46211.15884189815</x:v>
      </x:c>
      <x:c r="O438" s="24" t="n">
        <x:v>8902245</x:v>
      </x:c>
      <x:c r="P438" t="str">
        <x:v>factor_report/gtja191_batch/gtja_004/ic_summary.csv</x:v>
      </x:c>
    </x:row>
    <x:row r="439">
      <x:c r="A439" s="22" t="n">
        <x:f>IF($E439="ranked",1+COUNTIFS($D$5:$D$546,$D439,$E$5:$E$546,"ranked",$F$5:$F$546,"&gt;"&amp;$F439),"")</x:f>
        <x:v>79</x:v>
      </x:c>
      <x:c r="B439" s="22" t="n">
        <x:f>IF($E439="ranked",1+COUNTIFS($D$5:$D$546,$D439,$E$5:$E$546,"ranked",$G$5:$G$546,"&gt;"&amp;$G439),"")</x:f>
        <x:v>182</x:v>
      </x:c>
      <x:c r="C439" t="str">
        <x:v>gtja_186</x:v>
      </x:c>
      <x:c r="D439" s="22" t="n">
        <x:v>20</x:v>
      </x:c>
      <x:c r="E439" t="str">
        <x:v>ranked</x:v>
      </x:c>
      <x:c r="F439" s="23" t="n">
        <x:v>-0.0002276851864431226</x:v>
      </x:c>
      <x:c r="G439" s="23" t="n">
        <x:f>ABS(F439)</x:f>
        <x:v>0.0002276851864431226</x:v>
      </x:c>
      <x:c r="H439" s="23" t="str">
        <x:f>IF(F439&gt;=0,"positive","negative")</x:f>
        <x:v>negative</x:v>
      </x:c>
      <x:c r="I439" s="23" t="n">
        <x:v>0.08267717695048045</x:v>
      </x:c>
      <x:c r="J439" s="23" t="n">
        <x:v>-0.0027539061545303464</x:v>
      </x:c>
      <x:c r="K439" s="23" t="n">
        <x:v>0.46138313982836954</x:v>
      </x:c>
      <x:c r="L439" s="24" t="n">
        <x:v>1981</x:v>
      </x:c>
      <x:c r="M439" t="str">
        <x:v>legacy_common_sample_8902245</x:v>
      </x:c>
      <x:c r="N439" s="25" t="n">
        <x:v>46211.5485016088</x:v>
      </x:c>
      <x:c r="O439" s="24" t="n">
        <x:v>8902245</x:v>
      </x:c>
      <x:c r="P439" t="str">
        <x:v>factor_report/gtja191_batch/gtja_186/ic_summary.csv</x:v>
      </x:c>
    </x:row>
    <x:row r="440">
      <x:c r="A440" s="22" t="n">
        <x:f>IF($E440="ranked",1+COUNTIFS($D$5:$D$546,$D440,$E$5:$E$546,"ranked",$F$5:$F$546,"&gt;"&amp;$F440),"")</x:f>
        <x:v>80</x:v>
      </x:c>
      <x:c r="B440" s="22" t="n">
        <x:f>IF($E440="ranked",1+COUNTIFS($D$5:$D$546,$D440,$E$5:$E$546,"ranked",$G$5:$G$546,"&gt;"&amp;$G440),"")</x:f>
        <x:v>181</x:v>
      </x:c>
      <x:c r="C440" t="str">
        <x:v>gtja_172</x:v>
      </x:c>
      <x:c r="D440" s="22" t="n">
        <x:v>20</x:v>
      </x:c>
      <x:c r="E440" t="str">
        <x:v>ranked</x:v>
      </x:c>
      <x:c r="F440" s="23" t="n">
        <x:v>-0.00048523091950950875</x:v>
      </x:c>
      <x:c r="G440" s="23" t="n">
        <x:f>ABS(F440)</x:f>
        <x:v>0.00048523091950950875</x:v>
      </x:c>
      <x:c r="H440" s="23" t="str">
        <x:f>IF(F440&gt;=0,"positive","negative")</x:f>
        <x:v>negative</x:v>
      </x:c>
      <x:c r="I440" s="23" t="n">
        <x:v>0.08369551266032782</x:v>
      </x:c>
      <x:c r="J440" s="23" t="n">
        <x:v>-0.005797573897166785</x:v>
      </x:c>
      <x:c r="K440" s="23" t="n">
        <x:v>0.4719838465421504</x:v>
      </x:c>
      <x:c r="L440" s="24" t="n">
        <x:v>1981</x:v>
      </x:c>
      <x:c r="M440" t="str">
        <x:v>legacy_common_sample_8902245</x:v>
      </x:c>
      <x:c r="N440" s="25" t="n">
        <x:v>46211.5309509838</x:v>
      </x:c>
      <x:c r="O440" s="24" t="n">
        <x:v>8902245</x:v>
      </x:c>
      <x:c r="P440" t="str">
        <x:v>factor_report/gtja191_batch/gtja_172/ic_summary.csv</x:v>
      </x:c>
    </x:row>
    <x:row r="441">
      <x:c r="A441" s="22" t="n">
        <x:f>IF($E441="ranked",1+COUNTIFS($D$5:$D$546,$D441,$E$5:$E$546,"ranked",$F$5:$F$546,"&gt;"&amp;$F441),"")</x:f>
        <x:v>81</x:v>
      </x:c>
      <x:c r="B441" s="22" t="n">
        <x:f>IF($E441="ranked",1+COUNTIFS($D$5:$D$546,$D441,$E$5:$E$546,"ranked",$G$5:$G$546,"&gt;"&amp;$G441),"")</x:f>
        <x:v>179</x:v>
      </x:c>
      <x:c r="C441" t="str">
        <x:v>gtja_171</x:v>
      </x:c>
      <x:c r="D441" s="22" t="n">
        <x:v>20</x:v>
      </x:c>
      <x:c r="E441" t="str">
        <x:v>ranked</x:v>
      </x:c>
      <x:c r="F441" s="23" t="n">
        <x:v>-0.0014913989789205086</x:v>
      </x:c>
      <x:c r="G441" s="23" t="n">
        <x:f>ABS(F441)</x:f>
        <x:v>0.0014913989789205086</x:v>
      </x:c>
      <x:c r="H441" s="23" t="str">
        <x:f>IF(F441&gt;=0,"positive","negative")</x:f>
        <x:v>negative</x:v>
      </x:c>
      <x:c r="I441" s="23" t="n">
        <x:v>0.09372969700325982</x:v>
      </x:c>
      <x:c r="J441" s="23" t="n">
        <x:v>-0.015911701697580855</x:v>
      </x:c>
      <x:c r="K441" s="23" t="n">
        <x:v>0.48662291771832406</x:v>
      </x:c>
      <x:c r="L441" s="24" t="n">
        <x:v>1981</x:v>
      </x:c>
      <x:c r="M441" t="str">
        <x:v>legacy_common_sample_8902245</x:v>
      </x:c>
      <x:c r="N441" s="25" t="n">
        <x:v>46211.52808474537</x:v>
      </x:c>
      <x:c r="O441" s="24" t="n">
        <x:v>8902245</x:v>
      </x:c>
      <x:c r="P441" t="str">
        <x:v>factor_report/gtja191_batch/gtja_171/ic_summary.csv</x:v>
      </x:c>
    </x:row>
    <x:row r="442">
      <x:c r="A442" s="22" t="n">
        <x:f>IF($E442="ranked",1+COUNTIFS($D$5:$D$546,$D442,$E$5:$E$546,"ranked",$F$5:$F$546,"&gt;"&amp;$F442),"")</x:f>
        <x:v>82</x:v>
      </x:c>
      <x:c r="B442" s="22" t="n">
        <x:f>IF($E442="ranked",1+COUNTIFS($D$5:$D$546,$D442,$E$5:$E$546,"ranked",$G$5:$G$546,"&gt;"&amp;$G442),"")</x:f>
        <x:v>177</x:v>
      </x:c>
      <x:c r="C442" t="str">
        <x:v>gtja_142</x:v>
      </x:c>
      <x:c r="D442" s="22" t="n">
        <x:v>20</x:v>
      </x:c>
      <x:c r="E442" t="str">
        <x:v>ranked</x:v>
      </x:c>
      <x:c r="F442" s="23" t="n">
        <x:v>-0.002240955096747608</x:v>
      </x:c>
      <x:c r="G442" s="23" t="n">
        <x:f>ABS(F442)</x:f>
        <x:v>0.002240955096747608</x:v>
      </x:c>
      <x:c r="H442" s="23" t="str">
        <x:f>IF(F442&gt;=0,"positive","negative")</x:f>
        <x:v>negative</x:v>
      </x:c>
      <x:c r="I442" s="23" t="n">
        <x:v>0.0978680990033249</x:v>
      </x:c>
      <x:c r="J442" s="23" t="n">
        <x:v>-0.022897707420182704</x:v>
      </x:c>
      <x:c r="K442" s="23" t="n">
        <x:v>0.48965169106511863</x:v>
      </x:c>
      <x:c r="L442" s="24" t="n">
        <x:v>1981</x:v>
      </x:c>
      <x:c r="M442" t="str">
        <x:v>legacy_common_sample_8902245</x:v>
      </x:c>
      <x:c r="N442" s="25" t="n">
        <x:v>46211.45015293981</x:v>
      </x:c>
      <x:c r="O442" s="24" t="n">
        <x:v>8902245</x:v>
      </x:c>
      <x:c r="P442" t="str">
        <x:v>factor_report/gtja191_batch/gtja_142/ic_summary.csv</x:v>
      </x:c>
    </x:row>
    <x:row r="443">
      <x:c r="A443" s="22" t="n">
        <x:f>IF($E443="ranked",1+COUNTIFS($D$5:$D$546,$D443,$E$5:$E$546,"ranked",$F$5:$F$546,"&gt;"&amp;$F443),"")</x:f>
        <x:v>83</x:v>
      </x:c>
      <x:c r="B443" s="22" t="n">
        <x:f>IF($E443="ranked",1+COUNTIFS($D$5:$D$546,$D443,$E$5:$E$546,"ranked",$G$5:$G$546,"&gt;"&amp;$G443),"")</x:f>
        <x:v>173</x:v>
      </x:c>
      <x:c r="C443" t="str">
        <x:v>gtja_146</x:v>
      </x:c>
      <x:c r="D443" s="22" t="n">
        <x:v>20</x:v>
      </x:c>
      <x:c r="E443" t="str">
        <x:v>ranked</x:v>
      </x:c>
      <x:c r="F443" s="23" t="n">
        <x:v>-0.0057458720911978105</x:v>
      </x:c>
      <x:c r="G443" s="23" t="n">
        <x:f>ABS(F443)</x:f>
        <x:v>0.0057458720911978105</x:v>
      </x:c>
      <x:c r="H443" s="23" t="str">
        <x:f>IF(F443&gt;=0,"positive","negative")</x:f>
        <x:v>negative</x:v>
      </x:c>
      <x:c r="I443" s="23" t="n">
        <x:v>0.08308906194559756</x:v>
      </x:c>
      <x:c r="J443" s="23" t="n">
        <x:v>-0.06915317078630533</x:v>
      </x:c>
      <x:c r="K443" s="23" t="n">
        <x:v>0.4628975265017668</x:v>
      </x:c>
      <x:c r="L443" s="24" t="n">
        <x:v>1981</x:v>
      </x:c>
      <x:c r="M443" t="str">
        <x:v>legacy_common_sample_8902245</x:v>
      </x:c>
      <x:c r="N443" s="25" t="n">
        <x:v>46211.45605219907</x:v>
      </x:c>
      <x:c r="O443" s="24" t="n">
        <x:v>8902245</x:v>
      </x:c>
      <x:c r="P443" t="str">
        <x:v>factor_report/gtja191_batch/gtja_146/ic_summary.csv</x:v>
      </x:c>
    </x:row>
    <x:row r="444">
      <x:c r="A444" s="22" t="n">
        <x:f>IF($E444="ranked",1+COUNTIFS($D$5:$D$546,$D444,$E$5:$E$546,"ranked",$F$5:$F$546,"&gt;"&amp;$F444),"")</x:f>
        <x:v>84</x:v>
      </x:c>
      <x:c r="B444" s="22" t="n">
        <x:f>IF($E444="ranked",1+COUNTIFS($D$5:$D$546,$D444,$E$5:$E$546,"ranked",$G$5:$G$546,"&gt;"&amp;$G444),"")</x:f>
        <x:v>169</x:v>
      </x:c>
      <x:c r="C444" t="str">
        <x:v>gtja_124</x:v>
      </x:c>
      <x:c r="D444" s="22" t="n">
        <x:v>20</x:v>
      </x:c>
      <x:c r="E444" t="str">
        <x:v>ranked</x:v>
      </x:c>
      <x:c r="F444" s="23" t="n">
        <x:v>-0.0074801309184992035</x:v>
      </x:c>
      <x:c r="G444" s="23" t="n">
        <x:f>ABS(F444)</x:f>
        <x:v>0.0074801309184992035</x:v>
      </x:c>
      <x:c r="H444" s="23" t="str">
        <x:f>IF(F444&gt;=0,"positive","negative")</x:f>
        <x:v>negative</x:v>
      </x:c>
      <x:c r="I444" s="23" t="n">
        <x:v>0.10189085162260185</x:v>
      </x:c>
      <x:c r="J444" s="23" t="n">
        <x:v>-0.07341317497477791</x:v>
      </x:c>
      <x:c r="K444" s="23" t="n">
        <x:v>0.47147905098435133</x:v>
      </x:c>
      <x:c r="L444" s="24" t="n">
        <x:v>1981</x:v>
      </x:c>
      <x:c r="M444" t="str">
        <x:v>legacy_common_sample_8902245</x:v>
      </x:c>
      <x:c r="N444" s="25" t="n">
        <x:v>46211.41230089121</x:v>
      </x:c>
      <x:c r="O444" s="24" t="n">
        <x:v>8902245</x:v>
      </x:c>
      <x:c r="P444" t="str">
        <x:v>factor_report/gtja191_batch/gtja_124/ic_summary.csv</x:v>
      </x:c>
    </x:row>
    <x:row r="445">
      <x:c r="A445" s="22" t="n">
        <x:f>IF($E445="ranked",1+COUNTIFS($D$5:$D$546,$D445,$E$5:$E$546,"ranked",$F$5:$F$546,"&gt;"&amp;$F445),"")</x:f>
        <x:v>85</x:v>
      </x:c>
      <x:c r="B445" s="22" t="n">
        <x:f>IF($E445="ranked",1+COUNTIFS($D$5:$D$546,$D445,$E$5:$E$546,"ranked",$G$5:$G$546,"&gt;"&amp;$G445),"")</x:f>
        <x:v>166</x:v>
      </x:c>
      <x:c r="C445" t="str">
        <x:v>gtja_162</x:v>
      </x:c>
      <x:c r="D445" s="22" t="n">
        <x:v>20</x:v>
      </x:c>
      <x:c r="E445" t="str">
        <x:v>ranked</x:v>
      </x:c>
      <x:c r="F445" s="23" t="n">
        <x:v>-0.008626401057658625</x:v>
      </x:c>
      <x:c r="G445" s="23" t="n">
        <x:f>ABS(F445)</x:f>
        <x:v>0.008626401057658625</x:v>
      </x:c>
      <x:c r="H445" s="23" t="str">
        <x:f>IF(F445&gt;=0,"positive","negative")</x:f>
        <x:v>negative</x:v>
      </x:c>
      <x:c r="I445" s="23" t="n">
        <x:v>0.11428365490215456</x:v>
      </x:c>
      <x:c r="J445" s="23" t="n">
        <x:v>-0.07548236941708095</x:v>
      </x:c>
      <x:c r="K445" s="23" t="n">
        <x:v>0.47147905098435133</x:v>
      </x:c>
      <x:c r="L445" s="24" t="n">
        <x:v>1981</x:v>
      </x:c>
      <x:c r="M445" t="str">
        <x:v>legacy_common_sample_8902245</x:v>
      </x:c>
      <x:c r="N445" s="25" t="n">
        <x:v>46211.50984748843</x:v>
      </x:c>
      <x:c r="O445" s="24" t="n">
        <x:v>8902245</x:v>
      </x:c>
      <x:c r="P445" t="str">
        <x:v>factor_report/gtja191_batch/gtja_162/ic_summary.csv</x:v>
      </x:c>
    </x:row>
    <x:row r="446">
      <x:c r="A446" s="22" t="n">
        <x:f>IF($E446="ranked",1+COUNTIFS($D$5:$D$546,$D446,$E$5:$E$546,"ranked",$F$5:$F$546,"&gt;"&amp;$F446),"")</x:f>
        <x:v>86</x:v>
      </x:c>
      <x:c r="B446" s="22" t="n">
        <x:f>IF($E446="ranked",1+COUNTIFS($D$5:$D$546,$D446,$E$5:$E$546,"ranked",$G$5:$G$546,"&gt;"&amp;$G446),"")</x:f>
        <x:v>165</x:v>
      </x:c>
      <x:c r="C446" t="str">
        <x:v>gtja_191</x:v>
      </x:c>
      <x:c r="D446" s="22" t="n">
        <x:v>20</x:v>
      </x:c>
      <x:c r="E446" t="str">
        <x:v>ranked</x:v>
      </x:c>
      <x:c r="F446" s="23" t="n">
        <x:v>-0.008723780893884016</x:v>
      </x:c>
      <x:c r="G446" s="23" t="n">
        <x:f>ABS(F446)</x:f>
        <x:v>0.008723780893884016</x:v>
      </x:c>
      <x:c r="H446" s="23" t="str">
        <x:f>IF(F446&gt;=0,"positive","negative")</x:f>
        <x:v>negative</x:v>
      </x:c>
      <x:c r="I446" s="23" t="n">
        <x:v>0.07661246806822583</x:v>
      </x:c>
      <x:c r="J446" s="23" t="n">
        <x:v>-0.11386894475342071</x:v>
      </x:c>
      <x:c r="K446" s="23" t="n">
        <x:v>0.4447248864209995</x:v>
      </x:c>
      <x:c r="L446" s="24" t="n">
        <x:v>1981</x:v>
      </x:c>
      <x:c r="M446" t="str">
        <x:v>legacy_common_sample_8902245</x:v>
      </x:c>
      <x:c r="N446" s="25" t="n">
        <x:v>46211.55645755787</x:v>
      </x:c>
      <x:c r="O446" s="24" t="n">
        <x:v>8902245</x:v>
      </x:c>
      <x:c r="P446" t="str">
        <x:v>factor_report/gtja191_batch/gtja_191/ic_summary.csv</x:v>
      </x:c>
    </x:row>
    <x:row r="447">
      <x:c r="A447" s="22" t="n">
        <x:f>IF($E447="ranked",1+COUNTIFS($D$5:$D$546,$D447,$E$5:$E$546,"ranked",$F$5:$F$546,"&gt;"&amp;$F447),"")</x:f>
        <x:v>87</x:v>
      </x:c>
      <x:c r="B447" s="22" t="n">
        <x:f>IF($E447="ranked",1+COUNTIFS($D$5:$D$546,$D447,$E$5:$E$546,"ranked",$G$5:$G$546,"&gt;"&amp;$G447),"")</x:f>
        <x:v>164</x:v>
      </x:c>
      <x:c r="C447" t="str">
        <x:v>gtja_091</x:v>
      </x:c>
      <x:c r="D447" s="22" t="n">
        <x:v>20</x:v>
      </x:c>
      <x:c r="E447" t="str">
        <x:v>ranked</x:v>
      </x:c>
      <x:c r="F447" s="23" t="n">
        <x:v>-0.00910210324691601</x:v>
      </x:c>
      <x:c r="G447" s="23" t="n">
        <x:f>ABS(F447)</x:f>
        <x:v>0.00910210324691601</x:v>
      </x:c>
      <x:c r="H447" s="23" t="str">
        <x:f>IF(F447&gt;=0,"positive","negative")</x:f>
        <x:v>negative</x:v>
      </x:c>
      <x:c r="I447" s="23" t="n">
        <x:v>0.10011027175948094</x:v>
      </x:c>
      <x:c r="J447" s="23" t="n">
        <x:v>-0.0909207725335537</x:v>
      </x:c>
      <x:c r="K447" s="23" t="n">
        <x:v>0.4634023220595659</x:v>
      </x:c>
      <x:c r="L447" s="24" t="n">
        <x:v>1981</x:v>
      </x:c>
      <x:c r="M447" t="str">
        <x:v>legacy_common_sample_8902245</x:v>
      </x:c>
      <x:c r="N447" s="25" t="n">
        <x:v>46211.33546769676</x:v>
      </x:c>
      <x:c r="O447" s="24" t="n">
        <x:v>8902245</x:v>
      </x:c>
      <x:c r="P447" t="str">
        <x:v>factor_report/gtja191_batch/gtja_091/ic_summary.csv</x:v>
      </x:c>
    </x:row>
    <x:row r="448">
      <x:c r="A448" s="22" t="n">
        <x:f>IF($E448="ranked",1+COUNTIFS($D$5:$D$546,$D448,$E$5:$E$546,"ranked",$F$5:$F$546,"&gt;"&amp;$F448),"")</x:f>
        <x:v>88</x:v>
      </x:c>
      <x:c r="B448" s="22" t="n">
        <x:f>IF($E448="ranked",1+COUNTIFS($D$5:$D$546,$D448,$E$5:$E$546,"ranked",$G$5:$G$546,"&gt;"&amp;$G448),"")</x:f>
        <x:v>163</x:v>
      </x:c>
      <x:c r="C448" t="str">
        <x:v>gtja_076</x:v>
      </x:c>
      <x:c r="D448" s="22" t="n">
        <x:v>20</x:v>
      </x:c>
      <x:c r="E448" t="str">
        <x:v>ranked</x:v>
      </x:c>
      <x:c r="F448" s="23" t="n">
        <x:v>-0.01015491091355887</x:v>
      </x:c>
      <x:c r="G448" s="23" t="n">
        <x:f>ABS(F448)</x:f>
        <x:v>0.01015491091355887</x:v>
      </x:c>
      <x:c r="H448" s="23" t="str">
        <x:f>IF(F448&gt;=0,"positive","negative")</x:f>
        <x:v>negative</x:v>
      </x:c>
      <x:c r="I448" s="23" t="n">
        <x:v>0.06031731953262023</x:v>
      </x:c>
      <x:c r="J448" s="23" t="n">
        <x:v>-0.16835812652561574</x:v>
      </x:c>
      <x:c r="K448" s="23" t="n">
        <x:v>0.4093891973750631</x:v>
      </x:c>
      <x:c r="L448" s="24" t="n">
        <x:v>1981</x:v>
      </x:c>
      <x:c r="M448" t="str">
        <x:v>legacy_common_sample_8902245</x:v>
      </x:c>
      <x:c r="N448" s="25" t="n">
        <x:v>46211.30655486111</x:v>
      </x:c>
      <x:c r="O448" s="24" t="n">
        <x:v>8902245</x:v>
      </x:c>
      <x:c r="P448" t="str">
        <x:v>factor_report/gtja191_batch/gtja_076/ic_summary.csv</x:v>
      </x:c>
    </x:row>
    <x:row r="449">
      <x:c r="A449" s="22" t="n">
        <x:f>IF($E449="ranked",1+COUNTIFS($D$5:$D$546,$D449,$E$5:$E$546,"ranked",$F$5:$F$546,"&gt;"&amp;$F449),"")</x:f>
        <x:v>89</x:v>
      </x:c>
      <x:c r="B449" s="22" t="n">
        <x:f>IF($E449="ranked",1+COUNTIFS($D$5:$D$546,$D449,$E$5:$E$546,"ranked",$G$5:$G$546,"&gt;"&amp;$G449),"")</x:f>
        <x:v>158</x:v>
      </x:c>
      <x:c r="C449" t="str">
        <x:v>gtja_178</x:v>
      </x:c>
      <x:c r="D449" s="22" t="n">
        <x:v>20</x:v>
      </x:c>
      <x:c r="E449" t="str">
        <x:v>ranked</x:v>
      </x:c>
      <x:c r="F449" s="23" t="n">
        <x:v>-0.011558780832637798</x:v>
      </x:c>
      <x:c r="G449" s="23" t="n">
        <x:f>ABS(F449)</x:f>
        <x:v>0.011558780832637798</x:v>
      </x:c>
      <x:c r="H449" s="23" t="str">
        <x:f>IF(F449&gt;=0,"positive","negative")</x:f>
        <x:v>negative</x:v>
      </x:c>
      <x:c r="I449" s="23" t="n">
        <x:v>0.10272819585594392</x:v>
      </x:c>
      <x:c r="J449" s="23" t="n">
        <x:v>-0.11251809433942278</x:v>
      </x:c>
      <x:c r="K449" s="23" t="n">
        <x:v>0.45229681978798586</x:v>
      </x:c>
      <x:c r="L449" s="24" t="n">
        <x:v>1981</x:v>
      </x:c>
      <x:c r="M449" t="str">
        <x:v>legacy_common_sample_8902245</x:v>
      </x:c>
      <x:c r="N449" s="25" t="n">
        <x:v>46211.5335721875</x:v>
      </x:c>
      <x:c r="O449" s="24" t="n">
        <x:v>8902245</x:v>
      </x:c>
      <x:c r="P449" t="str">
        <x:v>factor_report/gtja191_batch/gtja_178/ic_summary.csv</x:v>
      </x:c>
    </x:row>
    <x:row r="450">
      <x:c r="A450" s="22" t="n">
        <x:f>IF($E450="ranked",1+COUNTIFS($D$5:$D$546,$D450,$E$5:$E$546,"ranked",$F$5:$F$546,"&gt;"&amp;$F450),"")</x:f>
        <x:v>90</x:v>
      </x:c>
      <x:c r="B450" s="22" t="n">
        <x:f>IF($E450="ranked",1+COUNTIFS($D$5:$D$546,$D450,$E$5:$E$546,"ranked",$G$5:$G$546,"&gt;"&amp;$G450),"")</x:f>
        <x:v>154</x:v>
      </x:c>
      <x:c r="C450" t="str">
        <x:v>gtja_011</x:v>
      </x:c>
      <x:c r="D450" s="22" t="n">
        <x:v>20</x:v>
      </x:c>
      <x:c r="E450" t="str">
        <x:v>ranked</x:v>
      </x:c>
      <x:c r="F450" s="23" t="n">
        <x:v>-0.01376007623230903</x:v>
      </x:c>
      <x:c r="G450" s="23" t="n">
        <x:f>ABS(F450)</x:f>
        <x:v>0.01376007623230903</x:v>
      </x:c>
      <x:c r="H450" s="23" t="str">
        <x:f>IF(F450&gt;=0,"positive","negative")</x:f>
        <x:v>negative</x:v>
      </x:c>
      <x:c r="I450" s="23" t="n">
        <x:v>0.09070935946200924</x:v>
      </x:c>
      <x:c r="J450" s="23" t="n">
        <x:v>-0.15169411749701533</x:v>
      </x:c>
      <x:c r="K450" s="23" t="n">
        <x:v>0.4634023220595659</x:v>
      </x:c>
      <x:c r="L450" s="24" t="n">
        <x:v>1981</x:v>
      </x:c>
      <x:c r="M450" t="str">
        <x:v>legacy_common_sample_8902245</x:v>
      </x:c>
      <x:c r="N450" s="25" t="n">
        <x:v>46211.181871574074</x:v>
      </x:c>
      <x:c r="O450" s="24" t="n">
        <x:v>8902245</x:v>
      </x:c>
      <x:c r="P450" t="str">
        <x:v>factor_report/gtja191_batch/gtja_011/ic_summary.csv</x:v>
      </x:c>
    </x:row>
    <x:row r="451">
      <x:c r="A451" s="22" t="n">
        <x:f>IF($E451="ranked",1+COUNTIFS($D$5:$D$546,$D451,$E$5:$E$546,"ranked",$F$5:$F$546,"&gt;"&amp;$F451),"")</x:f>
        <x:v>91</x:v>
      </x:c>
      <x:c r="B451" s="22" t="n">
        <x:f>IF($E451="ranked",1+COUNTIFS($D$5:$D$546,$D451,$E$5:$E$546,"ranked",$G$5:$G$546,"&gt;"&amp;$G451),"")</x:f>
        <x:v>152</x:v>
      </x:c>
      <x:c r="C451" t="str">
        <x:v>gtja_188</x:v>
      </x:c>
      <x:c r="D451" s="22" t="n">
        <x:v>20</x:v>
      </x:c>
      <x:c r="E451" t="str">
        <x:v>ranked</x:v>
      </x:c>
      <x:c r="F451" s="23" t="n">
        <x:v>-0.01434776947407209</x:v>
      </x:c>
      <x:c r="G451" s="23" t="n">
        <x:f>ABS(F451)</x:f>
        <x:v>0.01434776947407209</x:v>
      </x:c>
      <x:c r="H451" s="23" t="str">
        <x:f>IF(F451&gt;=0,"positive","negative")</x:f>
        <x:v>negative</x:v>
      </x:c>
      <x:c r="I451" s="23" t="n">
        <x:v>0.07312451200631714</x:v>
      </x:c>
      <x:c r="J451" s="23" t="n">
        <x:v>-0.19621012271278615</x:v>
      </x:c>
      <x:c r="K451" s="23" t="n">
        <x:v>0.41847551741544675</x:v>
      </x:c>
      <x:c r="L451" s="24" t="n">
        <x:v>1981</x:v>
      </x:c>
      <x:c r="M451" t="str">
        <x:v>legacy_common_sample_8902245</x:v>
      </x:c>
      <x:c r="N451" s="25" t="n">
        <x:v>46211.55150134259</x:v>
      </x:c>
      <x:c r="O451" s="24" t="n">
        <x:v>8902245</x:v>
      </x:c>
      <x:c r="P451" t="str">
        <x:v>factor_report/gtja191_batch/gtja_188/ic_summary.csv</x:v>
      </x:c>
    </x:row>
    <x:row r="452">
      <x:c r="A452" s="22" t="n">
        <x:f>IF($E452="ranked",1+COUNTIFS($D$5:$D$546,$D452,$E$5:$E$546,"ranked",$F$5:$F$546,"&gt;"&amp;$F452),"")</x:f>
        <x:v>92</x:v>
      </x:c>
      <x:c r="B452" s="22" t="n">
        <x:f>IF($E452="ranked",1+COUNTIFS($D$5:$D$546,$D452,$E$5:$E$546,"ranked",$G$5:$G$546,"&gt;"&amp;$G452),"")</x:f>
        <x:v>151</x:v>
      </x:c>
      <x:c r="C452" t="str">
        <x:v>gtja_155</x:v>
      </x:c>
      <x:c r="D452" s="22" t="n">
        <x:v>20</x:v>
      </x:c>
      <x:c r="E452" t="str">
        <x:v>ranked</x:v>
      </x:c>
      <x:c r="F452" s="23" t="n">
        <x:v>-0.014456809730245502</x:v>
      </x:c>
      <x:c r="G452" s="23" t="n">
        <x:f>ABS(F452)</x:f>
        <x:v>0.014456809730245502</x:v>
      </x:c>
      <x:c r="H452" s="23" t="str">
        <x:f>IF(F452&gt;=0,"positive","negative")</x:f>
        <x:v>negative</x:v>
      </x:c>
      <x:c r="I452" s="23" t="n">
        <x:v>0.07603418993094509</x:v>
      </x:c>
      <x:c r="J452" s="23" t="n">
        <x:v>-0.19013564481156836</x:v>
      </x:c>
      <x:c r="K452" s="23" t="n">
        <x:v>0.42453306410903585</x:v>
      </x:c>
      <x:c r="L452" s="24" t="n">
        <x:v>1981</x:v>
      </x:c>
      <x:c r="M452" t="str">
        <x:v>legacy_common_sample_8902245</x:v>
      </x:c>
      <x:c r="N452" s="25" t="n">
        <x:v>46211.49922533565</x:v>
      </x:c>
      <x:c r="O452" s="24" t="n">
        <x:v>8902245</x:v>
      </x:c>
      <x:c r="P452" t="str">
        <x:v>factor_report/gtja191_batch/gtja_155/ic_summary.csv</x:v>
      </x:c>
    </x:row>
    <x:row r="453">
      <x:c r="A453" s="22" t="n">
        <x:f>IF($E453="ranked",1+COUNTIFS($D$5:$D$546,$D453,$E$5:$E$546,"ranked",$F$5:$F$546,"&gt;"&amp;$F453),"")</x:f>
        <x:v>93</x:v>
      </x:c>
      <x:c r="B453" s="22" t="n">
        <x:f>IF($E453="ranked",1+COUNTIFS($D$5:$D$546,$D453,$E$5:$E$546,"ranked",$G$5:$G$546,"&gt;"&amp;$G453),"")</x:f>
        <x:v>150</x:v>
      </x:c>
      <x:c r="C453" t="str">
        <x:v>gtja_022</x:v>
      </x:c>
      <x:c r="D453" s="22" t="n">
        <x:v>20</x:v>
      </x:c>
      <x:c r="E453" t="str">
        <x:v>ranked</x:v>
      </x:c>
      <x:c r="F453" s="23" t="n">
        <x:v>-0.014465918462138835</x:v>
      </x:c>
      <x:c r="G453" s="23" t="n">
        <x:f>ABS(F453)</x:f>
        <x:v>0.014465918462138835</x:v>
      </x:c>
      <x:c r="H453" s="23" t="str">
        <x:f>IF(F453&gt;=0,"positive","negative")</x:f>
        <x:v>negative</x:v>
      </x:c>
      <x:c r="I453" s="23" t="n">
        <x:v>0.12142651149968318</x:v>
      </x:c>
      <x:c r="J453" s="23" t="n">
        <x:v>-0.11913311420608982</x:v>
      </x:c>
      <x:c r="K453" s="23" t="n">
        <x:v>0.4538112064613831</x:v>
      </x:c>
      <x:c r="L453" s="24" t="n">
        <x:v>1981</x:v>
      </x:c>
      <x:c r="M453" t="str">
        <x:v>legacy_common_sample_8902245</x:v>
      </x:c>
      <x:c r="N453" s="25" t="n">
        <x:v>46211.206014745374</x:v>
      </x:c>
      <x:c r="O453" s="24" t="n">
        <x:v>8902245</x:v>
      </x:c>
      <x:c r="P453" t="str">
        <x:v>factor_report/gtja191_batch/gtja_022/ic_summary.csv</x:v>
      </x:c>
    </x:row>
    <x:row r="454">
      <x:c r="A454" s="22" t="n">
        <x:f>IF($E454="ranked",1+COUNTIFS($D$5:$D$546,$D454,$E$5:$E$546,"ranked",$F$5:$F$546,"&gt;"&amp;$F454),"")</x:f>
        <x:v>94</x:v>
      </x:c>
      <x:c r="B454" s="22" t="n">
        <x:f>IF($E454="ranked",1+COUNTIFS($D$5:$D$546,$D454,$E$5:$E$546,"ranked",$G$5:$G$546,"&gt;"&amp;$G454),"")</x:f>
        <x:v>149</x:v>
      </x:c>
      <x:c r="C454" t="str">
        <x:v>gtja_044</x:v>
      </x:c>
      <x:c r="D454" s="22" t="n">
        <x:v>20</x:v>
      </x:c>
      <x:c r="E454" t="str">
        <x:v>ranked</x:v>
      </x:c>
      <x:c r="F454" s="23" t="n">
        <x:v>-0.015000810899272576</x:v>
      </x:c>
      <x:c r="G454" s="23" t="n">
        <x:f>ABS(F454)</x:f>
        <x:v>0.015000810899272576</x:v>
      </x:c>
      <x:c r="H454" s="23" t="str">
        <x:f>IF(F454&gt;=0,"positive","negative")</x:f>
        <x:v>negative</x:v>
      </x:c>
      <x:c r="I454" s="23" t="n">
        <x:v>0.07836058647670587</x:v>
      </x:c>
      <x:c r="J454" s="23" t="n">
        <x:v>-0.1914331116412949</x:v>
      </x:c>
      <x:c r="K454" s="23" t="n">
        <x:v>0.41898031297324584</x:v>
      </x:c>
      <x:c r="L454" s="24" t="n">
        <x:v>1981</x:v>
      </x:c>
      <x:c r="M454" t="str">
        <x:v>legacy_common_sample_8902245</x:v>
      </x:c>
      <x:c r="N454" s="25" t="n">
        <x:v>46211.262911157406</x:v>
      </x:c>
      <x:c r="O454" s="24" t="n">
        <x:v>8902245</x:v>
      </x:c>
      <x:c r="P454" t="str">
        <x:v>factor_report/gtja191_batch/gtja_044/ic_summary.csv</x:v>
      </x:c>
    </x:row>
    <x:row r="455">
      <x:c r="A455" s="22" t="n">
        <x:f>IF($E455="ranked",1+COUNTIFS($D$5:$D$546,$D455,$E$5:$E$546,"ranked",$F$5:$F$546,"&gt;"&amp;$F455),"")</x:f>
        <x:v>95</x:v>
      </x:c>
      <x:c r="B455" s="22" t="n">
        <x:f>IF($E455="ranked",1+COUNTIFS($D$5:$D$546,$D455,$E$5:$E$546,"ranked",$G$5:$G$546,"&gt;"&amp;$G455),"")</x:f>
        <x:v>148</x:v>
      </x:c>
      <x:c r="C455" t="str">
        <x:v>gtja_131</x:v>
      </x:c>
      <x:c r="D455" s="22" t="n">
        <x:v>20</x:v>
      </x:c>
      <x:c r="E455" t="str">
        <x:v>ranked</x:v>
      </x:c>
      <x:c r="F455" s="23" t="n">
        <x:v>-0.01601436357634598</x:v>
      </x:c>
      <x:c r="G455" s="23" t="n">
        <x:f>ABS(F455)</x:f>
        <x:v>0.01601436357634598</x:v>
      </x:c>
      <x:c r="H455" s="23" t="str">
        <x:f>IF(F455&gt;=0,"positive","negative")</x:f>
        <x:v>negative</x:v>
      </x:c>
      <x:c r="I455" s="23" t="n">
        <x:v>0.09665899196007952</x:v>
      </x:c>
      <x:c r="J455" s="23" t="n">
        <x:v>-0.16567898393726233</x:v>
      </x:c>
      <x:c r="K455" s="23" t="n">
        <x:v>0.43098159509202455</x:v>
      </x:c>
      <x:c r="L455" s="24" t="n">
        <x:v>1956</x:v>
      </x:c>
      <x:c r="M455" t="str">
        <x:v>legacy_common_sample_8902245</x:v>
      </x:c>
      <x:c r="N455" s="25" t="n">
        <x:v>46211.42457349537</x:v>
      </x:c>
      <x:c r="O455" s="24" t="n">
        <x:v>8902245</x:v>
      </x:c>
      <x:c r="P455" t="str">
        <x:v>factor_report/gtja191_batch/gtja_131/ic_summary.csv</x:v>
      </x:c>
    </x:row>
    <x:row r="456">
      <x:c r="A456" s="22" t="n">
        <x:f>IF($E456="ranked",1+COUNTIFS($D$5:$D$546,$D456,$E$5:$E$546,"ranked",$F$5:$F$546,"&gt;"&amp;$F456),"")</x:f>
        <x:v>96</x:v>
      </x:c>
      <x:c r="B456" s="22" t="n">
        <x:f>IF($E456="ranked",1+COUNTIFS($D$5:$D$546,$D456,$E$5:$E$546,"ranked",$G$5:$G$546,"&gt;"&amp;$G456),"")</x:f>
        <x:v>146</x:v>
      </x:c>
      <x:c r="C456" t="str">
        <x:v>gtja_028</x:v>
      </x:c>
      <x:c r="D456" s="22" t="n">
        <x:v>20</x:v>
      </x:c>
      <x:c r="E456" t="str">
        <x:v>ranked</x:v>
      </x:c>
      <x:c r="F456" s="23" t="n">
        <x:v>-0.016461821597344287</x:v>
      </x:c>
      <x:c r="G456" s="23" t="n">
        <x:f>ABS(F456)</x:f>
        <x:v>0.016461821597344287</x:v>
      </x:c>
      <x:c r="H456" s="23" t="str">
        <x:f>IF(F456&gt;=0,"positive","negative")</x:f>
        <x:v>negative</x:v>
      </x:c>
      <x:c r="I456" s="23" t="n">
        <x:v>0.11824980556945991</x:v>
      </x:c>
      <x:c r="J456" s="23" t="n">
        <x:v>-0.1392122508622191</x:v>
      </x:c>
      <x:c r="K456" s="23" t="n">
        <x:v>0.4538112064613831</x:v>
      </x:c>
      <x:c r="L456" s="24" t="n">
        <x:v>1981</x:v>
      </x:c>
      <x:c r="M456" t="str">
        <x:v>legacy_common_sample_8902245</x:v>
      </x:c>
      <x:c r="N456" s="25" t="n">
        <x:v>46211.21958586806</x:v>
      </x:c>
      <x:c r="O456" s="24" t="n">
        <x:v>8902245</x:v>
      </x:c>
      <x:c r="P456" t="str">
        <x:v>factor_report/gtja191_batch/gtja_028/ic_summary.csv</x:v>
      </x:c>
    </x:row>
    <x:row r="457">
      <x:c r="A457" s="22" t="n">
        <x:f>IF($E457="ranked",1+COUNTIFS($D$5:$D$546,$D457,$E$5:$E$546,"ranked",$F$5:$F$546,"&gt;"&amp;$F457),"")</x:f>
        <x:v>97</x:v>
      </x:c>
      <x:c r="B457" s="22" t="n">
        <x:f>IF($E457="ranked",1+COUNTIFS($D$5:$D$546,$D457,$E$5:$E$546,"ranked",$G$5:$G$546,"&gt;"&amp;$G457),"")</x:f>
        <x:v>144</x:v>
      </x:c>
      <x:c r="C457" t="str">
        <x:v>gtja_080</x:v>
      </x:c>
      <x:c r="D457" s="22" t="n">
        <x:v>20</x:v>
      </x:c>
      <x:c r="E457" t="str">
        <x:v>ranked</x:v>
      </x:c>
      <x:c r="F457" s="23" t="n">
        <x:v>-0.01710208475329374</x:v>
      </x:c>
      <x:c r="G457" s="23" t="n">
        <x:f>ABS(F457)</x:f>
        <x:v>0.01710208475329374</x:v>
      </x:c>
      <x:c r="H457" s="23" t="str">
        <x:f>IF(F457&gt;=0,"positive","negative")</x:f>
        <x:v>negative</x:v>
      </x:c>
      <x:c r="I457" s="23" t="n">
        <x:v>0.07147216658414693</x:v>
      </x:c>
      <x:c r="J457" s="23" t="n">
        <x:v>-0.23928314434345288</x:v>
      </x:c>
      <x:c r="K457" s="23" t="n">
        <x:v>0.40030287733467945</x:v>
      </x:c>
      <x:c r="L457" s="24" t="n">
        <x:v>1981</x:v>
      </x:c>
      <x:c r="M457" t="str">
        <x:v>legacy_common_sample_8902245</x:v>
      </x:c>
      <x:c r="N457" s="25" t="n">
        <x:v>46211.31192994213</x:v>
      </x:c>
      <x:c r="O457" s="24" t="n">
        <x:v>8902245</x:v>
      </x:c>
      <x:c r="P457" t="str">
        <x:v>factor_report/gtja191_batch/gtja_080/ic_summary.csv</x:v>
      </x:c>
    </x:row>
    <x:row r="458">
      <x:c r="A458" s="22" t="n">
        <x:f>IF($E458="ranked",1+COUNTIFS($D$5:$D$546,$D458,$E$5:$E$546,"ranked",$F$5:$F$546,"&gt;"&amp;$F458),"")</x:f>
        <x:v>98</x:v>
      </x:c>
      <x:c r="B458" s="22" t="n">
        <x:f>IF($E458="ranked",1+COUNTIFS($D$5:$D$546,$D458,$E$5:$E$546,"ranked",$G$5:$G$546,"&gt;"&amp;$G458),"")</x:f>
        <x:v>143</x:v>
      </x:c>
      <x:c r="C458" t="str">
        <x:v>gtja_045</x:v>
      </x:c>
      <x:c r="D458" s="22" t="n">
        <x:v>20</x:v>
      </x:c>
      <x:c r="E458" t="str">
        <x:v>ranked</x:v>
      </x:c>
      <x:c r="F458" s="23" t="n">
        <x:v>-0.017380649409067202</x:v>
      </x:c>
      <x:c r="G458" s="23" t="n">
        <x:f>ABS(F458)</x:f>
        <x:v>0.017380649409067202</x:v>
      </x:c>
      <x:c r="H458" s="23" t="str">
        <x:f>IF(F458&gt;=0,"positive","negative")</x:f>
        <x:v>negative</x:v>
      </x:c>
      <x:c r="I458" s="23" t="n">
        <x:v>0.09407688648154605</x:v>
      </x:c>
      <x:c r="J458" s="23" t="n">
        <x:v>-0.1847494114558793</x:v>
      </x:c>
      <x:c r="K458" s="23" t="n">
        <x:v>0.4349680170575693</x:v>
      </x:c>
      <x:c r="L458" s="24" t="n">
        <x:v>1876</x:v>
      </x:c>
      <x:c r="M458" t="str">
        <x:v>legacy_common_sample_8902245</x:v>
      </x:c>
      <x:c r="N458" s="25" t="n">
        <x:v>46211.26636591435</x:v>
      </x:c>
      <x:c r="O458" s="24" t="n">
        <x:v>8902245</x:v>
      </x:c>
      <x:c r="P458" t="str">
        <x:v>factor_report/gtja191_batch/gtja_045/ic_summary.csv</x:v>
      </x:c>
    </x:row>
    <x:row r="459">
      <x:c r="A459" s="22" t="n">
        <x:f>IF($E459="ranked",1+COUNTIFS($D$5:$D$546,$D459,$E$5:$E$546,"ranked",$F$5:$F$546,"&gt;"&amp;$F459),"")</x:f>
        <x:v>99</x:v>
      </x:c>
      <x:c r="B459" s="22" t="n">
        <x:f>IF($E459="ranked",1+COUNTIFS($D$5:$D$546,$D459,$E$5:$E$546,"ranked",$G$5:$G$546,"&gt;"&amp;$G459),"")</x:f>
        <x:v>142</x:v>
      </x:c>
      <x:c r="C459" t="str">
        <x:v>gtja_127</x:v>
      </x:c>
      <x:c r="D459" s="22" t="n">
        <x:v>20</x:v>
      </x:c>
      <x:c r="E459" t="str">
        <x:v>ranked</x:v>
      </x:c>
      <x:c r="F459" s="23" t="n">
        <x:v>-0.018912370048501756</x:v>
      </x:c>
      <x:c r="G459" s="23" t="n">
        <x:f>ABS(F459)</x:f>
        <x:v>0.018912370048501756</x:v>
      </x:c>
      <x:c r="H459" s="23" t="str">
        <x:f>IF(F459&gt;=0,"positive","negative")</x:f>
        <x:v>negative</x:v>
      </x:c>
      <x:c r="I459" s="23" t="n">
        <x:v>0.14791666141123277</x:v>
      </x:c>
      <x:c r="J459" s="23" t="n">
        <x:v>-0.1278582809270028</x:v>
      </x:c>
      <x:c r="K459" s="23" t="n">
        <x:v>0.40080767289247854</x:v>
      </x:c>
      <x:c r="L459" s="24" t="n">
        <x:v>1981</x:v>
      </x:c>
      <x:c r="M459" t="str">
        <x:v>legacy_common_sample_8902245</x:v>
      </x:c>
      <x:c r="N459" s="25" t="n">
        <x:v>46211.417619583335</x:v>
      </x:c>
      <x:c r="O459" s="24" t="n">
        <x:v>8902245</x:v>
      </x:c>
      <x:c r="P459" t="str">
        <x:v>factor_report/gtja191_batch/gtja_127/ic_summary.csv</x:v>
      </x:c>
    </x:row>
    <x:row r="460">
      <x:c r="A460" s="22" t="n">
        <x:f>IF($E460="ranked",1+COUNTIFS($D$5:$D$546,$D460,$E$5:$E$546,"ranked",$F$5:$F$546,"&gt;"&amp;$F460),"")</x:f>
        <x:v>100</x:v>
      </x:c>
      <x:c r="B460" s="22" t="n">
        <x:f>IF($E460="ranked",1+COUNTIFS($D$5:$D$546,$D460,$E$5:$E$546,"ranked",$G$5:$G$546,"&gt;"&amp;$G460),"")</x:f>
        <x:v>138</x:v>
      </x:c>
      <x:c r="C460" t="str">
        <x:v>gtja_102</x:v>
      </x:c>
      <x:c r="D460" s="22" t="n">
        <x:v>20</x:v>
      </x:c>
      <x:c r="E460" t="str">
        <x:v>ranked</x:v>
      </x:c>
      <x:c r="F460" s="23" t="n">
        <x:v>-0.020542291091252312</x:v>
      </x:c>
      <x:c r="G460" s="23" t="n">
        <x:f>ABS(F460)</x:f>
        <x:v>0.020542291091252312</x:v>
      </x:c>
      <x:c r="H460" s="23" t="str">
        <x:f>IF(F460&gt;=0,"positive","negative")</x:f>
        <x:v>negative</x:v>
      </x:c>
      <x:c r="I460" s="23" t="n">
        <x:v>0.07633524818921955</x:v>
      </x:c>
      <x:c r="J460" s="23" t="n">
        <x:v>-0.26910623307770154</x:v>
      </x:c>
      <x:c r="K460" s="23" t="n">
        <x:v>0.3806158505805149</x:v>
      </x:c>
      <x:c r="L460" s="24" t="n">
        <x:v>1981</x:v>
      </x:c>
      <x:c r="M460" t="str">
        <x:v>legacy_common_sample_8902245</x:v>
      </x:c>
      <x:c r="N460" s="25" t="n">
        <x:v>46210.58357934028</x:v>
      </x:c>
      <x:c r="O460" s="24" t="n">
        <x:v>8902245</x:v>
      </x:c>
      <x:c r="P460" t="str">
        <x:v>factor_report/gtja191_batch/gtja_102/ic_summary.csv</x:v>
      </x:c>
    </x:row>
    <x:row r="461">
      <x:c r="A461" s="22" t="n">
        <x:f>IF($E461="ranked",1+COUNTIFS($D$5:$D$546,$D461,$E$5:$E$546,"ranked",$F$5:$F$546,"&gt;"&amp;$F461),"")</x:f>
        <x:v>101</x:v>
      </x:c>
      <x:c r="B461" s="22" t="n">
        <x:f>IF($E461="ranked",1+COUNTIFS($D$5:$D$546,$D461,$E$5:$E$546,"ranked",$G$5:$G$546,"&gt;"&amp;$G461),"")</x:f>
        <x:v>136</x:v>
      </x:c>
      <x:c r="C461" t="str">
        <x:v>gtja_057</x:v>
      </x:c>
      <x:c r="D461" s="22" t="n">
        <x:v>20</x:v>
      </x:c>
      <x:c r="E461" t="str">
        <x:v>ranked</x:v>
      </x:c>
      <x:c r="F461" s="23" t="n">
        <x:v>-0.023146052466604495</x:v>
      </x:c>
      <x:c r="G461" s="23" t="n">
        <x:f>ABS(F461)</x:f>
        <x:v>0.023146052466604495</x:v>
      </x:c>
      <x:c r="H461" s="23" t="str">
        <x:f>IF(F461&gt;=0,"positive","negative")</x:f>
        <x:v>negative</x:v>
      </x:c>
      <x:c r="I461" s="23" t="n">
        <x:v>0.12507826248836443</x:v>
      </x:c>
      <x:c r="J461" s="23" t="n">
        <x:v>-0.18505255834328277</x:v>
      </x:c>
      <x:c r="K461" s="23" t="n">
        <x:v>0.4548207975769813</x:v>
      </x:c>
      <x:c r="L461" s="24" t="n">
        <x:v>1981</x:v>
      </x:c>
      <x:c r="M461" t="str">
        <x:v>legacy_common_sample_8902245</x:v>
      </x:c>
      <x:c r="N461" s="25" t="n">
        <x:v>46211.28466986111</x:v>
      </x:c>
      <x:c r="O461" s="24" t="n">
        <x:v>8902245</x:v>
      </x:c>
      <x:c r="P461" t="str">
        <x:v>factor_report/gtja191_batch/gtja_057/ic_summary.csv</x:v>
      </x:c>
    </x:row>
    <x:row r="462">
      <x:c r="A462" s="22" t="n">
        <x:f>IF($E462="ranked",1+COUNTIFS($D$5:$D$546,$D462,$E$5:$E$546,"ranked",$F$5:$F$546,"&gt;"&amp;$F462),"")</x:f>
        <x:v>102</x:v>
      </x:c>
      <x:c r="B462" s="22" t="n">
        <x:f>IF($E462="ranked",1+COUNTIFS($D$5:$D$546,$D462,$E$5:$E$546,"ranked",$G$5:$G$546,"&gt;"&amp;$G462),"")</x:f>
        <x:v>130</x:v>
      </x:c>
      <x:c r="C462" t="str">
        <x:v>gtja_096</x:v>
      </x:c>
      <x:c r="D462" s="22" t="n">
        <x:v>20</x:v>
      </x:c>
      <x:c r="E462" t="str">
        <x:v>ranked</x:v>
      </x:c>
      <x:c r="F462" s="23" t="n">
        <x:v>-0.024734146091325928</x:v>
      </x:c>
      <x:c r="G462" s="23" t="n">
        <x:f>ABS(F462)</x:f>
        <x:v>0.024734146091325928</x:v>
      </x:c>
      <x:c r="H462" s="23" t="str">
        <x:f>IF(F462&gt;=0,"positive","negative")</x:f>
        <x:v>negative</x:v>
      </x:c>
      <x:c r="I462" s="23" t="n">
        <x:v>0.1261525972250322</x:v>
      </x:c>
      <x:c r="J462" s="23" t="n">
        <x:v>-0.19606529421827856</x:v>
      </x:c>
      <x:c r="K462" s="23" t="n">
        <x:v>0.44926804644119134</x:v>
      </x:c>
      <x:c r="L462" s="24" t="n">
        <x:v>1981</x:v>
      </x:c>
      <x:c r="M462" t="str">
        <x:v>legacy_common_sample_8902245</x:v>
      </x:c>
      <x:c r="N462" s="25" t="n">
        <x:v>46211.3433033912</x:v>
      </x:c>
      <x:c r="O462" s="24" t="n">
        <x:v>8902245</x:v>
      </x:c>
      <x:c r="P462" t="str">
        <x:v>factor_report/gtja191_batch/gtja_096/ic_summary.csv</x:v>
      </x:c>
    </x:row>
    <x:row r="463">
      <x:c r="A463" s="22" t="n">
        <x:f>IF($E463="ranked",1+COUNTIFS($D$5:$D$546,$D463,$E$5:$E$546,"ranked",$F$5:$F$546,"&gt;"&amp;$F463),"")</x:f>
        <x:v>103</x:v>
      </x:c>
      <x:c r="B463" s="22" t="n">
        <x:f>IF($E463="ranked",1+COUNTIFS($D$5:$D$546,$D463,$E$5:$E$546,"ranked",$G$5:$G$546,"&gt;"&amp;$G463),"")</x:f>
        <x:v>126</x:v>
      </x:c>
      <x:c r="C463" t="str">
        <x:v>gtja_107</x:v>
      </x:c>
      <x:c r="D463" s="22" t="n">
        <x:v>20</x:v>
      </x:c>
      <x:c r="E463" t="str">
        <x:v>ranked</x:v>
      </x:c>
      <x:c r="F463" s="23" t="n">
        <x:v>-0.025765554587392003</x:v>
      </x:c>
      <x:c r="G463" s="23" t="n">
        <x:f>ABS(F463)</x:f>
        <x:v>0.025765554587392003</x:v>
      </x:c>
      <x:c r="H463" s="23" t="str">
        <x:f>IF(F463&gt;=0,"positive","negative")</x:f>
        <x:v>negative</x:v>
      </x:c>
      <x:c r="I463" s="23" t="n">
        <x:v>0.09210562377100583</x:v>
      </x:c>
      <x:c r="J463" s="23" t="n">
        <x:v>-0.2797392117060154</x:v>
      </x:c>
      <x:c r="K463" s="23" t="n">
        <x:v>0.36092882382635033</x:v>
      </x:c>
      <x:c r="L463" s="24" t="n">
        <x:v>1981</x:v>
      </x:c>
      <x:c r="M463" t="str">
        <x:v>legacy_common_sample_8902245</x:v>
      </x:c>
      <x:c r="N463" s="25" t="n">
        <x:v>46210.60368208333</x:v>
      </x:c>
      <x:c r="O463" s="24" t="n">
        <x:v>8902245</x:v>
      </x:c>
      <x:c r="P463" t="str">
        <x:v>factor_report/gtja191_batch/gtja_107/ic_summary.csv</x:v>
      </x:c>
    </x:row>
    <x:row r="464">
      <x:c r="A464" s="22" t="n">
        <x:f>IF($E464="ranked",1+COUNTIFS($D$5:$D$546,$D464,$E$5:$E$546,"ranked",$F$5:$F$546,"&gt;"&amp;$F464),"")</x:f>
        <x:v>104</x:v>
      </x:c>
      <x:c r="B464" s="22" t="n">
        <x:f>IF($E464="ranked",1+COUNTIFS($D$5:$D$546,$D464,$E$5:$E$546,"ranked",$G$5:$G$546,"&gt;"&amp;$G464),"")</x:f>
        <x:v>125</x:v>
      </x:c>
      <x:c r="C464" t="str">
        <x:v>gtja_137</x:v>
      </x:c>
      <x:c r="D464" s="22" t="n">
        <x:v>20</x:v>
      </x:c>
      <x:c r="E464" t="str">
        <x:v>ranked</x:v>
      </x:c>
      <x:c r="F464" s="23" t="n">
        <x:v>-0.025883364402236844</x:v>
      </x:c>
      <x:c r="G464" s="23" t="n">
        <x:f>ABS(F464)</x:f>
        <x:v>0.025883364402236844</x:v>
      </x:c>
      <x:c r="H464" s="23" t="str">
        <x:f>IF(F464&gt;=0,"positive","negative")</x:f>
        <x:v>negative</x:v>
      </x:c>
      <x:c r="I464" s="23" t="n">
        <x:v>0.12012101145116241</x:v>
      </x:c>
      <x:c r="J464" s="23" t="n">
        <x:v>-0.21547740973493418</x:v>
      </x:c>
      <x:c r="K464" s="23" t="n">
        <x:v>0.4114083796062595</x:v>
      </x:c>
      <x:c r="L464" s="24" t="n">
        <x:v>1981</x:v>
      </x:c>
      <x:c r="M464" t="str">
        <x:v>legacy_common_sample_8902245</x:v>
      </x:c>
      <x:c r="N464" s="25" t="n">
        <x:v>46210.75457434028</x:v>
      </x:c>
      <x:c r="O464" s="24" t="n">
        <x:v>8902245</x:v>
      </x:c>
      <x:c r="P464" t="str">
        <x:v>factor_report/gtja191_batch/gtja_137/ic_summary.csv</x:v>
      </x:c>
    </x:row>
    <x:row r="465">
      <x:c r="A465" s="22" t="n">
        <x:f>IF($E465="ranked",1+COUNTIFS($D$5:$D$546,$D465,$E$5:$E$546,"ranked",$F$5:$F$546,"&gt;"&amp;$F465),"")</x:f>
        <x:v>105</x:v>
      </x:c>
      <x:c r="B465" s="22" t="n">
        <x:f>IF($E465="ranked",1+COUNTIFS($D$5:$D$546,$D465,$E$5:$E$546,"ranked",$G$5:$G$546,"&gt;"&amp;$G465),"")</x:f>
        <x:v>123</x:v>
      </x:c>
      <x:c r="C465" t="str">
        <x:v>gtja_143</x:v>
      </x:c>
      <x:c r="D465" s="22" t="n">
        <x:v>20</x:v>
      </x:c>
      <x:c r="E465" t="str">
        <x:v>ranked</x:v>
      </x:c>
      <x:c r="F465" s="23" t="n">
        <x:v>-0.026709392101047096</x:v>
      </x:c>
      <x:c r="G465" s="23" t="n">
        <x:f>ABS(F465)</x:f>
        <x:v>0.026709392101047096</x:v>
      </x:c>
      <x:c r="H465" s="23" t="str">
        <x:f>IF(F465&gt;=0,"positive","negative")</x:f>
        <x:v>negative</x:v>
      </x:c>
      <x:c r="I465" s="23" t="n">
        <x:v>0.10788301135358297</x:v>
      </x:c>
      <x:c r="J465" s="23" t="n">
        <x:v>-0.24757736891036491</x:v>
      </x:c>
      <x:c r="K465" s="23" t="n">
        <x:v>0.3957597173144876</x:v>
      </x:c>
      <x:c r="L465" s="24" t="n">
        <x:v>1981</x:v>
      </x:c>
      <x:c r="M465" t="str">
        <x:v>legacy_common_sample_8902245</x:v>
      </x:c>
      <x:c r="N465" s="25" t="n">
        <x:v>46210.787863425925</x:v>
      </x:c>
      <x:c r="O465" s="24" t="n">
        <x:v>8902245</x:v>
      </x:c>
      <x:c r="P465" t="str">
        <x:v>factor_report/gtja191_batch/gtja_143/ic_summary.csv</x:v>
      </x:c>
    </x:row>
    <x:row r="466">
      <x:c r="A466" s="22" t="n">
        <x:f>IF($E466="ranked",1+COUNTIFS($D$5:$D$546,$D466,$E$5:$E$546,"ranked",$F$5:$F$546,"&gt;"&amp;$F466),"")</x:f>
        <x:v>106</x:v>
      </x:c>
      <x:c r="B466" s="22" t="n">
        <x:f>IF($E466="ranked",1+COUNTIFS($D$5:$D$546,$D466,$E$5:$E$546,"ranked",$G$5:$G$546,"&gt;"&amp;$G466),"")</x:f>
        <x:v>120</x:v>
      </x:c>
      <x:c r="C466" t="str">
        <x:v>gtja_060</x:v>
      </x:c>
      <x:c r="D466" s="22" t="n">
        <x:v>20</x:v>
      </x:c>
      <x:c r="E466" t="str">
        <x:v>ranked</x:v>
      </x:c>
      <x:c r="F466" s="23" t="n">
        <x:v>-0.027584066159598453</x:v>
      </x:c>
      <x:c r="G466" s="23" t="n">
        <x:f>ABS(F466)</x:f>
        <x:v>0.027584066159598453</x:v>
      </x:c>
      <x:c r="H466" s="23" t="str">
        <x:f>IF(F466&gt;=0,"positive","negative")</x:f>
        <x:v>negative</x:v>
      </x:c>
      <x:c r="I466" s="23" t="n">
        <x:v>0.09365968639086392</x:v>
      </x:c>
      <x:c r="J466" s="23" t="n">
        <x:v>-0.2945137574397127</x:v>
      </x:c>
      <x:c r="K466" s="23" t="n">
        <x:v>0.39979808177688037</x:v>
      </x:c>
      <x:c r="L466" s="24" t="n">
        <x:v>1981</x:v>
      </x:c>
      <x:c r="M466" t="str">
        <x:v>legacy_common_sample_8902245</x:v>
      </x:c>
      <x:c r="N466" s="25" t="n">
        <x:v>46210.37184259259</x:v>
      </x:c>
      <x:c r="O466" s="24" t="n">
        <x:v>8902245</x:v>
      </x:c>
      <x:c r="P466" t="str">
        <x:v>factor_report/gtja191_batch/gtja_060/ic_summary.csv</x:v>
      </x:c>
    </x:row>
    <x:row r="467">
      <x:c r="A467" s="22" t="n">
        <x:f>IF($E467="ranked",1+COUNTIFS($D$5:$D$546,$D467,$E$5:$E$546,"ranked",$F$5:$F$546,"&gt;"&amp;$F467),"")</x:f>
        <x:v>107</x:v>
      </x:c>
      <x:c r="B467" s="22" t="n">
        <x:f>IF($E467="ranked",1+COUNTIFS($D$5:$D$546,$D467,$E$5:$E$546,"ranked",$G$5:$G$546,"&gt;"&amp;$G467),"")</x:f>
        <x:v>118</x:v>
      </x:c>
      <x:c r="C467" t="str">
        <x:v>gtja_066</x:v>
      </x:c>
      <x:c r="D467" s="22" t="n">
        <x:v>20</x:v>
      </x:c>
      <x:c r="E467" t="str">
        <x:v>ranked</x:v>
      </x:c>
      <x:c r="F467" s="23" t="n">
        <x:v>-0.028293036013445596</x:v>
      </x:c>
      <x:c r="G467" s="23" t="n">
        <x:f>ABS(F467)</x:f>
        <x:v>0.028293036013445596</x:v>
      </x:c>
      <x:c r="H467" s="23" t="str">
        <x:f>IF(F467&gt;=0,"positive","negative")</x:f>
        <x:v>negative</x:v>
      </x:c>
      <x:c r="I467" s="23" t="n">
        <x:v>0.12588995471110107</x:v>
      </x:c>
      <x:c r="J467" s="23" t="n">
        <x:v>-0.2247441908957228</x:v>
      </x:c>
      <x:c r="K467" s="23" t="n">
        <x:v>0.4098939929328622</x:v>
      </x:c>
      <x:c r="L467" s="24" t="n">
        <x:v>1981</x:v>
      </x:c>
      <x:c r="M467" t="str">
        <x:v>legacy_common_sample_8902245</x:v>
      </x:c>
      <x:c r="N467" s="25" t="n">
        <x:v>46210.39822400463</x:v>
      </x:c>
      <x:c r="O467" s="24" t="n">
        <x:v>8902245</x:v>
      </x:c>
      <x:c r="P467" t="str">
        <x:v>factor_report/gtja191_batch/gtja_066/ic_summary.csv</x:v>
      </x:c>
    </x:row>
    <x:row r="468">
      <x:c r="A468" s="22" t="n">
        <x:f>IF($E468="ranked",1+COUNTIFS($D$5:$D$546,$D468,$E$5:$E$546,"ranked",$F$5:$F$546,"&gt;"&amp;$F468),"")</x:f>
        <x:v>108</x:v>
      </x:c>
      <x:c r="B468" s="22" t="n">
        <x:f>IF($E468="ranked",1+COUNTIFS($D$5:$D$546,$D468,$E$5:$E$546,"ranked",$G$5:$G$546,"&gt;"&amp;$G468),"")</x:f>
        <x:v>115</x:v>
      </x:c>
      <x:c r="C468" t="str">
        <x:v>gtja_009</x:v>
      </x:c>
      <x:c r="D468" s="22" t="n">
        <x:v>20</x:v>
      </x:c>
      <x:c r="E468" t="str">
        <x:v>ranked</x:v>
      </x:c>
      <x:c r="F468" s="23" t="n">
        <x:v>-0.028851328465264607</x:v>
      </x:c>
      <x:c r="G468" s="23" t="n">
        <x:f>ABS(F468)</x:f>
        <x:v>0.028851328465264607</x:v>
      </x:c>
      <x:c r="H468" s="23" t="str">
        <x:f>IF(F468&gt;=0,"positive","negative")</x:f>
        <x:v>negative</x:v>
      </x:c>
      <x:c r="I468" s="23" t="n">
        <x:v>0.11627261584534039</x:v>
      </x:c>
      <x:c r="J468" s="23" t="n">
        <x:v>-0.2481351972302842</x:v>
      </x:c>
      <x:c r="K468" s="23" t="n">
        <x:v>0.4114083796062595</x:v>
      </x:c>
      <x:c r="L468" s="24" t="n">
        <x:v>1981</x:v>
      </x:c>
      <x:c r="M468" t="str">
        <x:v>legacy_common_sample_8902245</x:v>
      </x:c>
      <x:c r="N468" s="25" t="n">
        <x:v>46210.14960534722</x:v>
      </x:c>
      <x:c r="O468" s="24" t="n">
        <x:v>8902245</x:v>
      </x:c>
      <x:c r="P468" t="str">
        <x:v>factor_report/gtja191_batch/gtja_009/ic_summary.csv</x:v>
      </x:c>
    </x:row>
    <x:row r="469">
      <x:c r="A469" s="22" t="n">
        <x:f>IF($E469="ranked",1+COUNTIFS($D$5:$D$546,$D469,$E$5:$E$546,"ranked",$F$5:$F$546,"&gt;"&amp;$F469),"")</x:f>
        <x:v>109</x:v>
      </x:c>
      <x:c r="B469" s="22" t="n">
        <x:f>IF($E469="ranked",1+COUNTIFS($D$5:$D$546,$D469,$E$5:$E$546,"ranked",$G$5:$G$546,"&gt;"&amp;$G469),"")</x:f>
        <x:v>114</x:v>
      </x:c>
      <x:c r="C469" t="str">
        <x:v>gtja_053</x:v>
      </x:c>
      <x:c r="D469" s="22" t="n">
        <x:v>20</x:v>
      </x:c>
      <x:c r="E469" t="str">
        <x:v>ranked</x:v>
      </x:c>
      <x:c r="F469" s="23" t="n">
        <x:v>-0.028910114969108554</x:v>
      </x:c>
      <x:c r="G469" s="23" t="n">
        <x:f>ABS(F469)</x:f>
        <x:v>0.028910114969108554</x:v>
      </x:c>
      <x:c r="H469" s="23" t="str">
        <x:f>IF(F469&gt;=0,"positive","negative")</x:f>
        <x:v>negative</x:v>
      </x:c>
      <x:c r="I469" s="23" t="n">
        <x:v>0.0986342592933982</x:v>
      </x:c>
      <x:c r="J469" s="23" t="n">
        <x:v>-0.29310419296719525</x:v>
      </x:c>
      <x:c r="K469" s="23" t="n">
        <x:v>0.40686521958606764</x:v>
      </x:c>
      <x:c r="L469" s="24" t="n">
        <x:v>1981</x:v>
      </x:c>
      <x:c r="M469" t="str">
        <x:v>legacy_common_sample_8902245</x:v>
      </x:c>
      <x:c r="N469" s="25" t="n">
        <x:v>46210.33939799768</x:v>
      </x:c>
      <x:c r="O469" s="24" t="n">
        <x:v>8902245</x:v>
      </x:c>
      <x:c r="P469" t="str">
        <x:v>factor_report/gtja191_batch/gtja_053/ic_summary.csv</x:v>
      </x:c>
    </x:row>
    <x:row r="470">
      <x:c r="A470" s="22" t="n">
        <x:f>IF($E470="ranked",1+COUNTIFS($D$5:$D$546,$D470,$E$5:$E$546,"ranked",$F$5:$F$546,"&gt;"&amp;$F470),"")</x:f>
        <x:v>110</x:v>
      </x:c>
      <x:c r="B470" s="22" t="n">
        <x:f>IF($E470="ranked",1+COUNTIFS($D$5:$D$546,$D470,$E$5:$E$546,"ranked",$G$5:$G$546,"&gt;"&amp;$G470),"")</x:f>
        <x:v>111</x:v>
      </x:c>
      <x:c r="C470" t="str">
        <x:v>gtja_043</x:v>
      </x:c>
      <x:c r="D470" s="22" t="n">
        <x:v>20</x:v>
      </x:c>
      <x:c r="E470" t="str">
        <x:v>ranked</x:v>
      </x:c>
      <x:c r="F470" s="23" t="n">
        <x:v>-0.030147416050492905</x:v>
      </x:c>
      <x:c r="G470" s="23" t="n">
        <x:f>ABS(F470)</x:f>
        <x:v>0.030147416050492905</x:v>
      </x:c>
      <x:c r="H470" s="23" t="str">
        <x:f>IF(F470&gt;=0,"positive","negative")</x:f>
        <x:v>negative</x:v>
      </x:c>
      <x:c r="I470" s="23" t="n">
        <x:v>0.08908464092320842</x:v>
      </x:c>
      <x:c r="J470" s="23" t="n">
        <x:v>-0.3384131735624347</x:v>
      </x:c>
      <x:c r="K470" s="23" t="n">
        <x:v>0.3558808682483594</x:v>
      </x:c>
      <x:c r="L470" s="24" t="n">
        <x:v>1981</x:v>
      </x:c>
      <x:c r="M470" t="str">
        <x:v>legacy_common_sample_8902245</x:v>
      </x:c>
      <x:c r="N470" s="25" t="n">
        <x:v>46210.29250166666</x:v>
      </x:c>
      <x:c r="O470" s="24" t="n">
        <x:v>8902245</x:v>
      </x:c>
      <x:c r="P470" t="str">
        <x:v>factor_report/gtja191_batch/gtja_043/ic_summary.csv</x:v>
      </x:c>
    </x:row>
    <x:row r="471">
      <x:c r="A471" s="22" t="n">
        <x:f>IF($E471="ranked",1+COUNTIFS($D$5:$D$546,$D471,$E$5:$E$546,"ranked",$F$5:$F$546,"&gt;"&amp;$F471),"")</x:f>
        <x:v>111</x:v>
      </x:c>
      <x:c r="B471" s="22" t="n">
        <x:f>IF($E471="ranked",1+COUNTIFS($D$5:$D$546,$D471,$E$5:$E$546,"ranked",$G$5:$G$546,"&gt;"&amp;$G471),"")</x:f>
        <x:v>110</x:v>
      </x:c>
      <x:c r="C471" t="str">
        <x:v>gtja_152</x:v>
      </x:c>
      <x:c r="D471" s="22" t="n">
        <x:v>20</x:v>
      </x:c>
      <x:c r="E471" t="str">
        <x:v>ranked</x:v>
      </x:c>
      <x:c r="F471" s="23" t="n">
        <x:v>-0.0303796035749371</x:v>
      </x:c>
      <x:c r="G471" s="23" t="n">
        <x:f>ABS(F471)</x:f>
        <x:v>0.0303796035749371</x:v>
      </x:c>
      <x:c r="H471" s="23" t="str">
        <x:f>IF(F471&gt;=0,"positive","negative")</x:f>
        <x:v>negative</x:v>
      </x:c>
      <x:c r="I471" s="23" t="n">
        <x:v>0.12782482372328205</x:v>
      </x:c>
      <x:c r="J471" s="23" t="n">
        <x:v>-0.23766591410056254</x:v>
      </x:c>
      <x:c r="K471" s="23" t="n">
        <x:v>0.414437152953054</x:v>
      </x:c>
      <x:c r="L471" s="24" t="n">
        <x:v>1981</x:v>
      </x:c>
      <x:c r="M471" t="str">
        <x:v>legacy_common_sample_8902245</x:v>
      </x:c>
      <x:c r="N471" s="25" t="n">
        <x:v>46210.823093680556</x:v>
      </x:c>
      <x:c r="O471" s="24" t="n">
        <x:v>8902245</x:v>
      </x:c>
      <x:c r="P471" t="str">
        <x:v>factor_report/gtja191_batch/gtja_152/ic_summary.csv</x:v>
      </x:c>
    </x:row>
    <x:row r="472">
      <x:c r="A472" s="22" t="n">
        <x:f>IF($E472="ranked",1+COUNTIFS($D$5:$D$546,$D472,$E$5:$E$546,"ranked",$F$5:$F$546,"&gt;"&amp;$F472),"")</x:f>
        <x:v>112</x:v>
      </x:c>
      <x:c r="B472" s="22" t="n">
        <x:f>IF($E472="ranked",1+COUNTIFS($D$5:$D$546,$D472,$E$5:$E$546,"ranked",$G$5:$G$546,"&gt;"&amp;$G472),"")</x:f>
        <x:v>107</x:v>
      </x:c>
      <x:c r="C472" t="str">
        <x:v>gtja_023</x:v>
      </x:c>
      <x:c r="D472" s="22" t="n">
        <x:v>20</x:v>
      </x:c>
      <x:c r="E472" t="str">
        <x:v>ranked</x:v>
      </x:c>
      <x:c r="F472" s="23" t="n">
        <x:v>-0.030742870020993476</x:v>
      </x:c>
      <x:c r="G472" s="23" t="n">
        <x:f>ABS(F472)</x:f>
        <x:v>0.030742870020993476</x:v>
      </x:c>
      <x:c r="H472" s="23" t="str">
        <x:f>IF(F472&gt;=0,"positive","negative")</x:f>
        <x:v>negative</x:v>
      </x:c>
      <x:c r="I472" s="23" t="n">
        <x:v>0.1039709514390946</x:v>
      </x:c>
      <x:c r="J472" s="23" t="n">
        <x:v>-0.2956871087113444</x:v>
      </x:c>
      <x:c r="K472" s="23" t="n">
        <x:v>0.4018172640080767</x:v>
      </x:c>
      <x:c r="L472" s="24" t="n">
        <x:v>1981</x:v>
      </x:c>
      <x:c r="M472" t="str">
        <x:v>legacy_common_sample_8902245</x:v>
      </x:c>
      <x:c r="N472" s="25" t="n">
        <x:v>46210.20966594907</x:v>
      </x:c>
      <x:c r="O472" s="24" t="n">
        <x:v>8902245</x:v>
      </x:c>
      <x:c r="P472" t="str">
        <x:v>factor_report/gtja191_batch/gtja_023/ic_summary.csv</x:v>
      </x:c>
    </x:row>
    <x:row r="473">
      <x:c r="A473" s="22" t="n">
        <x:f>IF($E473="ranked",1+COUNTIFS($D$5:$D$546,$D473,$E$5:$E$546,"ranked",$F$5:$F$546,"&gt;"&amp;$F473),"")</x:f>
        <x:v>113</x:v>
      </x:c>
      <x:c r="B473" s="22" t="n">
        <x:f>IF($E473="ranked",1+COUNTIFS($D$5:$D$546,$D473,$E$5:$E$546,"ranked",$G$5:$G$546,"&gt;"&amp;$G473),"")</x:f>
        <x:v>100</x:v>
      </x:c>
      <x:c r="C473" t="str">
        <x:v>gtja_029</x:v>
      </x:c>
      <x:c r="D473" s="22" t="n">
        <x:v>20</x:v>
      </x:c>
      <x:c r="E473" t="str">
        <x:v>ranked</x:v>
      </x:c>
      <x:c r="F473" s="23" t="n">
        <x:v>-0.03346616278855135</x:v>
      </x:c>
      <x:c r="G473" s="23" t="n">
        <x:f>ABS(F473)</x:f>
        <x:v>0.03346616278855135</x:v>
      </x:c>
      <x:c r="H473" s="23" t="str">
        <x:f>IF(F473&gt;=0,"positive","negative")</x:f>
        <x:v>negative</x:v>
      </x:c>
      <x:c r="I473" s="23" t="n">
        <x:v>0.10547796796649117</x:v>
      </x:c>
      <x:c r="J473" s="23" t="n">
        <x:v>-0.31728107237696374</x:v>
      </x:c>
      <x:c r="K473" s="23" t="n">
        <x:v>0.3831398283695103</x:v>
      </x:c>
      <x:c r="L473" s="24" t="n">
        <x:v>1981</x:v>
      </x:c>
      <x:c r="M473" t="str">
        <x:v>legacy_common_sample_8902245</x:v>
      </x:c>
      <x:c r="N473" s="25" t="n">
        <x:v>46210.234402939815</x:v>
      </x:c>
      <x:c r="O473" s="24" t="n">
        <x:v>8902245</x:v>
      </x:c>
      <x:c r="P473" t="str">
        <x:v>factor_report/gtja191_batch/gtja_029/ic_summary.csv</x:v>
      </x:c>
    </x:row>
    <x:row r="474">
      <x:c r="A474" s="22" t="n">
        <x:f>IF($E474="ranked",1+COUNTIFS($D$5:$D$546,$D474,$E$5:$E$546,"ranked",$F$5:$F$546,"&gt;"&amp;$F474),"")</x:f>
        <x:v>114</x:v>
      </x:c>
      <x:c r="B474" s="22" t="n">
        <x:f>IF($E474="ranked",1+COUNTIFS($D$5:$D$546,$D474,$E$5:$E$546,"ranked",$G$5:$G$546,"&gt;"&amp;$G474),"")</x:f>
        <x:v>99</x:v>
      </x:c>
      <x:c r="C474" t="str">
        <x:v>gtja_019</x:v>
      </x:c>
      <x:c r="D474" s="22" t="n">
        <x:v>20</x:v>
      </x:c>
      <x:c r="E474" t="str">
        <x:v>ranked</x:v>
      </x:c>
      <x:c r="F474" s="23" t="n">
        <x:v>-0.03430559237782003</x:v>
      </x:c>
      <x:c r="G474" s="23" t="n">
        <x:f>ABS(F474)</x:f>
        <x:v>0.03430559237782003</x:v>
      </x:c>
      <x:c r="H474" s="23" t="str">
        <x:f>IF(F474&gt;=0,"positive","negative")</x:f>
        <x:v>negative</x:v>
      </x:c>
      <x:c r="I474" s="23" t="n">
        <x:v>0.12540991591715875</x:v>
      </x:c>
      <x:c r="J474" s="23" t="n">
        <x:v>-0.2735476866157941</x:v>
      </x:c>
      <x:c r="K474" s="23" t="n">
        <x:v>0.4028268551236749</x:v>
      </x:c>
      <x:c r="L474" s="24" t="n">
        <x:v>1981</x:v>
      </x:c>
      <x:c r="M474" t="str">
        <x:v>legacy_common_sample_8902245</x:v>
      </x:c>
      <x:c r="N474" s="25" t="n">
        <x:v>46210.190837372684</x:v>
      </x:c>
      <x:c r="O474" s="24" t="n">
        <x:v>8902245</x:v>
      </x:c>
      <x:c r="P474" t="str">
        <x:v>factor_report/gtja191_batch/gtja_019/ic_summary.csv</x:v>
      </x:c>
    </x:row>
    <x:row r="475">
      <x:c r="A475" s="22" t="n">
        <x:f>IF($E475="ranked",1+COUNTIFS($D$5:$D$546,$D475,$E$5:$E$546,"ranked",$F$5:$F$546,"&gt;"&amp;$F475),"")</x:f>
        <x:v>115</x:v>
      </x:c>
      <x:c r="B475" s="22" t="n">
        <x:f>IF($E475="ranked",1+COUNTIFS($D$5:$D$546,$D475,$E$5:$E$546,"ranked",$G$5:$G$546,"&gt;"&amp;$G475),"")</x:f>
        <x:v>98</x:v>
      </x:c>
      <x:c r="C475" t="str">
        <x:v>gtja_018</x:v>
      </x:c>
      <x:c r="D475" s="22" t="n">
        <x:v>20</x:v>
      </x:c>
      <x:c r="E475" t="str">
        <x:v>ranked</x:v>
      </x:c>
      <x:c r="F475" s="23" t="n">
        <x:v>-0.03430560060147005</x:v>
      </x:c>
      <x:c r="G475" s="23" t="n">
        <x:f>ABS(F475)</x:f>
        <x:v>0.03430560060147005</x:v>
      </x:c>
      <x:c r="H475" s="23" t="str">
        <x:f>IF(F475&gt;=0,"positive","negative")</x:f>
        <x:v>negative</x:v>
      </x:c>
      <x:c r="I475" s="23" t="n">
        <x:v>0.1254099403264624</x:v>
      </x:c>
      <x:c r="J475" s="23" t="n">
        <x:v>-0.2735476989476832</x:v>
      </x:c>
      <x:c r="K475" s="23" t="n">
        <x:v>0.4028268551236749</x:v>
      </x:c>
      <x:c r="L475" s="24" t="n">
        <x:v>1981</x:v>
      </x:c>
      <x:c r="M475" t="str">
        <x:v>legacy_common_sample_8902245</x:v>
      </x:c>
      <x:c r="N475" s="25" t="n">
        <x:v>46210.18674793981</x:v>
      </x:c>
      <x:c r="O475" s="24" t="n">
        <x:v>8902245</x:v>
      </x:c>
      <x:c r="P475" t="str">
        <x:v>factor_report/gtja191_batch/gtja_018/ic_summary.csv</x:v>
      </x:c>
    </x:row>
    <x:row r="476">
      <x:c r="A476" s="22" t="n">
        <x:f>IF($E476="ranked",1+COUNTIFS($D$5:$D$546,$D476,$E$5:$E$546,"ranked",$F$5:$F$546,"&gt;"&amp;$F476),"")</x:f>
        <x:v>116</x:v>
      </x:c>
      <x:c r="B476" s="22" t="n">
        <x:f>IF($E476="ranked",1+COUNTIFS($D$5:$D$546,$D476,$E$5:$E$546,"ranked",$G$5:$G$546,"&gt;"&amp;$G476),"")</x:f>
        <x:v>97</x:v>
      </x:c>
      <x:c r="C476" t="str">
        <x:v>gtja_109</x:v>
      </x:c>
      <x:c r="D476" s="22" t="n">
        <x:v>20</x:v>
      </x:c>
      <x:c r="E476" t="str">
        <x:v>ranked</x:v>
      </x:c>
      <x:c r="F476" s="23" t="n">
        <x:v>-0.03460018068250707</x:v>
      </x:c>
      <x:c r="G476" s="23" t="n">
        <x:f>ABS(F476)</x:f>
        <x:v>0.03460018068250707</x:v>
      </x:c>
      <x:c r="H476" s="23" t="str">
        <x:f>IF(F476&gt;=0,"positive","negative")</x:f>
        <x:v>negative</x:v>
      </x:c>
      <x:c r="I476" s="23" t="n">
        <x:v>0.08447591976966186</x:v>
      </x:c>
      <x:c r="J476" s="23" t="n">
        <x:v>-0.409586314974142</x:v>
      </x:c>
      <x:c r="K476" s="23" t="n">
        <x:v>0.34780413932357396</x:v>
      </x:c>
      <x:c r="L476" s="24" t="n">
        <x:v>1981</x:v>
      </x:c>
      <x:c r="M476" t="str">
        <x:v>legacy_common_sample_8902245</x:v>
      </x:c>
      <x:c r="N476" s="25" t="n">
        <x:v>46210.612487280094</x:v>
      </x:c>
      <x:c r="O476" s="24" t="n">
        <x:v>8902245</x:v>
      </x:c>
      <x:c r="P476" t="str">
        <x:v>factor_report/gtja191_batch/gtja_109/ic_summary.csv</x:v>
      </x:c>
    </x:row>
    <x:row r="477">
      <x:c r="A477" s="22" t="n">
        <x:f>IF($E477="ranked",1+COUNTIFS($D$5:$D$546,$D477,$E$5:$E$546,"ranked",$F$5:$F$546,"&gt;"&amp;$F477),"")</x:f>
        <x:v>117</x:v>
      </x:c>
      <x:c r="B477" s="22" t="n">
        <x:f>IF($E477="ranked",1+COUNTIFS($D$5:$D$546,$D477,$E$5:$E$546,"ranked",$G$5:$G$546,"&gt;"&amp;$G477),"")</x:f>
        <x:v>95</x:v>
      </x:c>
      <x:c r="C477" t="str">
        <x:v>gtja_014</x:v>
      </x:c>
      <x:c r="D477" s="22" t="n">
        <x:v>20</x:v>
      </x:c>
      <x:c r="E477" t="str">
        <x:v>ranked</x:v>
      </x:c>
      <x:c r="F477" s="23" t="n">
        <x:v>-0.03505559224469427</x:v>
      </x:c>
      <x:c r="G477" s="23" t="n">
        <x:f>ABS(F477)</x:f>
        <x:v>0.03505559224469427</x:v>
      </x:c>
      <x:c r="H477" s="23" t="str">
        <x:f>IF(F477&gt;=0,"positive","negative")</x:f>
        <x:v>negative</x:v>
      </x:c>
      <x:c r="I477" s="23" t="n">
        <x:v>0.12274817132883978</x:v>
      </x:c>
      <x:c r="J477" s="23" t="n">
        <x:v>-0.2855895274462466</x:v>
      </x:c>
      <x:c r="K477" s="23" t="n">
        <x:v>0.39979808177688037</x:v>
      </x:c>
      <x:c r="L477" s="24" t="n">
        <x:v>1981</x:v>
      </x:c>
      <x:c r="M477" t="str">
        <x:v>legacy_common_sample_8902245</x:v>
      </x:c>
      <x:c r="N477" s="25" t="n">
        <x:v>46210.170149652775</x:v>
      </x:c>
      <x:c r="O477" s="24" t="n">
        <x:v>8902245</x:v>
      </x:c>
      <x:c r="P477" t="str">
        <x:v>factor_report/gtja191_batch/gtja_014/ic_summary.csv</x:v>
      </x:c>
    </x:row>
    <x:row r="478">
      <x:c r="A478" s="22" t="n">
        <x:f>IF($E478="ranked",1+COUNTIFS($D$5:$D$546,$D478,$E$5:$E$546,"ranked",$F$5:$F$546,"&gt;"&amp;$F478),"")</x:f>
        <x:v>118</x:v>
      </x:c>
      <x:c r="B478" s="22" t="n">
        <x:f>IF($E478="ranked",1+COUNTIFS($D$5:$D$546,$D478,$E$5:$E$546,"ranked",$G$5:$G$546,"&gt;"&amp;$G478),"")</x:f>
        <x:v>94</x:v>
      </x:c>
      <x:c r="C478" t="str">
        <x:v>gtja_058</x:v>
      </x:c>
      <x:c r="D478" s="22" t="n">
        <x:v>20</x:v>
      </x:c>
      <x:c r="E478" t="str">
        <x:v>ranked</x:v>
      </x:c>
      <x:c r="F478" s="23" t="n">
        <x:v>-0.035209552716903916</x:v>
      </x:c>
      <x:c r="G478" s="23" t="n">
        <x:f>ABS(F478)</x:f>
        <x:v>0.035209552716903916</x:v>
      </x:c>
      <x:c r="H478" s="23" t="str">
        <x:f>IF(F478&gt;=0,"positive","negative")</x:f>
        <x:v>negative</x:v>
      </x:c>
      <x:c r="I478" s="23" t="n">
        <x:v>0.10314637761879196</x:v>
      </x:c>
      <x:c r="J478" s="23" t="n">
        <x:v>-0.3413552034471949</x:v>
      </x:c>
      <x:c r="K478" s="23" t="n">
        <x:v>0.39374053508329127</x:v>
      </x:c>
      <x:c r="L478" s="24" t="n">
        <x:v>1981</x:v>
      </x:c>
      <x:c r="M478" t="str">
        <x:v>legacy_common_sample_8902245</x:v>
      </x:c>
      <x:c r="N478" s="25" t="n">
        <x:v>46210.36385592593</x:v>
      </x:c>
      <x:c r="O478" s="24" t="n">
        <x:v>8902245</x:v>
      </x:c>
      <x:c r="P478" t="str">
        <x:v>factor_report/gtja191_batch/gtja_058/ic_summary.csv</x:v>
      </x:c>
    </x:row>
    <x:row r="479">
      <x:c r="A479" s="22" t="n">
        <x:f>IF($E479="ranked",1+COUNTIFS($D$5:$D$546,$D479,$E$5:$E$546,"ranked",$F$5:$F$546,"&gt;"&amp;$F479),"")</x:f>
        <x:v>119</x:v>
      </x:c>
      <x:c r="B479" s="22" t="n">
        <x:f>IF($E479="ranked",1+COUNTIFS($D$5:$D$546,$D479,$E$5:$E$546,"ranked",$G$5:$G$546,"&gt;"&amp;$G479),"")</x:f>
        <x:v>93</x:v>
      </x:c>
      <x:c r="C479" t="str">
        <x:v>gtja_145</x:v>
      </x:c>
      <x:c r="D479" s="22" t="n">
        <x:v>20</x:v>
      </x:c>
      <x:c r="E479" t="str">
        <x:v>ranked</x:v>
      </x:c>
      <x:c r="F479" s="23" t="n">
        <x:v>-0.035881009684746605</x:v>
      </x:c>
      <x:c r="G479" s="23" t="n">
        <x:f>ABS(F479)</x:f>
        <x:v>0.035881009684746605</x:v>
      </x:c>
      <x:c r="H479" s="23" t="str">
        <x:f>IF(F479&gt;=0,"positive","negative")</x:f>
        <x:v>negative</x:v>
      </x:c>
      <x:c r="I479" s="23" t="n">
        <x:v>0.08467668865820151</x:v>
      </x:c>
      <x:c r="J479" s="23" t="n">
        <x:v>-0.42374129472139305</x:v>
      </x:c>
      <x:c r="K479" s="23" t="n">
        <x:v>0.32054517920242304</x:v>
      </x:c>
      <x:c r="L479" s="24" t="n">
        <x:v>1981</x:v>
      </x:c>
      <x:c r="M479" t="str">
        <x:v>legacy_common_sample_8902245</x:v>
      </x:c>
      <x:c r="N479" s="25" t="n">
        <x:v>46210.79587657408</x:v>
      </x:c>
      <x:c r="O479" s="24" t="n">
        <x:v>8902245</x:v>
      </x:c>
      <x:c r="P479" t="str">
        <x:v>factor_report/gtja191_batch/gtja_145/ic_summary.csv</x:v>
      </x:c>
    </x:row>
    <x:row r="480">
      <x:c r="A480" s="22" t="n">
        <x:f>IF($E480="ranked",1+COUNTIFS($D$5:$D$546,$D480,$E$5:$E$546,"ranked",$F$5:$F$546,"&gt;"&amp;$F480),"")</x:f>
        <x:v>120</x:v>
      </x:c>
      <x:c r="B480" s="22" t="n">
        <x:f>IF($E480="ranked",1+COUNTIFS($D$5:$D$546,$D480,$E$5:$E$546,"ranked",$G$5:$G$546,"&gt;"&amp;$G480),"")</x:f>
        <x:v>92</x:v>
      </x:c>
      <x:c r="C480" t="str">
        <x:v>gtja_063</x:v>
      </x:c>
      <x:c r="D480" s="22" t="n">
        <x:v>20</x:v>
      </x:c>
      <x:c r="E480" t="str">
        <x:v>ranked</x:v>
      </x:c>
      <x:c r="F480" s="23" t="n">
        <x:v>-0.03637963851538203</x:v>
      </x:c>
      <x:c r="G480" s="23" t="n">
        <x:f>ABS(F480)</x:f>
        <x:v>0.03637963851538203</x:v>
      </x:c>
      <x:c r="H480" s="23" t="str">
        <x:f>IF(F480&gt;=0,"positive","negative")</x:f>
        <x:v>negative</x:v>
      </x:c>
      <x:c r="I480" s="23" t="n">
        <x:v>0.12510748148979678</x:v>
      </x:c>
      <x:c r="J480" s="23" t="n">
        <x:v>-0.29078707429938144</x:v>
      </x:c>
      <x:c r="K480" s="23" t="n">
        <x:v>0.39121655729429583</x:v>
      </x:c>
      <x:c r="L480" s="24" t="n">
        <x:v>1981</x:v>
      </x:c>
      <x:c r="M480" t="str">
        <x:v>legacy_common_sample_8902245</x:v>
      </x:c>
      <x:c r="N480" s="25" t="n">
        <x:v>46210.385858483794</x:v>
      </x:c>
      <x:c r="O480" s="24" t="n">
        <x:v>8902245</x:v>
      </x:c>
      <x:c r="P480" t="str">
        <x:v>factor_report/gtja191_batch/gtja_063/ic_summary.csv</x:v>
      </x:c>
    </x:row>
    <x:row r="481">
      <x:c r="A481" s="22" t="n">
        <x:f>IF($E481="ranked",1+COUNTIFS($D$5:$D$546,$D481,$E$5:$E$546,"ranked",$F$5:$F$546,"&gt;"&amp;$F481),"")</x:f>
        <x:v>121</x:v>
      </x:c>
      <x:c r="B481" s="22" t="n">
        <x:f>IF($E481="ranked",1+COUNTIFS($D$5:$D$546,$D481,$E$5:$E$546,"ranked",$G$5:$G$546,"&gt;"&amp;$G481),"")</x:f>
        <x:v>88</x:v>
      </x:c>
      <x:c r="C481" t="str">
        <x:v>gtja_089</x:v>
      </x:c>
      <x:c r="D481" s="22" t="n">
        <x:v>20</x:v>
      </x:c>
      <x:c r="E481" t="str">
        <x:v>ranked</x:v>
      </x:c>
      <x:c r="F481" s="23" t="n">
        <x:v>-0.03780088527753827</x:v>
      </x:c>
      <x:c r="G481" s="23" t="n">
        <x:f>ABS(F481)</x:f>
        <x:v>0.03780088527753827</x:v>
      </x:c>
      <x:c r="H481" s="23" t="str">
        <x:f>IF(F481&gt;=0,"positive","negative")</x:f>
        <x:v>negative</x:v>
      </x:c>
      <x:c r="I481" s="23" t="n">
        <x:v>0.12010288667285368</x:v>
      </x:c>
      <x:c r="J481" s="23" t="n">
        <x:v>-0.31473752483987744</x:v>
      </x:c>
      <x:c r="K481" s="23" t="n">
        <x:v>0.386673397274104</x:v>
      </x:c>
      <x:c r="L481" s="24" t="n">
        <x:v>1981</x:v>
      </x:c>
      <x:c r="M481" t="str">
        <x:v>legacy_common_sample_8902245</x:v>
      </x:c>
      <x:c r="N481" s="25" t="n">
        <x:v>46210.52408989584</x:v>
      </x:c>
      <x:c r="O481" s="24" t="n">
        <x:v>8902245</x:v>
      </x:c>
      <x:c r="P481" t="str">
        <x:v>factor_report/gtja191_batch/gtja_089/ic_summary.csv</x:v>
      </x:c>
    </x:row>
    <x:row r="482">
      <x:c r="A482" s="22" t="n">
        <x:f>IF($E482="ranked",1+COUNTIFS($D$5:$D$546,$D482,$E$5:$E$546,"ranked",$F$5:$F$546,"&gt;"&amp;$F482),"")</x:f>
        <x:v>122</x:v>
      </x:c>
      <x:c r="B482" s="22" t="n">
        <x:f>IF($E482="ranked",1+COUNTIFS($D$5:$D$546,$D482,$E$5:$E$546,"ranked",$G$5:$G$546,"&gt;"&amp;$G482),"")</x:f>
        <x:v>87</x:v>
      </x:c>
      <x:c r="C482" t="str">
        <x:v>gtja_068</x:v>
      </x:c>
      <x:c r="D482" s="22" t="n">
        <x:v>20</x:v>
      </x:c>
      <x:c r="E482" t="str">
        <x:v>ranked</x:v>
      </x:c>
      <x:c r="F482" s="23" t="n">
        <x:v>-0.03782733784595623</x:v>
      </x:c>
      <x:c r="G482" s="23" t="n">
        <x:f>ABS(F482)</x:f>
        <x:v>0.03782733784595623</x:v>
      </x:c>
      <x:c r="H482" s="23" t="str">
        <x:f>IF(F482&gt;=0,"positive","negative")</x:f>
        <x:v>negative</x:v>
      </x:c>
      <x:c r="I482" s="23" t="n">
        <x:v>0.12119790291225839</x:v>
      </x:c>
      <x:c r="J482" s="23" t="n">
        <x:v>-0.3121121482880892</x:v>
      </x:c>
      <x:c r="K482" s="23" t="n">
        <x:v>0.386673397274104</x:v>
      </x:c>
      <x:c r="L482" s="24" t="n">
        <x:v>1981</x:v>
      </x:c>
      <x:c r="M482" t="str">
        <x:v>legacy_common_sample_8902245</x:v>
      </x:c>
      <x:c r="N482" s="25" t="n">
        <x:v>46210.407986018516</x:v>
      </x:c>
      <x:c r="O482" s="24" t="n">
        <x:v>8902245</x:v>
      </x:c>
      <x:c r="P482" t="str">
        <x:v>factor_report/gtja191_batch/gtja_068/ic_summary.csv</x:v>
      </x:c>
    </x:row>
    <x:row r="483">
      <x:c r="A483" s="22" t="n">
        <x:f>IF($E483="ranked",1+COUNTIFS($D$5:$D$546,$D483,$E$5:$E$546,"ranked",$F$5:$F$546,"&gt;"&amp;$F483),"")</x:f>
        <x:v>123</x:v>
      </x:c>
      <x:c r="B483" s="22" t="n">
        <x:f>IF($E483="ranked",1+COUNTIFS($D$5:$D$546,$D483,$E$5:$E$546,"ranked",$G$5:$G$546,"&gt;"&amp;$G483),"")</x:f>
        <x:v>85</x:v>
      </x:c>
      <x:c r="C483" t="str">
        <x:v>gtja_020</x:v>
      </x:c>
      <x:c r="D483" s="22" t="n">
        <x:v>20</x:v>
      </x:c>
      <x:c r="E483" t="str">
        <x:v>ranked</x:v>
      </x:c>
      <x:c r="F483" s="23" t="n">
        <x:v>-0.0379479035368987</x:v>
      </x:c>
      <x:c r="G483" s="23" t="n">
        <x:f>ABS(F483)</x:f>
        <x:v>0.0379479035368987</x:v>
      </x:c>
      <x:c r="H483" s="23" t="str">
        <x:f>IF(F483&gt;=0,"positive","negative")</x:f>
        <x:v>negative</x:v>
      </x:c>
      <x:c r="I483" s="23" t="n">
        <x:v>0.12586769419484098</x:v>
      </x:c>
      <x:c r="J483" s="23" t="n">
        <x:v>-0.3014904164221521</x:v>
      </x:c>
      <x:c r="K483" s="23" t="n">
        <x:v>0.38818778394750125</x:v>
      </x:c>
      <x:c r="L483" s="24" t="n">
        <x:v>1981</x:v>
      </x:c>
      <x:c r="M483" t="str">
        <x:v>legacy_common_sample_8902245</x:v>
      </x:c>
      <x:c r="N483" s="25" t="n">
        <x:v>46210.19493413194</x:v>
      </x:c>
      <x:c r="O483" s="24" t="n">
        <x:v>8902245</x:v>
      </x:c>
      <x:c r="P483" t="str">
        <x:v>factor_report/gtja191_batch/gtja_020/ic_summary.csv</x:v>
      </x:c>
    </x:row>
    <x:row r="484">
      <x:c r="A484" s="22" t="n">
        <x:f>IF($E484="ranked",1+COUNTIFS($D$5:$D$546,$D484,$E$5:$E$546,"ranked",$F$5:$F$546,"&gt;"&amp;$F484),"")</x:f>
        <x:v>124</x:v>
      </x:c>
      <x:c r="B484" s="22" t="n">
        <x:f>IF($E484="ranked",1+COUNTIFS($D$5:$D$546,$D484,$E$5:$E$546,"ranked",$G$5:$G$546,"&gt;"&amp;$G484),"")</x:f>
        <x:v>83</x:v>
      </x:c>
      <x:c r="C484" t="str">
        <x:v>gtja_169</x:v>
      </x:c>
      <x:c r="D484" s="22" t="n">
        <x:v>20</x:v>
      </x:c>
      <x:c r="E484" t="str">
        <x:v>ranked</x:v>
      </x:c>
      <x:c r="F484" s="23" t="n">
        <x:v>-0.03854590185149994</x:v>
      </x:c>
      <x:c r="G484" s="23" t="n">
        <x:f>ABS(F484)</x:f>
        <x:v>0.03854590185149994</x:v>
      </x:c>
      <x:c r="H484" s="23" t="str">
        <x:f>IF(F484&gt;=0,"positive","negative")</x:f>
        <x:v>negative</x:v>
      </x:c>
      <x:c r="I484" s="23" t="n">
        <x:v>0.12520568048083566</x:v>
      </x:c>
      <x:c r="J484" s="23" t="n">
        <x:v>-0.3078606474040919</x:v>
      </x:c>
      <x:c r="K484" s="23" t="n">
        <x:v>0.3685007571933367</x:v>
      </x:c>
      <x:c r="L484" s="24" t="n">
        <x:v>1981</x:v>
      </x:c>
      <x:c r="M484" t="str">
        <x:v>legacy_common_sample_8902245</x:v>
      </x:c>
      <x:c r="N484" s="25" t="n">
        <x:v>46210.89785068287</x:v>
      </x:c>
      <x:c r="O484" s="24" t="n">
        <x:v>8902245</x:v>
      </x:c>
      <x:c r="P484" t="str">
        <x:v>factor_report/gtja191_batch/gtja_169/ic_summary.csv</x:v>
      </x:c>
    </x:row>
    <x:row r="485">
      <x:c r="A485" s="22" t="n">
        <x:f>IF($E485="ranked",1+COUNTIFS($D$5:$D$546,$D485,$E$5:$E$546,"ranked",$F$5:$F$546,"&gt;"&amp;$F485),"")</x:f>
        <x:v>125</x:v>
      </x:c>
      <x:c r="B485" s="22" t="n">
        <x:f>IF($E485="ranked",1+COUNTIFS($D$5:$D$546,$D485,$E$5:$E$546,"ranked",$G$5:$G$546,"&gt;"&amp;$G485),"")</x:f>
        <x:v>81</x:v>
      </x:c>
      <x:c r="C485" t="str">
        <x:v>gtja_078</x:v>
      </x:c>
      <x:c r="D485" s="22" t="n">
        <x:v>20</x:v>
      </x:c>
      <x:c r="E485" t="str">
        <x:v>ranked</x:v>
      </x:c>
      <x:c r="F485" s="23" t="n">
        <x:v>-0.03871594371270681</x:v>
      </x:c>
      <x:c r="G485" s="23" t="n">
        <x:f>ABS(F485)</x:f>
        <x:v>0.03871594371270681</x:v>
      </x:c>
      <x:c r="H485" s="23" t="str">
        <x:f>IF(F485&gt;=0,"positive","negative")</x:f>
        <x:v>negative</x:v>
      </x:c>
      <x:c r="I485" s="23" t="n">
        <x:v>0.1163417199175225</x:v>
      </x:c>
      <x:c r="J485" s="23" t="n">
        <x:v>-0.33277781813912927</x:v>
      </x:c>
      <x:c r="K485" s="23" t="n">
        <x:v>0.3801110550227158</x:v>
      </x:c>
      <x:c r="L485" s="24" t="n">
        <x:v>1981</x:v>
      </x:c>
      <x:c r="M485" t="str">
        <x:v>legacy_common_sample_8902245</x:v>
      </x:c>
      <x:c r="N485" s="25" t="n">
        <x:v>46210.46714320602</x:v>
      </x:c>
      <x:c r="O485" s="24" t="n">
        <x:v>8902245</x:v>
      </x:c>
      <x:c r="P485" t="str">
        <x:v>factor_report/gtja191_batch/gtja_078/ic_summary.csv</x:v>
      </x:c>
    </x:row>
    <x:row r="486">
      <x:c r="A486" s="22" t="n">
        <x:f>IF($E486="ranked",1+COUNTIFS($D$5:$D$546,$D486,$E$5:$E$546,"ranked",$F$5:$F$546,"&gt;"&amp;$F486),"")</x:f>
        <x:v>126</x:v>
      </x:c>
      <x:c r="B486" s="22" t="n">
        <x:f>IF($E486="ranked",1+COUNTIFS($D$5:$D$546,$D486,$E$5:$E$546,"ranked",$G$5:$G$546,"&gt;"&amp;$G486),"")</x:f>
        <x:v>80</x:v>
      </x:c>
      <x:c r="C486" t="str">
        <x:v>gtja_112</x:v>
      </x:c>
      <x:c r="D486" s="22" t="n">
        <x:v>20</x:v>
      </x:c>
      <x:c r="E486" t="str">
        <x:v>ranked</x:v>
      </x:c>
      <x:c r="F486" s="23" t="n">
        <x:v>-0.03934198871690689</x:v>
      </x:c>
      <x:c r="G486" s="23" t="n">
        <x:f>ABS(F486)</x:f>
        <x:v>0.03934198871690689</x:v>
      </x:c>
      <x:c r="H486" s="23" t="str">
        <x:f>IF(F486&gt;=0,"positive","negative")</x:f>
        <x:v>negative</x:v>
      </x:c>
      <x:c r="I486" s="23" t="n">
        <x:v>0.12549142083652348</x:v>
      </x:c>
      <x:c r="J486" s="23" t="n">
        <x:v>-0.3135034128600499</x:v>
      </x:c>
      <x:c r="K486" s="23" t="n">
        <x:v>0.37657748611812214</x:v>
      </x:c>
      <x:c r="L486" s="24" t="n">
        <x:v>1981</x:v>
      </x:c>
      <x:c r="M486" t="str">
        <x:v>legacy_common_sample_8902245</x:v>
      </x:c>
      <x:c r="N486" s="25" t="n">
        <x:v>46210.62560251157</x:v>
      </x:c>
      <x:c r="O486" s="24" t="n">
        <x:v>8902245</x:v>
      </x:c>
      <x:c r="P486" t="str">
        <x:v>factor_report/gtja191_batch/gtja_112/ic_summary.csv</x:v>
      </x:c>
    </x:row>
    <x:row r="487">
      <x:c r="A487" s="22" t="n">
        <x:f>IF($E487="ranked",1+COUNTIFS($D$5:$D$546,$D487,$E$5:$E$546,"ranked",$F$5:$F$546,"&gt;"&amp;$F487),"")</x:f>
        <x:v>127</x:v>
      </x:c>
      <x:c r="B487" s="22" t="n">
        <x:f>IF($E487="ranked",1+COUNTIFS($D$5:$D$546,$D487,$E$5:$E$546,"ranked",$G$5:$G$546,"&gt;"&amp;$G487),"")</x:f>
        <x:v>78</x:v>
      </x:c>
      <x:c r="C487" t="str">
        <x:v>gtja_176</x:v>
      </x:c>
      <x:c r="D487" s="22" t="n">
        <x:v>20</x:v>
      </x:c>
      <x:c r="E487" t="str">
        <x:v>ranked</x:v>
      </x:c>
      <x:c r="F487" s="23" t="n">
        <x:v>-0.039441726766842995</x:v>
      </x:c>
      <x:c r="G487" s="23" t="n">
        <x:f>ABS(F487)</x:f>
        <x:v>0.039441726766842995</x:v>
      </x:c>
      <x:c r="H487" s="23" t="str">
        <x:f>IF(F487&gt;=0,"positive","negative")</x:f>
        <x:v>negative</x:v>
      </x:c>
      <x:c r="I487" s="23" t="n">
        <x:v>0.04936834272163876</x:v>
      </x:c>
      <x:c r="J487" s="23" t="n">
        <x:v>-0.7989275027771024</x:v>
      </x:c>
      <x:c r="K487" s="23" t="n">
        <x:v>0.20797576981322563</x:v>
      </x:c>
      <x:c r="L487" s="24" t="n">
        <x:v>1981</x:v>
      </x:c>
      <x:c r="M487" t="str">
        <x:v>legacy_common_sample_8902245</x:v>
      </x:c>
      <x:c r="N487" s="25" t="n">
        <x:v>46210.92925570602</x:v>
      </x:c>
      <x:c r="O487" s="24" t="n">
        <x:v>8902245</x:v>
      </x:c>
      <x:c r="P487" t="str">
        <x:v>factor_report/gtja191_batch/gtja_176/ic_summary.csv</x:v>
      </x:c>
    </x:row>
    <x:row r="488">
      <x:c r="A488" s="22" t="n">
        <x:f>IF($E488="ranked",1+COUNTIFS($D$5:$D$546,$D488,$E$5:$E$546,"ranked",$F$5:$F$546,"&gt;"&amp;$F488),"")</x:f>
        <x:v>128</x:v>
      </x:c>
      <x:c r="B488" s="22" t="n">
        <x:f>IF($E488="ranked",1+COUNTIFS($D$5:$D$546,$D488,$E$5:$E$546,"ranked",$G$5:$G$546,"&gt;"&amp;$G488),"")</x:f>
        <x:v>77</x:v>
      </x:c>
      <x:c r="C488" t="str">
        <x:v>gtja_128</x:v>
      </x:c>
      <x:c r="D488" s="22" t="n">
        <x:v>20</x:v>
      </x:c>
      <x:c r="E488" t="str">
        <x:v>ranked</x:v>
      </x:c>
      <x:c r="F488" s="23" t="n">
        <x:v>-0.03950094064651557</x:v>
      </x:c>
      <x:c r="G488" s="23" t="n">
        <x:f>ABS(F488)</x:f>
        <x:v>0.03950094064651557</x:v>
      </x:c>
      <x:c r="H488" s="23" t="str">
        <x:f>IF(F488&gt;=0,"positive","negative")</x:f>
        <x:v>negative</x:v>
      </x:c>
      <x:c r="I488" s="23" t="n">
        <x:v>0.10841740380872587</x:v>
      </x:c>
      <x:c r="J488" s="23" t="n">
        <x:v>-0.36434132582813583</x:v>
      </x:c>
      <x:c r="K488" s="23" t="n">
        <x:v>0.358909641595154</x:v>
      </x:c>
      <x:c r="L488" s="24" t="n">
        <x:v>1981</x:v>
      </x:c>
      <x:c r="M488" t="str">
        <x:v>legacy_common_sample_8902245</x:v>
      </x:c>
      <x:c r="N488" s="25" t="n">
        <x:v>46210.71593150463</x:v>
      </x:c>
      <x:c r="O488" s="24" t="n">
        <x:v>8902245</x:v>
      </x:c>
      <x:c r="P488" t="str">
        <x:v>factor_report/gtja191_batch/gtja_128/ic_summary.csv</x:v>
      </x:c>
    </x:row>
    <x:row r="489">
      <x:c r="A489" s="22" t="n">
        <x:f>IF($E489="ranked",1+COUNTIFS($D$5:$D$546,$D489,$E$5:$E$546,"ranked",$F$5:$F$546,"&gt;"&amp;$F489),"")</x:f>
        <x:v>129</x:v>
      </x:c>
      <x:c r="B489" s="22" t="n">
        <x:f>IF($E489="ranked",1+COUNTIFS($D$5:$D$546,$D489,$E$5:$E$546,"ranked",$G$5:$G$546,"&gt;"&amp;$G489),"")</x:f>
        <x:v>74</x:v>
      </x:c>
      <x:c r="C489" t="str">
        <x:v>gtja_179</x:v>
      </x:c>
      <x:c r="D489" s="22" t="n">
        <x:v>20</x:v>
      </x:c>
      <x:c r="E489" t="str">
        <x:v>ranked</x:v>
      </x:c>
      <x:c r="F489" s="23" t="n">
        <x:v>-0.04046567729271906</x:v>
      </x:c>
      <x:c r="G489" s="23" t="n">
        <x:f>ABS(F489)</x:f>
        <x:v>0.04046567729271906</x:v>
      </x:c>
      <x:c r="H489" s="23" t="str">
        <x:f>IF(F489&gt;=0,"positive","negative")</x:f>
        <x:v>negative</x:v>
      </x:c>
      <x:c r="I489" s="23" t="n">
        <x:v>0.059247047686089876</x:v>
      </x:c>
      <x:c r="J489" s="23" t="n">
        <x:v>-0.682999050131905</x:v>
      </x:c>
      <x:c r="K489" s="23" t="n">
        <x:v>0.22839818089944416</x:v>
      </x:c>
      <x:c r="L489" s="24" t="n">
        <x:v>1979</x:v>
      </x:c>
      <x:c r="M489" t="str">
        <x:v>legacy_common_sample_8902245</x:v>
      </x:c>
      <x:c r="N489" s="25" t="n">
        <x:v>46210.941301631945</x:v>
      </x:c>
      <x:c r="O489" s="24" t="n">
        <x:v>8902245</x:v>
      </x:c>
      <x:c r="P489" t="str">
        <x:v>factor_report/gtja191_batch/gtja_179/ic_summary.csv</x:v>
      </x:c>
    </x:row>
    <x:row r="490">
      <x:c r="A490" s="22" t="n">
        <x:f>IF($E490="ranked",1+COUNTIFS($D$5:$D$546,$D490,$E$5:$E$546,"ranked",$F$5:$F$546,"&gt;"&amp;$F490),"")</x:f>
        <x:v>130</x:v>
      </x:c>
      <x:c r="B490" s="22" t="n">
        <x:f>IF($E490="ranked",1+COUNTIFS($D$5:$D$546,$D490,$E$5:$E$546,"ranked",$G$5:$G$546,"&gt;"&amp;$G490),"")</x:f>
        <x:v>73</x:v>
      </x:c>
      <x:c r="C490" t="str">
        <x:v>gtja_050</x:v>
      </x:c>
      <x:c r="D490" s="22" t="n">
        <x:v>20</x:v>
      </x:c>
      <x:c r="E490" t="str">
        <x:v>ranked</x:v>
      </x:c>
      <x:c r="F490" s="23" t="n">
        <x:v>-0.04048703310051595</x:v>
      </x:c>
      <x:c r="G490" s="23" t="n">
        <x:f>ABS(F490)</x:f>
        <x:v>0.04048703310051595</x:v>
      </x:c>
      <x:c r="H490" s="23" t="str">
        <x:f>IF(F490&gt;=0,"positive","negative")</x:f>
        <x:v>negative</x:v>
      </x:c>
      <x:c r="I490" s="23" t="n">
        <x:v>0.12070708202468723</x:v>
      </x:c>
      <x:c r="J490" s="23" t="n">
        <x:v>-0.33541555658047856</x:v>
      </x:c>
      <x:c r="K490" s="23" t="n">
        <x:v>0.3750630994447249</x:v>
      </x:c>
      <x:c r="L490" s="24" t="n">
        <x:v>1981</x:v>
      </x:c>
      <x:c r="M490" t="str">
        <x:v>legacy_common_sample_8902245</x:v>
      </x:c>
      <x:c r="N490" s="25" t="n">
        <x:v>46210.32673208333</x:v>
      </x:c>
      <x:c r="O490" s="24" t="n">
        <x:v>8902245</x:v>
      </x:c>
      <x:c r="P490" t="str">
        <x:v>factor_report/gtja191_batch/gtja_050/ic_summary.csv</x:v>
      </x:c>
    </x:row>
    <x:row r="491">
      <x:c r="A491" s="22" t="n">
        <x:f>IF($E491="ranked",1+COUNTIFS($D$5:$D$546,$D491,$E$5:$E$546,"ranked",$F$5:$F$546,"&gt;"&amp;$F491),"")</x:f>
        <x:v>131</x:v>
      </x:c>
      <x:c r="B491" s="22" t="n">
        <x:f>IF($E491="ranked",1+COUNTIFS($D$5:$D$546,$D491,$E$5:$E$546,"ranked",$G$5:$G$546,"&gt;"&amp;$G491),"")</x:f>
        <x:v>71</x:v>
      </x:c>
      <x:c r="C491" t="str">
        <x:v>gtja_051</x:v>
      </x:c>
      <x:c r="D491" s="22" t="n">
        <x:v>20</x:v>
      </x:c>
      <x:c r="E491" t="str">
        <x:v>ranked</x:v>
      </x:c>
      <x:c r="F491" s="23" t="n">
        <x:v>-0.040487045047700426</x:v>
      </x:c>
      <x:c r="G491" s="23" t="n">
        <x:f>ABS(F491)</x:f>
        <x:v>0.040487045047700426</x:v>
      </x:c>
      <x:c r="H491" s="23" t="str">
        <x:f>IF(F491&gt;=0,"positive","negative")</x:f>
        <x:v>negative</x:v>
      </x:c>
      <x:c r="I491" s="23" t="n">
        <x:v>0.12070707097991402</x:v>
      </x:c>
      <x:c r="J491" s="23" t="n">
        <x:v>-0.3354156862478883</x:v>
      </x:c>
      <x:c r="K491" s="23" t="n">
        <x:v>0.3750630994447249</x:v>
      </x:c>
      <x:c r="L491" s="24" t="n">
        <x:v>1981</x:v>
      </x:c>
      <x:c r="M491" t="str">
        <x:v>legacy_common_sample_8902245</x:v>
      </x:c>
      <x:c r="N491" s="25" t="n">
        <x:v>46210.33137918982</x:v>
      </x:c>
      <x:c r="O491" s="24" t="n">
        <x:v>8902245</x:v>
      </x:c>
      <x:c r="P491" t="str">
        <x:v>factor_report/gtja191_batch/gtja_051/ic_summary.csv</x:v>
      </x:c>
    </x:row>
    <x:row r="492">
      <x:c r="A492" s="22" t="n">
        <x:f>IF($E492="ranked",1+COUNTIFS($D$5:$D$546,$D492,$E$5:$E$546,"ranked",$F$5:$F$546,"&gt;"&amp;$F492),"")</x:f>
        <x:v>132</x:v>
      </x:c>
      <x:c r="B492" s="22" t="n">
        <x:f>IF($E492="ranked",1+COUNTIFS($D$5:$D$546,$D492,$E$5:$E$546,"ranked",$G$5:$G$546,"&gt;"&amp;$G492),"")</x:f>
        <x:v>70</x:v>
      </x:c>
      <x:c r="C492" t="str">
        <x:v>gtja_021</x:v>
      </x:c>
      <x:c r="D492" s="22" t="n">
        <x:v>20</x:v>
      </x:c>
      <x:c r="E492" t="str">
        <x:v>ranked</x:v>
      </x:c>
      <x:c r="F492" s="23" t="n">
        <x:v>-0.04078459231172008</x:v>
      </x:c>
      <x:c r="G492" s="23" t="n">
        <x:f>ABS(F492)</x:f>
        <x:v>0.04078459231172008</x:v>
      </x:c>
      <x:c r="H492" s="23" t="str">
        <x:f>IF(F492&gt;=0,"positive","negative")</x:f>
        <x:v>negative</x:v>
      </x:c>
      <x:c r="I492" s="23" t="n">
        <x:v>0.12279992774039832</x:v>
      </x:c>
      <x:c r="J492" s="23" t="n">
        <x:v>-0.33212228266078125</x:v>
      </x:c>
      <x:c r="K492" s="23" t="n">
        <x:v>0.3750630994447249</x:v>
      </x:c>
      <x:c r="L492" s="24" t="n">
        <x:v>1981</x:v>
      </x:c>
      <x:c r="M492" t="str">
        <x:v>legacy_common_sample_8902245</x:v>
      </x:c>
      <x:c r="N492" s="25" t="n">
        <x:v>46210.1997081713</x:v>
      </x:c>
      <x:c r="O492" s="24" t="n">
        <x:v>8902245</x:v>
      </x:c>
      <x:c r="P492" t="str">
        <x:v>factor_report/gtja191_batch/gtja_021/ic_summary.csv</x:v>
      </x:c>
    </x:row>
    <x:row r="493">
      <x:c r="A493" s="22" t="n">
        <x:f>IF($E493="ranked",1+COUNTIFS($D$5:$D$546,$D493,$E$5:$E$546,"ranked",$F$5:$F$546,"&gt;"&amp;$F493),"")</x:f>
        <x:v>133</x:v>
      </x:c>
      <x:c r="B493" s="22" t="n">
        <x:f>IF($E493="ranked",1+COUNTIFS($D$5:$D$546,$D493,$E$5:$E$546,"ranked",$G$5:$G$546,"&gt;"&amp;$G493),"")</x:f>
        <x:v>69</x:v>
      </x:c>
      <x:c r="C493" t="str">
        <x:v>gtja_003</x:v>
      </x:c>
      <x:c r="D493" s="22" t="n">
        <x:v>20</x:v>
      </x:c>
      <x:c r="E493" t="str">
        <x:v>ranked</x:v>
      </x:c>
      <x:c r="F493" s="23" t="n">
        <x:v>-0.040821568603022704</x:v>
      </x:c>
      <x:c r="G493" s="23" t="n">
        <x:f>ABS(F493)</x:f>
        <x:v>0.040821568603022704</x:v>
      </x:c>
      <x:c r="H493" s="23" t="str">
        <x:f>IF(F493&gt;=0,"positive","negative")</x:f>
        <x:v>negative</x:v>
      </x:c>
      <x:c r="I493" s="23" t="n">
        <x:v>0.1159749249208376</x:v>
      </x:c>
      <x:c r="J493" s="23" t="n">
        <x:v>-0.3519861610678927</x:v>
      </x:c>
      <x:c r="K493" s="23" t="n">
        <x:v>0.358909641595154</x:v>
      </x:c>
      <x:c r="L493" s="24" t="n">
        <x:v>1981</x:v>
      </x:c>
      <x:c r="M493" t="str">
        <x:v>legacy_common_sample_8902245</x:v>
      </x:c>
      <x:c r="N493" s="25" t="n">
        <x:v>46210.119879363425</x:v>
      </x:c>
      <x:c r="O493" s="24" t="n">
        <x:v>8902245</x:v>
      </x:c>
      <x:c r="P493" t="str">
        <x:v>factor_report/gtja191_batch/gtja_003/ic_summary.csv</x:v>
      </x:c>
    </x:row>
    <x:row r="494">
      <x:c r="A494" s="22" t="n">
        <x:f>IF($E494="ranked",1+COUNTIFS($D$5:$D$546,$D494,$E$5:$E$546,"ranked",$F$5:$F$546,"&gt;"&amp;$F494),"")</x:f>
        <x:v>134</x:v>
      </x:c>
      <x:c r="B494" s="22" t="n">
        <x:f>IF($E494="ranked",1+COUNTIFS($D$5:$D$546,$D494,$E$5:$E$546,"ranked",$G$5:$G$546,"&gt;"&amp;$G494),"")</x:f>
        <x:v>68</x:v>
      </x:c>
      <x:c r="C494" t="str">
        <x:v>gtja_177</x:v>
      </x:c>
      <x:c r="D494" s="22" t="n">
        <x:v>20</x:v>
      </x:c>
      <x:c r="E494" t="str">
        <x:v>ranked</x:v>
      </x:c>
      <x:c r="F494" s="23" t="n">
        <x:v>-0.04136338386476683</x:v>
      </x:c>
      <x:c r="G494" s="23" t="n">
        <x:f>ABS(F494)</x:f>
        <x:v>0.04136338386476683</x:v>
      </x:c>
      <x:c r="H494" s="23" t="str">
        <x:f>IF(F494&gt;=0,"positive","negative")</x:f>
        <x:v>negative</x:v>
      </x:c>
      <x:c r="I494" s="23" t="n">
        <x:v>0.10039328048995054</x:v>
      </x:c>
      <x:c r="J494" s="23" t="n">
        <x:v>-0.4120134700539778</x:v>
      </x:c>
      <x:c r="K494" s="23" t="n">
        <x:v>0.3462897526501767</x:v>
      </x:c>
      <x:c r="L494" s="24" t="n">
        <x:v>1981</x:v>
      </x:c>
      <x:c r="M494" t="str">
        <x:v>legacy_common_sample_8902245</x:v>
      </x:c>
      <x:c r="N494" s="25" t="n">
        <x:v>46210.93332200232</x:v>
      </x:c>
      <x:c r="O494" s="24" t="n">
        <x:v>8902245</x:v>
      </x:c>
      <x:c r="P494" t="str">
        <x:v>factor_report/gtja191_batch/gtja_177/ic_summary.csv</x:v>
      </x:c>
    </x:row>
    <x:row r="495">
      <x:c r="A495" s="22" t="n">
        <x:f>IF($E495="ranked",1+COUNTIFS($D$5:$D$546,$D495,$E$5:$E$546,"ranked",$F$5:$F$546,"&gt;"&amp;$F495),"")</x:f>
        <x:v>135</x:v>
      </x:c>
      <x:c r="B495" s="22" t="n">
        <x:f>IF($E495="ranked",1+COUNTIFS($D$5:$D$546,$D495,$E$5:$E$546,"ranked",$G$5:$G$546,"&gt;"&amp;$G495),"")</x:f>
        <x:v>64</x:v>
      </x:c>
      <x:c r="C495" t="str">
        <x:v>gtja_031</x:v>
      </x:c>
      <x:c r="D495" s="22" t="n">
        <x:v>20</x:v>
      </x:c>
      <x:c r="E495" t="str">
        <x:v>ranked</x:v>
      </x:c>
      <x:c r="F495" s="23" t="n">
        <x:v>-0.04388569754062773</x:v>
      </x:c>
      <x:c r="G495" s="23" t="n">
        <x:f>ABS(F495)</x:f>
        <x:v>0.04388569754062773</x:v>
      </x:c>
      <x:c r="H495" s="23" t="str">
        <x:f>IF(F495&gt;=0,"positive","negative")</x:f>
        <x:v>negative</x:v>
      </x:c>
      <x:c r="I495" s="23" t="n">
        <x:v>0.12856787073727688</x:v>
      </x:c>
      <x:c r="J495" s="23" t="n">
        <x:v>-0.3413426487423622</x:v>
      </x:c>
      <x:c r="K495" s="23" t="n">
        <x:v>0.37657748611812214</x:v>
      </x:c>
      <x:c r="L495" s="24" t="n">
        <x:v>1981</x:v>
      </x:c>
      <x:c r="M495" t="str">
        <x:v>legacy_common_sample_8902245</x:v>
      </x:c>
      <x:c r="N495" s="25" t="n">
        <x:v>46210.23892871528</x:v>
      </x:c>
      <x:c r="O495" s="24" t="n">
        <x:v>8902245</x:v>
      </x:c>
      <x:c r="P495" t="str">
        <x:v>factor_report/gtja191_batch/gtja_031/ic_summary.csv</x:v>
      </x:c>
    </x:row>
    <x:row r="496">
      <x:c r="A496" s="22" t="n">
        <x:f>IF($E496="ranked",1+COUNTIFS($D$5:$D$546,$D496,$E$5:$E$546,"ranked",$F$5:$F$546,"&gt;"&amp;$F496),"")</x:f>
        <x:v>136</x:v>
      </x:c>
      <x:c r="B496" s="22" t="n">
        <x:f>IF($E496="ranked",1+COUNTIFS($D$5:$D$546,$D496,$E$5:$E$546,"ranked",$G$5:$G$546,"&gt;"&amp;$G496),"")</x:f>
        <x:v>62</x:v>
      </x:c>
      <x:c r="C496" t="str">
        <x:v>gtja_074</x:v>
      </x:c>
      <x:c r="D496" s="22" t="n">
        <x:v>20</x:v>
      </x:c>
      <x:c r="E496" t="str">
        <x:v>ranked</x:v>
      </x:c>
      <x:c r="F496" s="23" t="n">
        <x:v>-0.04496579321359351</x:v>
      </x:c>
      <x:c r="G496" s="23" t="n">
        <x:f>ABS(F496)</x:f>
        <x:v>0.04496579321359351</x:v>
      </x:c>
      <x:c r="H496" s="23" t="str">
        <x:f>IF(F496&gt;=0,"positive","negative")</x:f>
        <x:v>negative</x:v>
      </x:c>
      <x:c r="I496" s="23" t="n">
        <x:v>0.06919798349307602</x:v>
      </x:c>
      <x:c r="J496" s="23" t="n">
        <x:v>-0.6498136353654411</x:v>
      </x:c>
      <x:c r="K496" s="23" t="n">
        <x:v>0.25113924050632913</x:v>
      </x:c>
      <x:c r="L496" s="24" t="n">
        <x:v>1975</x:v>
      </x:c>
      <x:c r="M496" t="str">
        <x:v>legacy_common_sample_8902245</x:v>
      </x:c>
      <x:c r="N496" s="25" t="n">
        <x:v>46210.45096833333</x:v>
      </x:c>
      <x:c r="O496" s="24" t="n">
        <x:v>8902245</x:v>
      </x:c>
      <x:c r="P496" t="str">
        <x:v>factor_report/gtja191_batch/gtja_074/ic_summary.csv</x:v>
      </x:c>
    </x:row>
    <x:row r="497">
      <x:c r="A497" s="22" t="n">
        <x:f>IF($E497="ranked",1+COUNTIFS($D$5:$D$546,$D497,$E$5:$E$546,"ranked",$F$5:$F$546,"&gt;"&amp;$F497),"")</x:f>
        <x:v>137</x:v>
      </x:c>
      <x:c r="B497" s="22" t="n">
        <x:f>IF($E497="ranked",1+COUNTIFS($D$5:$D$546,$D497,$E$5:$E$546,"ranked",$G$5:$G$546,"&gt;"&amp;$G497),"")</x:f>
        <x:v>61</x:v>
      </x:c>
      <x:c r="C497" t="str">
        <x:v>gtja_133</x:v>
      </x:c>
      <x:c r="D497" s="22" t="n">
        <x:v>20</x:v>
      </x:c>
      <x:c r="E497" t="str">
        <x:v>ranked</x:v>
      </x:c>
      <x:c r="F497" s="23" t="n">
        <x:v>-0.04540233891489587</x:v>
      </x:c>
      <x:c r="G497" s="23" t="n">
        <x:f>ABS(F497)</x:f>
        <x:v>0.04540233891489587</x:v>
      </x:c>
      <x:c r="H497" s="23" t="str">
        <x:f>IF(F497&gt;=0,"positive","negative")</x:f>
        <x:v>negative</x:v>
      </x:c>
      <x:c r="I497" s="23" t="n">
        <x:v>0.11247178586177452</x:v>
      </x:c>
      <x:c r="J497" s="23" t="n">
        <x:v>-0.40367758515628444</x:v>
      </x:c>
      <x:c r="K497" s="23" t="n">
        <x:v>0.3528520949015649</x:v>
      </x:c>
      <x:c r="L497" s="24" t="n">
        <x:v>1981</x:v>
      </x:c>
      <x:c r="M497" t="str">
        <x:v>legacy_common_sample_8902245</x:v>
      </x:c>
      <x:c r="N497" s="25" t="n">
        <x:v>46210.73796425926</x:v>
      </x:c>
      <x:c r="O497" s="24" t="n">
        <x:v>8902245</x:v>
      </x:c>
      <x:c r="P497" t="str">
        <x:v>factor_report/gtja191_batch/gtja_133/ic_summary.csv</x:v>
      </x:c>
    </x:row>
    <x:row r="498">
      <x:c r="A498" s="22" t="n">
        <x:f>IF($E498="ranked",1+COUNTIFS($D$5:$D$546,$D498,$E$5:$E$546,"ranked",$F$5:$F$546,"&gt;"&amp;$F498),"")</x:f>
        <x:v>138</x:v>
      </x:c>
      <x:c r="B498" s="22" t="n">
        <x:f>IF($E498="ranked",1+COUNTIFS($D$5:$D$546,$D498,$E$5:$E$546,"ranked",$G$5:$G$546,"&gt;"&amp;$G498),"")</x:f>
        <x:v>59</x:v>
      </x:c>
      <x:c r="C498" t="str">
        <x:v>gtja_110</x:v>
      </x:c>
      <x:c r="D498" s="22" t="n">
        <x:v>20</x:v>
      </x:c>
      <x:c r="E498" t="str">
        <x:v>ranked</x:v>
      </x:c>
      <x:c r="F498" s="23" t="n">
        <x:v>-0.04728066301414187</x:v>
      </x:c>
      <x:c r="G498" s="23" t="n">
        <x:f>ABS(F498)</x:f>
        <x:v>0.04728066301414187</x:v>
      </x:c>
      <x:c r="H498" s="23" t="str">
        <x:f>IF(F498&gt;=0,"positive","negative")</x:f>
        <x:v>negative</x:v>
      </x:c>
      <x:c r="I498" s="23" t="n">
        <x:v>0.11878454260773844</x:v>
      </x:c>
      <x:c r="J498" s="23" t="n">
        <x:v>-0.3980371686093581</x:v>
      </x:c>
      <x:c r="K498" s="23" t="n">
        <x:v>0.35386168601716306</x:v>
      </x:c>
      <x:c r="L498" s="24" t="n">
        <x:v>1981</x:v>
      </x:c>
      <x:c r="M498" t="str">
        <x:v>legacy_common_sample_8902245</x:v>
      </x:c>
      <x:c r="N498" s="25" t="n">
        <x:v>46210.616483287034</x:v>
      </x:c>
      <x:c r="O498" s="24" t="n">
        <x:v>8902245</x:v>
      </x:c>
      <x:c r="P498" t="str">
        <x:v>factor_report/gtja191_batch/gtja_110/ic_summary.csv</x:v>
      </x:c>
    </x:row>
    <x:row r="499">
      <x:c r="A499" s="22" t="n">
        <x:f>IF($E499="ranked",1+COUNTIFS($D$5:$D$546,$D499,$E$5:$E$546,"ranked",$F$5:$F$546,"&gt;"&amp;$F499),"")</x:f>
        <x:v>139</x:v>
      </x:c>
      <x:c r="B499" s="22" t="n">
        <x:f>IF($E499="ranked",1+COUNTIFS($D$5:$D$546,$D499,$E$5:$E$546,"ranked",$G$5:$G$546,"&gt;"&amp;$G499),"")</x:f>
        <x:v>58</x:v>
      </x:c>
      <x:c r="C499" t="str">
        <x:v>gtja_134</x:v>
      </x:c>
      <x:c r="D499" s="22" t="n">
        <x:v>20</x:v>
      </x:c>
      <x:c r="E499" t="str">
        <x:v>ranked</x:v>
      </x:c>
      <x:c r="F499" s="23" t="n">
        <x:v>-0.04812829792905713</x:v>
      </x:c>
      <x:c r="G499" s="23" t="n">
        <x:f>ABS(F499)</x:f>
        <x:v>0.04812829792905713</x:v>
      </x:c>
      <x:c r="H499" s="23" t="str">
        <x:f>IF(F499&gt;=0,"positive","negative")</x:f>
        <x:v>negative</x:v>
      </x:c>
      <x:c r="I499" s="23" t="n">
        <x:v>0.1093001474679385</x:v>
      </x:c>
      <x:c r="J499" s="23" t="n">
        <x:v>-0.4403315004051099</x:v>
      </x:c>
      <x:c r="K499" s="23" t="n">
        <x:v>0.3336698637051994</x:v>
      </x:c>
      <x:c r="L499" s="24" t="n">
        <x:v>1981</x:v>
      </x:c>
      <x:c r="M499" t="str">
        <x:v>legacy_common_sample_8902245</x:v>
      </x:c>
      <x:c r="N499" s="25" t="n">
        <x:v>46210.74197935185</x:v>
      </x:c>
      <x:c r="O499" s="24" t="n">
        <x:v>8902245</x:v>
      </x:c>
      <x:c r="P499" t="str">
        <x:v>factor_report/gtja191_batch/gtja_134/ic_summary.csv</x:v>
      </x:c>
    </x:row>
    <x:row r="500">
      <x:c r="A500" s="22" t="n">
        <x:f>IF($E500="ranked",1+COUNTIFS($D$5:$D$546,$D500,$E$5:$E$546,"ranked",$F$5:$F$546,"&gt;"&amp;$F500),"")</x:f>
        <x:v>140</x:v>
      </x:c>
      <x:c r="B500" s="22" t="n">
        <x:f>IF($E500="ranked",1+COUNTIFS($D$5:$D$546,$D500,$E$5:$E$546,"ranked",$G$5:$G$546,"&gt;"&amp;$G500),"")</x:f>
        <x:v>57</x:v>
      </x:c>
      <x:c r="C500" t="str">
        <x:v>gtja_151</x:v>
      </x:c>
      <x:c r="D500" s="22" t="n">
        <x:v>20</x:v>
      </x:c>
      <x:c r="E500" t="str">
        <x:v>ranked</x:v>
      </x:c>
      <x:c r="F500" s="23" t="n">
        <x:v>-0.048389435009328755</x:v>
      </x:c>
      <x:c r="G500" s="23" t="n">
        <x:f>ABS(F500)</x:f>
        <x:v>0.048389435009328755</x:v>
      </x:c>
      <x:c r="H500" s="23" t="str">
        <x:f>IF(F500&gt;=0,"positive","negative")</x:f>
        <x:v>negative</x:v>
      </x:c>
      <x:c r="I500" s="23" t="n">
        <x:v>0.13939499552008833</x:v>
      </x:c>
      <x:c r="J500" s="23" t="n">
        <x:v>-0.3471389688617287</x:v>
      </x:c>
      <x:c r="K500" s="23" t="n">
        <x:v>0.37657748611812214</x:v>
      </x:c>
      <x:c r="L500" s="24" t="n">
        <x:v>1981</x:v>
      </x:c>
      <x:c r="M500" t="str">
        <x:v>legacy_common_sample_8902245</x:v>
      </x:c>
      <x:c r="N500" s="25" t="n">
        <x:v>46210.81806668981</x:v>
      </x:c>
      <x:c r="O500" s="24" t="n">
        <x:v>8902245</x:v>
      </x:c>
      <x:c r="P500" t="str">
        <x:v>factor_report/gtja191_batch/gtja_151/ic_summary.csv</x:v>
      </x:c>
    </x:row>
    <x:row r="501">
      <x:c r="A501" s="22" t="n">
        <x:f>IF($E501="ranked",1+COUNTIFS($D$5:$D$546,$D501,$E$5:$E$546,"ranked",$F$5:$F$546,"&gt;"&amp;$F501),"")</x:f>
        <x:v>141</x:v>
      </x:c>
      <x:c r="B501" s="22" t="n">
        <x:f>IF($E501="ranked",1+COUNTIFS($D$5:$D$546,$D501,$E$5:$E$546,"ranked",$G$5:$G$546,"&gt;"&amp;$G501),"")</x:f>
        <x:v>56</x:v>
      </x:c>
      <x:c r="C501" t="str">
        <x:v>gtja_036</x:v>
      </x:c>
      <x:c r="D501" s="22" t="n">
        <x:v>20</x:v>
      </x:c>
      <x:c r="E501" t="str">
        <x:v>ranked</x:v>
      </x:c>
      <x:c r="F501" s="23" t="n">
        <x:v>-0.048413869320567675</x:v>
      </x:c>
      <x:c r="G501" s="23" t="n">
        <x:f>ABS(F501)</x:f>
        <x:v>0.048413869320567675</x:v>
      </x:c>
      <x:c r="H501" s="23" t="str">
        <x:f>IF(F501&gt;=0,"positive","negative")</x:f>
        <x:v>negative</x:v>
      </x:c>
      <x:c r="I501" s="23" t="n">
        <x:v>0.06214973851821023</x:v>
      </x:c>
      <x:c r="J501" s="23" t="n">
        <x:v>-0.7789874981755899</x:v>
      </x:c>
      <x:c r="K501" s="23" t="n">
        <x:v>0.21807168096920748</x:v>
      </x:c>
      <x:c r="L501" s="24" t="n">
        <x:v>1981</x:v>
      </x:c>
      <x:c r="M501" t="str">
        <x:v>legacy_common_sample_8902245</x:v>
      </x:c>
      <x:c r="N501" s="25" t="n">
        <x:v>46210.26318543981</x:v>
      </x:c>
      <x:c r="O501" s="24" t="n">
        <x:v>8902245</x:v>
      </x:c>
      <x:c r="P501" t="str">
        <x:v>factor_report/gtja191_batch/gtja_036/ic_summary.csv</x:v>
      </x:c>
    </x:row>
    <x:row r="502">
      <x:c r="A502" s="22" t="n">
        <x:f>IF($E502="ranked",1+COUNTIFS($D$5:$D$546,$D502,$E$5:$E$546,"ranked",$F$5:$F$546,"&gt;"&amp;$F502),"")</x:f>
        <x:v>142</x:v>
      </x:c>
      <x:c r="B502" s="22" t="n">
        <x:f>IF($E502="ranked",1+COUNTIFS($D$5:$D$546,$D502,$E$5:$E$546,"ranked",$G$5:$G$546,"&gt;"&amp;$G502),"")</x:f>
        <x:v>55</x:v>
      </x:c>
      <x:c r="C502" t="str">
        <x:v>gtja_093</x:v>
      </x:c>
      <x:c r="D502" s="22" t="n">
        <x:v>20</x:v>
      </x:c>
      <x:c r="E502" t="str">
        <x:v>ranked</x:v>
      </x:c>
      <x:c r="F502" s="23" t="n">
        <x:v>-0.048838455327472906</x:v>
      </x:c>
      <x:c r="G502" s="23" t="n">
        <x:f>ABS(F502)</x:f>
        <x:v>0.048838455327472906</x:v>
      </x:c>
      <x:c r="H502" s="23" t="str">
        <x:f>IF(F502&gt;=0,"positive","negative")</x:f>
        <x:v>negative</x:v>
      </x:c>
      <x:c r="I502" s="23" t="n">
        <x:v>0.18924160433601203</x:v>
      </x:c>
      <x:c r="J502" s="23" t="n">
        <x:v>-0.25807462105825696</x:v>
      </x:c>
      <x:c r="K502" s="23" t="n">
        <x:v>0.4149419485108531</x:v>
      </x:c>
      <x:c r="L502" s="24" t="n">
        <x:v>1981</x:v>
      </x:c>
      <x:c r="M502" t="str">
        <x:v>legacy_common_sample_8902245</x:v>
      </x:c>
      <x:c r="N502" s="25" t="n">
        <x:v>46210.543900254626</x:v>
      </x:c>
      <x:c r="O502" s="24" t="n">
        <x:v>8902245</x:v>
      </x:c>
      <x:c r="P502" t="str">
        <x:v>factor_report/gtja191_batch/gtja_093/ic_summary.csv</x:v>
      </x:c>
    </x:row>
    <x:row r="503">
      <x:c r="A503" s="22" t="n">
        <x:f>IF($E503="ranked",1+COUNTIFS($D$5:$D$546,$D503,$E$5:$E$546,"ranked",$F$5:$F$546,"&gt;"&amp;$F503),"")</x:f>
        <x:v>143</x:v>
      </x:c>
      <x:c r="B503" s="22" t="n">
        <x:f>IF($E503="ranked",1+COUNTIFS($D$5:$D$546,$D503,$E$5:$E$546,"ranked",$G$5:$G$546,"&gt;"&amp;$G503),"")</x:f>
        <x:v>53</x:v>
      </x:c>
      <x:c r="C503" t="str">
        <x:v>gtja_024</x:v>
      </x:c>
      <x:c r="D503" s="22" t="n">
        <x:v>20</x:v>
      </x:c>
      <x:c r="E503" t="str">
        <x:v>ranked</x:v>
      </x:c>
      <x:c r="F503" s="23" t="n">
        <x:v>-0.049039034211319485</x:v>
      </x:c>
      <x:c r="G503" s="23" t="n">
        <x:f>ABS(F503)</x:f>
        <x:v>0.049039034211319485</x:v>
      </x:c>
      <x:c r="H503" s="23" t="str">
        <x:f>IF(F503&gt;=0,"positive","negative")</x:f>
        <x:v>negative</x:v>
      </x:c>
      <x:c r="I503" s="23" t="n">
        <x:v>0.1279414354218107</x:v>
      </x:c>
      <x:c r="J503" s="23" t="n">
        <x:v>-0.3832928249526236</x:v>
      </x:c>
      <x:c r="K503" s="23" t="n">
        <x:v>0.3674911660777385</x:v>
      </x:c>
      <x:c r="L503" s="24" t="n">
        <x:v>1981</x:v>
      </x:c>
      <x:c r="M503" t="str">
        <x:v>legacy_common_sample_8902245</x:v>
      </x:c>
      <x:c r="N503" s="25" t="n">
        <x:v>46210.21420491898</x:v>
      </x:c>
      <x:c r="O503" s="24" t="n">
        <x:v>8902245</x:v>
      </x:c>
      <x:c r="P503" t="str">
        <x:v>factor_report/gtja191_batch/gtja_024/ic_summary.csv</x:v>
      </x:c>
    </x:row>
    <x:row r="504">
      <x:c r="A504" s="22" t="n">
        <x:f>IF($E504="ranked",1+COUNTIFS($D$5:$D$546,$D504,$E$5:$E$546,"ranked",$F$5:$F$546,"&gt;"&amp;$F504),"")</x:f>
        <x:v>144</x:v>
      </x:c>
      <x:c r="B504" s="22" t="n">
        <x:f>IF($E504="ranked",1+COUNTIFS($D$5:$D$546,$D504,$E$5:$E$546,"ranked",$G$5:$G$546,"&gt;"&amp;$G504),"")</x:f>
        <x:v>51</x:v>
      </x:c>
      <x:c r="C504" t="str">
        <x:v>gtja_079</x:v>
      </x:c>
      <x:c r="D504" s="22" t="n">
        <x:v>20</x:v>
      </x:c>
      <x:c r="E504" t="str">
        <x:v>ranked</x:v>
      </x:c>
      <x:c r="F504" s="23" t="n">
        <x:v>-0.050061524150600216</x:v>
      </x:c>
      <x:c r="G504" s="23" t="n">
        <x:f>ABS(F504)</x:f>
        <x:v>0.050061524150600216</x:v>
      </x:c>
      <x:c r="H504" s="23" t="str">
        <x:f>IF(F504&gt;=0,"positive","negative")</x:f>
        <x:v>negative</x:v>
      </x:c>
      <x:c r="I504" s="23" t="n">
        <x:v>0.13088440444962812</x:v>
      </x:c>
      <x:c r="J504" s="23" t="n">
        <x:v>-0.3824865488070183</x:v>
      </x:c>
      <x:c r="K504" s="23" t="n">
        <x:v>0.3614336193841494</x:v>
      </x:c>
      <x:c r="L504" s="24" t="n">
        <x:v>1981</x:v>
      </x:c>
      <x:c r="M504" t="str">
        <x:v>legacy_common_sample_8902245</x:v>
      </x:c>
      <x:c r="N504" s="25" t="n">
        <x:v>46210.47234655092</x:v>
      </x:c>
      <x:c r="O504" s="24" t="n">
        <x:v>8902245</x:v>
      </x:c>
      <x:c r="P504" t="str">
        <x:v>factor_report/gtja191_batch/gtja_079/ic_summary.csv</x:v>
      </x:c>
    </x:row>
    <x:row r="505">
      <x:c r="A505" s="22" t="n">
        <x:f>IF($E505="ranked",1+COUNTIFS($D$5:$D$546,$D505,$E$5:$E$546,"ranked",$F$5:$F$546,"&gt;"&amp;$F505),"")</x:f>
        <x:v>145</x:v>
      </x:c>
      <x:c r="B505" s="22" t="n">
        <x:f>IF($E505="ranked",1+COUNTIFS($D$5:$D$546,$D505,$E$5:$E$546,"ranked",$G$5:$G$546,"&gt;"&amp;$G505),"")</x:f>
        <x:v>50</x:v>
      </x:c>
      <x:c r="C505" t="str">
        <x:v>gtja_084</x:v>
      </x:c>
      <x:c r="D505" s="22" t="n">
        <x:v>20</x:v>
      </x:c>
      <x:c r="E505" t="str">
        <x:v>ranked</x:v>
      </x:c>
      <x:c r="F505" s="23" t="n">
        <x:v>-0.05088072449977146</x:v>
      </x:c>
      <x:c r="G505" s="23" t="n">
        <x:f>ABS(F505)</x:f>
        <x:v>0.05088072449977146</x:v>
      </x:c>
      <x:c r="H505" s="23" t="str">
        <x:f>IF(F505&gt;=0,"positive","negative")</x:f>
        <x:v>negative</x:v>
      </x:c>
      <x:c r="I505" s="23" t="n">
        <x:v>0.09690800661187607</x:v>
      </x:c>
      <x:c r="J505" s="23" t="n">
        <x:v>-0.5250414932540366</x:v>
      </x:c>
      <x:c r="K505" s="23" t="n">
        <x:v>0.28975265017667845</x:v>
      </x:c>
      <x:c r="L505" s="24" t="n">
        <x:v>1981</x:v>
      </x:c>
      <x:c r="M505" t="str">
        <x:v>legacy_common_sample_8902245</x:v>
      </x:c>
      <x:c r="N505" s="25" t="n">
        <x:v>46210.493655</x:v>
      </x:c>
      <x:c r="O505" s="24" t="n">
        <x:v>8902245</x:v>
      </x:c>
      <x:c r="P505" t="str">
        <x:v>factor_report/gtja191_batch/gtja_084/ic_summary.csv</x:v>
      </x:c>
    </x:row>
    <x:row r="506">
      <x:c r="A506" s="22" t="n">
        <x:f>IF($E506="ranked",1+COUNTIFS($D$5:$D$546,$D506,$E$5:$E$546,"ranked",$F$5:$F$546,"&gt;"&amp;$F506),"")</x:f>
        <x:v>146</x:v>
      </x:c>
      <x:c r="B506" s="22" t="n">
        <x:f>IF($E506="ranked",1+COUNTIFS($D$5:$D$546,$D506,$E$5:$E$546,"ranked",$G$5:$G$546,"&gt;"&amp;$G506),"")</x:f>
        <x:v>48</x:v>
      </x:c>
      <x:c r="C506" t="str">
        <x:v>gtja_147</x:v>
      </x:c>
      <x:c r="D506" s="22" t="n">
        <x:v>20</x:v>
      </x:c>
      <x:c r="E506" t="str">
        <x:v>ranked</x:v>
      </x:c>
      <x:c r="F506" s="23" t="n">
        <x:v>-0.05142714709902863</x:v>
      </x:c>
      <x:c r="G506" s="23" t="n">
        <x:f>ABS(F506)</x:f>
        <x:v>0.05142714709902863</x:v>
      </x:c>
      <x:c r="H506" s="23" t="str">
        <x:f>IF(F506&gt;=0,"positive","negative")</x:f>
        <x:v>negative</x:v>
      </x:c>
      <x:c r="I506" s="23" t="n">
        <x:v>0.13179996064441496</x:v>
      </x:c>
      <x:c r="J506" s="23" t="n">
        <x:v>-0.3901909139242817</x:v>
      </x:c>
      <x:c r="K506" s="23" t="n">
        <x:v>0.3649671882887431</x:v>
      </x:c>
      <x:c r="L506" s="24" t="n">
        <x:v>1981</x:v>
      </x:c>
      <x:c r="M506" t="str">
        <x:v>legacy_common_sample_8902245</x:v>
      </x:c>
      <x:c r="N506" s="25" t="n">
        <x:v>46210.805681736114</x:v>
      </x:c>
      <x:c r="O506" s="24" t="n">
        <x:v>8902245</x:v>
      </x:c>
      <x:c r="P506" t="str">
        <x:v>factor_report/gtja191_batch/gtja_147/ic_summary.csv</x:v>
      </x:c>
    </x:row>
    <x:row r="507">
      <x:c r="A507" s="22" t="n">
        <x:f>IF($E507="ranked",1+COUNTIFS($D$5:$D$546,$D507,$E$5:$E$546,"ranked",$F$5:$F$546,"&gt;"&amp;$F507),"")</x:f>
        <x:v>147</x:v>
      </x:c>
      <x:c r="B507" s="22" t="n">
        <x:f>IF($E507="ranked",1+COUNTIFS($D$5:$D$546,$D507,$E$5:$E$546,"ranked",$G$5:$G$546,"&gt;"&amp;$G507),"")</x:f>
        <x:v>47</x:v>
      </x:c>
      <x:c r="C507" t="str">
        <x:v>gtja_153</x:v>
      </x:c>
      <x:c r="D507" s="22" t="n">
        <x:v>20</x:v>
      </x:c>
      <x:c r="E507" t="str">
        <x:v>ranked</x:v>
      </x:c>
      <x:c r="F507" s="23" t="n">
        <x:v>-0.052101026597468354</x:v>
      </x:c>
      <x:c r="G507" s="23" t="n">
        <x:f>ABS(F507)</x:f>
        <x:v>0.052101026597468354</x:v>
      </x:c>
      <x:c r="H507" s="23" t="str">
        <x:f>IF(F507&gt;=0,"positive","negative")</x:f>
        <x:v>negative</x:v>
      </x:c>
      <x:c r="I507" s="23" t="n">
        <x:v>0.18628598892951526</x:v>
      </x:c>
      <x:c r="J507" s="23" t="n">
        <x:v>-0.27968301264558193</x:v>
      </x:c>
      <x:c r="K507" s="23" t="n">
        <x:v>0.425542655224634</x:v>
      </x:c>
      <x:c r="L507" s="24" t="n">
        <x:v>1981</x:v>
      </x:c>
      <x:c r="M507" t="str">
        <x:v>legacy_common_sample_8902245</x:v>
      </x:c>
      <x:c r="N507" s="25" t="n">
        <x:v>46210.827101863426</x:v>
      </x:c>
      <x:c r="O507" s="24" t="n">
        <x:v>8902245</x:v>
      </x:c>
      <x:c r="P507" t="str">
        <x:v>factor_report/gtja191_batch/gtja_153/ic_summary.csv</x:v>
      </x:c>
    </x:row>
    <x:row r="508">
      <x:c r="A508" s="22" t="n">
        <x:f>IF($E508="ranked",1+COUNTIFS($D$5:$D$546,$D508,$E$5:$E$546,"ranked",$F$5:$F$546,"&gt;"&amp;$F508),"")</x:f>
        <x:v>148</x:v>
      </x:c>
      <x:c r="B508" s="22" t="n">
        <x:f>IF($E508="ranked",1+COUNTIFS($D$5:$D$546,$D508,$E$5:$E$546,"ranked",$G$5:$G$546,"&gt;"&amp;$G508),"")</x:f>
        <x:v>45</x:v>
      </x:c>
      <x:c r="C508" t="str">
        <x:v>gtja_040</x:v>
      </x:c>
      <x:c r="D508" s="22" t="n">
        <x:v>20</x:v>
      </x:c>
      <x:c r="E508" t="str">
        <x:v>ranked</x:v>
      </x:c>
      <x:c r="F508" s="23" t="n">
        <x:v>-0.05245285807447165</x:v>
      </x:c>
      <x:c r="G508" s="23" t="n">
        <x:f>ABS(F508)</x:f>
        <x:v>0.05245285807447165</x:v>
      </x:c>
      <x:c r="H508" s="23" t="str">
        <x:f>IF(F508&gt;=0,"positive","negative")</x:f>
        <x:v>negative</x:v>
      </x:c>
      <x:c r="I508" s="23" t="n">
        <x:v>0.10780712886785893</x:v>
      </x:c>
      <x:c r="J508" s="23" t="n">
        <x:v>-0.48654350250588746</x:v>
      </x:c>
      <x:c r="K508" s="23" t="n">
        <x:v>0.3392226148409894</x:v>
      </x:c>
      <x:c r="L508" s="24" t="n">
        <x:v>1981</x:v>
      </x:c>
      <x:c r="M508" t="str">
        <x:v>legacy_common_sample_8902245</x:v>
      </x:c>
      <x:c r="N508" s="25" t="n">
        <x:v>46210.279919872686</x:v>
      </x:c>
      <x:c r="O508" s="24" t="n">
        <x:v>8902245</x:v>
      </x:c>
      <x:c r="P508" t="str">
        <x:v>factor_report/gtja191_batch/gtja_040/ic_summary.csv</x:v>
      </x:c>
    </x:row>
    <x:row r="509">
      <x:c r="A509" s="22" t="n">
        <x:f>IF($E509="ranked",1+COUNTIFS($D$5:$D$546,$D509,$E$5:$E$546,"ranked",$F$5:$F$546,"&gt;"&amp;$F509),"")</x:f>
        <x:v>149</x:v>
      </x:c>
      <x:c r="B509" s="22" t="n">
        <x:f>IF($E509="ranked",1+COUNTIFS($D$5:$D$546,$D509,$E$5:$E$546,"ranked",$G$5:$G$546,"&gt;"&amp;$G509),"")</x:f>
        <x:v>41</x:v>
      </x:c>
      <x:c r="C509" t="str">
        <x:v>gtja_126</x:v>
      </x:c>
      <x:c r="D509" s="22" t="n">
        <x:v>20</x:v>
      </x:c>
      <x:c r="E509" t="str">
        <x:v>ranked</x:v>
      </x:c>
      <x:c r="F509" s="23" t="n">
        <x:v>-0.05513131510592174</x:v>
      </x:c>
      <x:c r="G509" s="23" t="n">
        <x:f>ABS(F509)</x:f>
        <x:v>0.05513131510592174</x:v>
      </x:c>
      <x:c r="H509" s="23" t="str">
        <x:f>IF(F509&gt;=0,"positive","negative")</x:f>
        <x:v>negative</x:v>
      </x:c>
      <x:c r="I509" s="23" t="n">
        <x:v>0.1863625710510884</x:v>
      </x:c>
      <x:c r="J509" s="23" t="n">
        <x:v>-0.2958282599074486</x:v>
      </x:c>
      <x:c r="K509" s="23" t="n">
        <x:v>0.4194851085310449</x:v>
      </x:c>
      <x:c r="L509" s="24" t="n">
        <x:v>1981</x:v>
      </x:c>
      <x:c r="M509" t="str">
        <x:v>legacy_common_sample_8902245</x:v>
      </x:c>
      <x:c r="N509" s="25" t="n">
        <x:v>46210.70792734954</x:v>
      </x:c>
      <x:c r="O509" s="24" t="n">
        <x:v>8902245</x:v>
      </x:c>
      <x:c r="P509" t="str">
        <x:v>factor_report/gtja191_batch/gtja_126/ic_summary.csv</x:v>
      </x:c>
    </x:row>
    <x:row r="510">
      <x:c r="A510" s="22" t="n">
        <x:f>IF($E510="ranked",1+COUNTIFS($D$5:$D$546,$D510,$E$5:$E$546,"ranked",$F$5:$F$546,"&gt;"&amp;$F510),"")</x:f>
        <x:v>150</x:v>
      </x:c>
      <x:c r="B510" s="22" t="n">
        <x:f>IF($E510="ranked",1+COUNTIFS($D$5:$D$546,$D510,$E$5:$E$546,"ranked",$G$5:$G$546,"&gt;"&amp;$G510),"")</x:f>
        <x:v>40</x:v>
      </x:c>
      <x:c r="C510" t="str">
        <x:v>gtja_010</x:v>
      </x:c>
      <x:c r="D510" s="22" t="n">
        <x:v>20</x:v>
      </x:c>
      <x:c r="E510" t="str">
        <x:v>ranked</x:v>
      </x:c>
      <x:c r="F510" s="23" t="n">
        <x:v>-0.05555365300187116</x:v>
      </x:c>
      <x:c r="G510" s="23" t="n">
        <x:f>ABS(F510)</x:f>
        <x:v>0.05555365300187116</x:v>
      </x:c>
      <x:c r="H510" s="23" t="str">
        <x:f>IF(F510&gt;=0,"positive","negative")</x:f>
        <x:v>negative</x:v>
      </x:c>
      <x:c r="I510" s="23" t="n">
        <x:v>0.17946750622297528</x:v>
      </x:c>
      <x:c r="J510" s="23" t="n">
        <x:v>-0.309547138482271</x:v>
      </x:c>
      <x:c r="K510" s="23" t="n">
        <x:v>0.4093891973750631</x:v>
      </x:c>
      <x:c r="L510" s="24" t="n">
        <x:v>1981</x:v>
      </x:c>
      <x:c r="M510" t="str">
        <x:v>legacy_common_sample_8902245</x:v>
      </x:c>
      <x:c r="N510" s="25" t="n">
        <x:v>46210.15392069444</x:v>
      </x:c>
      <x:c r="O510" s="24" t="n">
        <x:v>8902245</x:v>
      </x:c>
      <x:c r="P510" t="str">
        <x:v>factor_report/gtja191_batch/gtja_010/ic_summary.csv</x:v>
      </x:c>
    </x:row>
    <x:row r="511">
      <x:c r="A511" s="22" t="n">
        <x:f>IF($E511="ranked",1+COUNTIFS($D$5:$D$546,$D511,$E$5:$E$546,"ranked",$F$5:$F$546,"&gt;"&amp;$F511),"")</x:f>
        <x:v>151</x:v>
      </x:c>
      <x:c r="B511" s="22" t="n">
        <x:f>IF($E511="ranked",1+COUNTIFS($D$5:$D$546,$D511,$E$5:$E$546,"ranked",$G$5:$G$546,"&gt;"&amp;$G511),"")</x:f>
        <x:v>39</x:v>
      </x:c>
      <x:c r="C511" t="str">
        <x:v>gtja_173</x:v>
      </x:c>
      <x:c r="D511" s="22" t="n">
        <x:v>20</x:v>
      </x:c>
      <x:c r="E511" t="str">
        <x:v>ranked</x:v>
      </x:c>
      <x:c r="F511" s="23" t="n">
        <x:v>-0.05594958936404615</x:v>
      </x:c>
      <x:c r="G511" s="23" t="n">
        <x:f>ABS(F511)</x:f>
        <x:v>0.05594958936404615</x:v>
      </x:c>
      <x:c r="H511" s="23" t="str">
        <x:f>IF(F511&gt;=0,"positive","negative")</x:f>
        <x:v>negative</x:v>
      </x:c>
      <x:c r="I511" s="23" t="n">
        <x:v>0.1865803304529382</x:v>
      </x:c>
      <x:c r="J511" s="23" t="n">
        <x:v>-0.2998686368934184</x:v>
      </x:c>
      <x:c r="K511" s="23" t="n">
        <x:v>0.4164563351842504</x:v>
      </x:c>
      <x:c r="L511" s="24" t="n">
        <x:v>1981</x:v>
      </x:c>
      <x:c r="M511" t="str">
        <x:v>legacy_common_sample_8902245</x:v>
      </x:c>
      <x:c r="N511" s="25" t="n">
        <x:v>46210.91649931713</x:v>
      </x:c>
      <x:c r="O511" s="24" t="n">
        <x:v>8902245</x:v>
      </x:c>
      <x:c r="P511" t="str">
        <x:v>factor_report/gtja191_batch/gtja_173/ic_summary.csv</x:v>
      </x:c>
    </x:row>
    <x:row r="512">
      <x:c r="A512" s="22" t="n">
        <x:f>IF($E512="ranked",1+COUNTIFS($D$5:$D$546,$D512,$E$5:$E$546,"ranked",$F$5:$F$546,"&gt;"&amp;$F512),"")</x:f>
        <x:v>152</x:v>
      </x:c>
      <x:c r="B512" s="22" t="n">
        <x:f>IF($E512="ranked",1+COUNTIFS($D$5:$D$546,$D512,$E$5:$E$546,"ranked",$G$5:$G$546,"&gt;"&amp;$G512),"")</x:f>
        <x:v>38</x:v>
      </x:c>
      <x:c r="C512" t="str">
        <x:v>gtja_116</x:v>
      </x:c>
      <x:c r="D512" s="22" t="n">
        <x:v>20</x:v>
      </x:c>
      <x:c r="E512" t="str">
        <x:v>ranked</x:v>
      </x:c>
      <x:c r="F512" s="23" t="n">
        <x:v>-0.056171338403911066</x:v>
      </x:c>
      <x:c r="G512" s="23" t="n">
        <x:f>ABS(F512)</x:f>
        <x:v>0.056171338403911066</x:v>
      </x:c>
      <x:c r="H512" s="23" t="str">
        <x:f>IF(F512&gt;=0,"positive","negative")</x:f>
        <x:v>negative</x:v>
      </x:c>
      <x:c r="I512" s="23" t="n">
        <x:v>0.13222457679161828</x:v>
      </x:c>
      <x:c r="J512" s="23" t="n">
        <x:v>-0.42481768342080084</x:v>
      </x:c>
      <x:c r="K512" s="23" t="n">
        <x:v>0.34174659262998486</x:v>
      </x:c>
      <x:c r="L512" s="24" t="n">
        <x:v>1981</x:v>
      </x:c>
      <x:c r="M512" t="str">
        <x:v>legacy_common_sample_8902245</x:v>
      </x:c>
      <x:c r="N512" s="25" t="n">
        <x:v>46210.64638673611</x:v>
      </x:c>
      <x:c r="O512" s="24" t="n">
        <x:v>8902245</x:v>
      </x:c>
      <x:c r="P512" t="str">
        <x:v>factor_report/gtja191_batch/gtja_116/ic_summary.csv</x:v>
      </x:c>
    </x:row>
    <x:row r="513">
      <x:c r="A513" s="22" t="n">
        <x:f>IF($E513="ranked",1+COUNTIFS($D$5:$D$546,$D513,$E$5:$E$546,"ranked",$F$5:$F$546,"&gt;"&amp;$F513),"")</x:f>
        <x:v>153</x:v>
      </x:c>
      <x:c r="B513" s="22" t="n">
        <x:f>IF($E513="ranked",1+COUNTIFS($D$5:$D$546,$D513,$E$5:$E$546,"ranked",$G$5:$G$546,"&gt;"&amp;$G513),"")</x:f>
        <x:v>37</x:v>
      </x:c>
      <x:c r="C513" t="str">
        <x:v>gtja_069</x:v>
      </x:c>
      <x:c r="D513" s="22" t="n">
        <x:v>20</x:v>
      </x:c>
      <x:c r="E513" t="str">
        <x:v>ranked</x:v>
      </x:c>
      <x:c r="F513" s="23" t="n">
        <x:v>-0.05650258940319703</x:v>
      </x:c>
      <x:c r="G513" s="23" t="n">
        <x:f>ABS(F513)</x:f>
        <x:v>0.05650258940319703</x:v>
      </x:c>
      <x:c r="H513" s="23" t="str">
        <x:f>IF(F513&gt;=0,"positive","negative")</x:f>
        <x:v>negative</x:v>
      </x:c>
      <x:c r="I513" s="23" t="n">
        <x:v>0.11457259771518252</x:v>
      </x:c>
      <x:c r="J513" s="23" t="n">
        <x:v>-0.49315971296782096</x:v>
      </x:c>
      <x:c r="K513" s="23" t="n">
        <x:v>0.303886925795053</x:v>
      </x:c>
      <x:c r="L513" s="24" t="n">
        <x:v>1981</x:v>
      </x:c>
      <x:c r="M513" t="str">
        <x:v>legacy_common_sample_8902245</x:v>
      </x:c>
      <x:c r="N513" s="25" t="n">
        <x:v>46210.41218387731</x:v>
      </x:c>
      <x:c r="O513" s="24" t="n">
        <x:v>8902245</x:v>
      </x:c>
      <x:c r="P513" t="str">
        <x:v>factor_report/gtja191_batch/gtja_069/ic_summary.csv</x:v>
      </x:c>
    </x:row>
    <x:row r="514">
      <x:c r="A514" s="22" t="n">
        <x:f>IF($E514="ranked",1+COUNTIFS($D$5:$D$546,$D514,$E$5:$E$546,"ranked",$F$5:$F$546,"&gt;"&amp;$F514),"")</x:f>
        <x:v>154</x:v>
      </x:c>
      <x:c r="B514" s="22" t="n">
        <x:f>IF($E514="ranked",1+COUNTIFS($D$5:$D$546,$D514,$E$5:$E$546,"ranked",$G$5:$G$546,"&gt;"&amp;$G514),"")</x:f>
        <x:v>36</x:v>
      </x:c>
      <x:c r="C514" t="str">
        <x:v>gtja_052</x:v>
      </x:c>
      <x:c r="D514" s="22" t="n">
        <x:v>20</x:v>
      </x:c>
      <x:c r="E514" t="str">
        <x:v>ranked</x:v>
      </x:c>
      <x:c r="F514" s="23" t="n">
        <x:v>-0.05688399120856618</x:v>
      </x:c>
      <x:c r="G514" s="23" t="n">
        <x:f>ABS(F514)</x:f>
        <x:v>0.05688399120856618</x:v>
      </x:c>
      <x:c r="H514" s="23" t="str">
        <x:f>IF(F514&gt;=0,"positive","negative")</x:f>
        <x:v>negative</x:v>
      </x:c>
      <x:c r="I514" s="23" t="n">
        <x:v>0.1338864946040737</x:v>
      </x:c>
      <x:c r="J514" s="23" t="n">
        <x:v>-0.4248672831175565</x:v>
      </x:c>
      <x:c r="K514" s="23" t="n">
        <x:v>0.3442705704189803</x:v>
      </x:c>
      <x:c r="L514" s="24" t="n">
        <x:v>1981</x:v>
      </x:c>
      <x:c r="M514" t="str">
        <x:v>legacy_common_sample_8902245</x:v>
      </x:c>
      <x:c r="N514" s="25" t="n">
        <x:v>46210.3353965162</x:v>
      </x:c>
      <x:c r="O514" s="24" t="n">
        <x:v>8902245</x:v>
      </x:c>
      <x:c r="P514" t="str">
        <x:v>factor_report/gtja191_batch/gtja_052/ic_summary.csv</x:v>
      </x:c>
    </x:row>
    <x:row r="515">
      <x:c r="A515" s="22" t="n">
        <x:f>IF($E515="ranked",1+COUNTIFS($D$5:$D$546,$D515,$E$5:$E$546,"ranked",$F$5:$F$546,"&gt;"&amp;$F515),"")</x:f>
        <x:v>155</x:v>
      </x:c>
      <x:c r="B515" s="22" t="n">
        <x:f>IF($E515="ranked",1+COUNTIFS($D$5:$D$546,$D515,$E$5:$E$546,"ranked",$G$5:$G$546,"&gt;"&amp;$G515),"")</x:f>
        <x:v>35</x:v>
      </x:c>
      <x:c r="C515" t="str">
        <x:v>gtja_027</x:v>
      </x:c>
      <x:c r="D515" s="22" t="n">
        <x:v>20</x:v>
      </x:c>
      <x:c r="E515" t="str">
        <x:v>ranked</x:v>
      </x:c>
      <x:c r="F515" s="23" t="n">
        <x:v>-0.057093229495932894</x:v>
      </x:c>
      <x:c r="G515" s="23" t="n">
        <x:f>ABS(F515)</x:f>
        <x:v>0.057093229495932894</x:v>
      </x:c>
      <x:c r="H515" s="23" t="str">
        <x:f>IF(F515&gt;=0,"positive","negative")</x:f>
        <x:v>negative</x:v>
      </x:c>
      <x:c r="I515" s="23" t="n">
        <x:v>0.13214307218299262</x:v>
      </x:c>
      <x:c r="J515" s="23" t="n">
        <x:v>-0.4320561687628225</x:v>
      </x:c>
      <x:c r="K515" s="23" t="n">
        <x:v>0.33266027258960124</x:v>
      </x:c>
      <x:c r="L515" s="24" t="n">
        <x:v>1981</x:v>
      </x:c>
      <x:c r="M515" t="str">
        <x:v>legacy_common_sample_8902245</x:v>
      </x:c>
      <x:c r="N515" s="25" t="n">
        <x:v>46210.22519262732</x:v>
      </x:c>
      <x:c r="O515" s="24" t="n">
        <x:v>8902245</x:v>
      </x:c>
      <x:c r="P515" t="str">
        <x:v>factor_report/gtja191_batch/gtja_027/ic_summary.csv</x:v>
      </x:c>
    </x:row>
    <x:row r="516">
      <x:c r="A516" s="22" t="n">
        <x:f>IF($E516="ranked",1+COUNTIFS($D$5:$D$546,$D516,$E$5:$E$546,"ranked",$F$5:$F$546,"&gt;"&amp;$F516),"")</x:f>
        <x:v>156</x:v>
      </x:c>
      <x:c r="B516" s="22" t="n">
        <x:f>IF($E516="ranked",1+COUNTIFS($D$5:$D$546,$D516,$E$5:$E$546,"ranked",$G$5:$G$546,"&gt;"&amp;$G516),"")</x:f>
        <x:v>34</x:v>
      </x:c>
      <x:c r="C516" t="str">
        <x:v>gtja_160</x:v>
      </x:c>
      <x:c r="D516" s="22" t="n">
        <x:v>20</x:v>
      </x:c>
      <x:c r="E516" t="str">
        <x:v>ranked</x:v>
      </x:c>
      <x:c r="F516" s="23" t="n">
        <x:v>-0.05881287740967297</x:v>
      </x:c>
      <x:c r="G516" s="23" t="n">
        <x:f>ABS(F516)</x:f>
        <x:v>0.05881287740967297</x:v>
      </x:c>
      <x:c r="H516" s="23" t="str">
        <x:f>IF(F516&gt;=0,"positive","negative")</x:f>
        <x:v>negative</x:v>
      </x:c>
      <x:c r="I516" s="23" t="n">
        <x:v>0.19602200862915456</x:v>
      </x:c>
      <x:c r="J516" s="23" t="n">
        <x:v>-0.3000320107980246</x:v>
      </x:c>
      <x:c r="K516" s="23" t="n">
        <x:v>0.3917213528520949</x:v>
      </x:c>
      <x:c r="L516" s="24" t="n">
        <x:v>1981</x:v>
      </x:c>
      <x:c r="M516" t="str">
        <x:v>legacy_common_sample_8902245</x:v>
      </x:c>
      <x:c r="N516" s="25" t="n">
        <x:v>46210.859459722225</x:v>
      </x:c>
      <x:c r="O516" s="24" t="n">
        <x:v>8902245</x:v>
      </x:c>
      <x:c r="P516" t="str">
        <x:v>factor_report/gtja191_batch/gtja_160/ic_summary.csv</x:v>
      </x:c>
    </x:row>
    <x:row r="517">
      <x:c r="A517" s="22" t="n">
        <x:f>IF($E517="ranked",1+COUNTIFS($D$5:$D$546,$D517,$E$5:$E$546,"ranked",$F$5:$F$546,"&gt;"&amp;$F517),"")</x:f>
        <x:v>157</x:v>
      </x:c>
      <x:c r="B517" s="22" t="n">
        <x:f>IF($E517="ranked",1+COUNTIFS($D$5:$D$546,$D517,$E$5:$E$546,"ranked",$G$5:$G$546,"&gt;"&amp;$G517),"")</x:f>
        <x:v>32</x:v>
      </x:c>
      <x:c r="C517" t="str">
        <x:v>gtja_094</x:v>
      </x:c>
      <x:c r="D517" s="22" t="n">
        <x:v>20</x:v>
      </x:c>
      <x:c r="E517" t="str">
        <x:v>ranked</x:v>
      </x:c>
      <x:c r="F517" s="23" t="n">
        <x:v>-0.05899909339437195</x:v>
      </x:c>
      <x:c r="G517" s="23" t="n">
        <x:f>ABS(F517)</x:f>
        <x:v>0.05899909339437195</x:v>
      </x:c>
      <x:c r="H517" s="23" t="str">
        <x:f>IF(F517&gt;=0,"positive","negative")</x:f>
        <x:v>negative</x:v>
      </x:c>
      <x:c r="I517" s="23" t="n">
        <x:v>0.10069114206881495</x:v>
      </x:c>
      <x:c r="J517" s="23" t="n">
        <x:v>-0.5859412474838197</x:v>
      </x:c>
      <x:c r="K517" s="23" t="n">
        <x:v>0.27713276123170116</x:v>
      </x:c>
      <x:c r="L517" s="24" t="n">
        <x:v>1981</x:v>
      </x:c>
      <x:c r="M517" t="str">
        <x:v>legacy_common_sample_8902245</x:v>
      </x:c>
      <x:c r="N517" s="25" t="n">
        <x:v>46210.54834915509</x:v>
      </x:c>
      <x:c r="O517" s="24" t="n">
        <x:v>8902245</x:v>
      </x:c>
      <x:c r="P517" t="str">
        <x:v>factor_report/gtja191_batch/gtja_094/ic_summary.csv</x:v>
      </x:c>
    </x:row>
    <x:row r="518">
      <x:c r="A518" s="22" t="n">
        <x:f>IF($E518="ranked",1+COUNTIFS($D$5:$D$546,$D518,$E$5:$E$546,"ranked",$F$5:$F$546,"&gt;"&amp;$F518),"")</x:f>
        <x:v>158</x:v>
      </x:c>
      <x:c r="B518" s="22" t="n">
        <x:f>IF($E518="ranked",1+COUNTIFS($D$5:$D$546,$D518,$E$5:$E$546,"ranked",$G$5:$G$546,"&gt;"&amp;$G518),"")</x:f>
        <x:v>31</x:v>
      </x:c>
      <x:c r="C518" t="str">
        <x:v>gtja_067</x:v>
      </x:c>
      <x:c r="D518" s="22" t="n">
        <x:v>20</x:v>
      </x:c>
      <x:c r="E518" t="str">
        <x:v>ranked</x:v>
      </x:c>
      <x:c r="F518" s="23" t="n">
        <x:v>-0.059236911325706305</x:v>
      </x:c>
      <x:c r="G518" s="23" t="n">
        <x:f>ABS(F518)</x:f>
        <x:v>0.059236911325706305</x:v>
      </x:c>
      <x:c r="H518" s="23" t="str">
        <x:f>IF(F518&gt;=0,"positive","negative")</x:f>
        <x:v>negative</x:v>
      </x:c>
      <x:c r="I518" s="23" t="n">
        <x:v>0.13472224165511823</x:v>
      </x:c>
      <x:c r="J518" s="23" t="n">
        <x:v>-0.43969659796301225</x:v>
      </x:c>
      <x:c r="K518" s="23" t="n">
        <x:v>0.33568904593639576</x:v>
      </x:c>
      <x:c r="L518" s="24" t="n">
        <x:v>1981</x:v>
      </x:c>
      <x:c r="M518" t="str">
        <x:v>legacy_common_sample_8902245</x:v>
      </x:c>
      <x:c r="N518" s="25" t="n">
        <x:v>46210.40343721065</x:v>
      </x:c>
      <x:c r="O518" s="24" t="n">
        <x:v>8902245</x:v>
      </x:c>
      <x:c r="P518" t="str">
        <x:v>factor_report/gtja191_batch/gtja_067/ic_summary.csv</x:v>
      </x:c>
    </x:row>
    <x:row r="519">
      <x:c r="A519" s="22" t="n">
        <x:f>IF($E519="ranked",1+COUNTIFS($D$5:$D$546,$D519,$E$5:$E$546,"ranked",$F$5:$F$546,"&gt;"&amp;$F519),"")</x:f>
        <x:v>159</x:v>
      </x:c>
      <x:c r="B519" s="22" t="n">
        <x:f>IF($E519="ranked",1+COUNTIFS($D$5:$D$546,$D519,$E$5:$E$546,"ranked",$G$5:$G$546,"&gt;"&amp;$G519),"")</x:f>
        <x:v>30</x:v>
      </x:c>
      <x:c r="C519" t="str">
        <x:v>gtja_055</x:v>
      </x:c>
      <x:c r="D519" s="22" t="n">
        <x:v>20</x:v>
      </x:c>
      <x:c r="E519" t="str">
        <x:v>ranked</x:v>
      </x:c>
      <x:c r="F519" s="23" t="n">
        <x:v>-0.059452727447306446</x:v>
      </x:c>
      <x:c r="G519" s="23" t="n">
        <x:f>ABS(F519)</x:f>
        <x:v>0.059452727447306446</x:v>
      </x:c>
      <x:c r="H519" s="23" t="str">
        <x:f>IF(F519&gt;=0,"positive","negative")</x:f>
        <x:v>negative</x:v>
      </x:c>
      <x:c r="I519" s="23" t="n">
        <x:v>0.1300688575858728</x:v>
      </x:c>
      <x:c r="J519" s="23" t="n">
        <x:v>-0.45708656592186286</x:v>
      </x:c>
      <x:c r="K519" s="23" t="n">
        <x:v>0.3250883392226148</x:v>
      </x:c>
      <x:c r="L519" s="24" t="n">
        <x:v>1981</x:v>
      </x:c>
      <x:c r="M519" t="str">
        <x:v>legacy_common_sample_8902245</x:v>
      </x:c>
      <x:c r="N519" s="25" t="n">
        <x:v>46210.34754746528</x:v>
      </x:c>
      <x:c r="O519" s="24" t="n">
        <x:v>8902245</x:v>
      </x:c>
      <x:c r="P519" t="str">
        <x:v>factor_report/gtja191_batch/gtja_055/ic_summary.csv</x:v>
      </x:c>
    </x:row>
    <x:row r="520">
      <x:c r="A520" s="22" t="n">
        <x:f>IF($E520="ranked",1+COUNTIFS($D$5:$D$546,$D520,$E$5:$E$546,"ranked",$F$5:$F$546,"&gt;"&amp;$F520),"")</x:f>
        <x:v>160</x:v>
      </x:c>
      <x:c r="B520" s="22" t="n">
        <x:f>IF($E520="ranked",1+COUNTIFS($D$5:$D$546,$D520,$E$5:$E$546,"ranked",$G$5:$G$546,"&gt;"&amp;$G520),"")</x:f>
        <x:v>29</x:v>
      </x:c>
      <x:c r="C520" t="str">
        <x:v>gtja_081</x:v>
      </x:c>
      <x:c r="D520" s="22" t="n">
        <x:v>20</x:v>
      </x:c>
      <x:c r="E520" t="str">
        <x:v>ranked</x:v>
      </x:c>
      <x:c r="F520" s="23" t="n">
        <x:v>-0.060928068467405144</x:v>
      </x:c>
      <x:c r="G520" s="23" t="n">
        <x:f>ABS(F520)</x:f>
        <x:v>0.060928068467405144</x:v>
      </x:c>
      <x:c r="H520" s="23" t="str">
        <x:f>IF(F520&gt;=0,"positive","negative")</x:f>
        <x:v>negative</x:v>
      </x:c>
      <x:c r="I520" s="23" t="n">
        <x:v>0.11564740330344445</x:v>
      </x:c>
      <x:c r="J520" s="23" t="n">
        <x:v>-0.5268433767383212</x:v>
      </x:c>
      <x:c r="K520" s="23" t="n">
        <x:v>0.31246845027763753</x:v>
      </x:c>
      <x:c r="L520" s="24" t="n">
        <x:v>1981</x:v>
      </x:c>
      <x:c r="M520" t="str">
        <x:v>legacy_common_sample_8902245</x:v>
      </x:c>
      <x:c r="N520" s="25" t="n">
        <x:v>46210.48091090278</x:v>
      </x:c>
      <x:c r="O520" s="24" t="n">
        <x:v>8902245</x:v>
      </x:c>
      <x:c r="P520" t="str">
        <x:v>factor_report/gtja191_batch/gtja_081/ic_summary.csv</x:v>
      </x:c>
    </x:row>
    <x:row r="521">
      <x:c r="A521" s="22" t="n">
        <x:f>IF($E521="ranked",1+COUNTIFS($D$5:$D$546,$D521,$E$5:$E$546,"ranked",$F$5:$F$546,"&gt;"&amp;$F521),"")</x:f>
        <x:v>161</x:v>
      </x:c>
      <x:c r="B521" s="22" t="n">
        <x:f>IF($E521="ranked",1+COUNTIFS($D$5:$D$546,$D521,$E$5:$E$546,"ranked",$G$5:$G$546,"&gt;"&amp;$G521),"")</x:f>
        <x:v>28</x:v>
      </x:c>
      <x:c r="C521" t="str">
        <x:v>gtja_106</x:v>
      </x:c>
      <x:c r="D521" s="22" t="n">
        <x:v>20</x:v>
      </x:c>
      <x:c r="E521" t="str">
        <x:v>ranked</x:v>
      </x:c>
      <x:c r="F521" s="23" t="n">
        <x:v>-0.061357020390763045</x:v>
      </x:c>
      <x:c r="G521" s="23" t="n">
        <x:f>ABS(F521)</x:f>
        <x:v>0.061357020390763045</x:v>
      </x:c>
      <x:c r="H521" s="23" t="str">
        <x:f>IF(F521&gt;=0,"positive","negative")</x:f>
        <x:v>negative</x:v>
      </x:c>
      <x:c r="I521" s="23" t="n">
        <x:v>0.13516592332054503</x:v>
      </x:c>
      <x:c r="J521" s="23" t="n">
        <x:v>-0.4539385289090602</x:v>
      </x:c>
      <x:c r="K521" s="23" t="n">
        <x:v>0.32609793033821305</x:v>
      </x:c>
      <x:c r="L521" s="24" t="n">
        <x:v>1981</x:v>
      </x:c>
      <x:c r="M521" t="str">
        <x:v>legacy_common_sample_8902245</x:v>
      </x:c>
      <x:c r="N521" s="25" t="n">
        <x:v>46210.59962833333</x:v>
      </x:c>
      <x:c r="O521" s="24" t="n">
        <x:v>8902245</x:v>
      </x:c>
      <x:c r="P521" t="str">
        <x:v>factor_report/gtja191_batch/gtja_106/ic_summary.csv</x:v>
      </x:c>
    </x:row>
    <x:row r="522">
      <x:c r="A522" s="22" t="n">
        <x:f>IF($E522="ranked",1+COUNTIFS($D$5:$D$546,$D522,$E$5:$E$546,"ranked",$F$5:$F$546,"&gt;"&amp;$F522),"")</x:f>
        <x:v>162</x:v>
      </x:c>
      <x:c r="B522" s="22" t="n">
        <x:f>IF($E522="ranked",1+COUNTIFS($D$5:$D$546,$D522,$E$5:$E$546,"ranked",$G$5:$G$546,"&gt;"&amp;$G522),"")</x:f>
        <x:v>27</x:v>
      </x:c>
      <x:c r="C522" t="str">
        <x:v>gtja_122</x:v>
      </x:c>
      <x:c r="D522" s="22" t="n">
        <x:v>20</x:v>
      </x:c>
      <x:c r="E522" t="str">
        <x:v>ranked</x:v>
      </x:c>
      <x:c r="F522" s="23" t="n">
        <x:v>-0.06169555004624976</x:v>
      </x:c>
      <x:c r="G522" s="23" t="n">
        <x:f>ABS(F522)</x:f>
        <x:v>0.06169555004624976</x:v>
      </x:c>
      <x:c r="H522" s="23" t="str">
        <x:f>IF(F522&gt;=0,"positive","negative")</x:f>
        <x:v>negative</x:v>
      </x:c>
      <x:c r="I522" s="23" t="n">
        <x:v>0.14376589309802157</x:v>
      </x:c>
      <x:c r="J522" s="23" t="n">
        <x:v>-0.42913898920507443</x:v>
      </x:c>
      <x:c r="K522" s="23" t="n">
        <x:v>0.3432609793033821</x:v>
      </x:c>
      <x:c r="L522" s="24" t="n">
        <x:v>1981</x:v>
      </x:c>
      <x:c r="M522" t="str">
        <x:v>legacy_common_sample_8902245</x:v>
      </x:c>
      <x:c r="N522" s="25" t="n">
        <x:v>46210.69213701389</x:v>
      </x:c>
      <x:c r="O522" s="24" t="n">
        <x:v>8902245</x:v>
      </x:c>
      <x:c r="P522" t="str">
        <x:v>factor_report/gtja191_batch/gtja_122/ic_summary.csv</x:v>
      </x:c>
    </x:row>
    <x:row r="523">
      <x:c r="A523" s="22" t="n">
        <x:f>IF($E523="ranked",1+COUNTIFS($D$5:$D$546,$D523,$E$5:$E$546,"ranked",$F$5:$F$546,"&gt;"&amp;$F523),"")</x:f>
        <x:v>163</x:v>
      </x:c>
      <x:c r="B523" s="22" t="n">
        <x:f>IF($E523="ranked",1+COUNTIFS($D$5:$D$546,$D523,$E$5:$E$546,"ranked",$G$5:$G$546,"&gt;"&amp;$G523),"")</x:f>
        <x:v>26</x:v>
      </x:c>
      <x:c r="C523" t="str">
        <x:v>gtja_071</x:v>
      </x:c>
      <x:c r="D523" s="22" t="n">
        <x:v>20</x:v>
      </x:c>
      <x:c r="E523" t="str">
        <x:v>ranked</x:v>
      </x:c>
      <x:c r="F523" s="23" t="n">
        <x:v>-0.062419890209116154</x:v>
      </x:c>
      <x:c r="G523" s="23" t="n">
        <x:f>ABS(F523)</x:f>
        <x:v>0.062419890209116154</x:v>
      </x:c>
      <x:c r="H523" s="23" t="str">
        <x:f>IF(F523&gt;=0,"positive","negative")</x:f>
        <x:v>negative</x:v>
      </x:c>
      <x:c r="I523" s="23" t="n">
        <x:v>0.13693101937173285</x:v>
      </x:c>
      <x:c r="J523" s="23" t="n">
        <x:v>-0.45584916036929546</x:v>
      </x:c>
      <x:c r="K523" s="23" t="n">
        <x:v>0.33064109035840483</x:v>
      </x:c>
      <x:c r="L523" s="24" t="n">
        <x:v>1981</x:v>
      </x:c>
      <x:c r="M523" t="str">
        <x:v>legacy_common_sample_8902245</x:v>
      </x:c>
      <x:c r="N523" s="25" t="n">
        <x:v>46210.420358854164</x:v>
      </x:c>
      <x:c r="O523" s="24" t="n">
        <x:v>8902245</x:v>
      </x:c>
      <x:c r="P523" t="str">
        <x:v>factor_report/gtja191_batch/gtja_071/ic_summary.csv</x:v>
      </x:c>
    </x:row>
    <x:row r="524">
      <x:c r="A524" s="22" t="n">
        <x:f>IF($E524="ranked",1+COUNTIFS($D$5:$D$546,$D524,$E$5:$E$546,"ranked",$F$5:$F$546,"&gt;"&amp;$F524),"")</x:f>
        <x:v>164</x:v>
      </x:c>
      <x:c r="B524" s="22" t="n">
        <x:f>IF($E524="ranked",1+COUNTIFS($D$5:$D$546,$D524,$E$5:$E$546,"ranked",$G$5:$G$546,"&gt;"&amp;$G524),"")</x:f>
        <x:v>25</x:v>
      </x:c>
      <x:c r="C524" t="str">
        <x:v>gtja_129</x:v>
      </x:c>
      <x:c r="D524" s="22" t="n">
        <x:v>20</x:v>
      </x:c>
      <x:c r="E524" t="str">
        <x:v>ranked</x:v>
      </x:c>
      <x:c r="F524" s="23" t="n">
        <x:v>-0.06248063742368558</x:v>
      </x:c>
      <x:c r="G524" s="23" t="n">
        <x:f>ABS(F524)</x:f>
        <x:v>0.06248063742368558</x:v>
      </x:c>
      <x:c r="H524" s="23" t="str">
        <x:f>IF(F524&gt;=0,"positive","negative")</x:f>
        <x:v>negative</x:v>
      </x:c>
      <x:c r="I524" s="23" t="n">
        <x:v>0.19097497573467578</x:v>
      </x:c>
      <x:c r="J524" s="23" t="n">
        <x:v>-0.3271666205654651</x:v>
      </x:c>
      <x:c r="K524" s="23" t="n">
        <x:v>0.392226148409894</x:v>
      </x:c>
      <x:c r="L524" s="24" t="n">
        <x:v>1981</x:v>
      </x:c>
      <x:c r="M524" t="str">
        <x:v>legacy_common_sample_8902245</x:v>
      </x:c>
      <x:c r="N524" s="25" t="n">
        <x:v>46210.71993697916</x:v>
      </x:c>
      <x:c r="O524" s="24" t="n">
        <x:v>8902245</x:v>
      </x:c>
      <x:c r="P524" t="str">
        <x:v>factor_report/gtja191_batch/gtja_129/ic_summary.csv</x:v>
      </x:c>
    </x:row>
    <x:row r="525">
      <x:c r="A525" s="22" t="n">
        <x:f>IF($E525="ranked",1+COUNTIFS($D$5:$D$546,$D525,$E$5:$E$546,"ranked",$F$5:$F$546,"&gt;"&amp;$F525),"")</x:f>
        <x:v>165</x:v>
      </x:c>
      <x:c r="B525" s="22" t="n">
        <x:f>IF($E525="ranked",1+COUNTIFS($D$5:$D$546,$D525,$E$5:$E$546,"ranked",$G$5:$G$546,"&gt;"&amp;$G525),"")</x:f>
        <x:v>24</x:v>
      </x:c>
      <x:c r="C525" t="str">
        <x:v>gtja_135</x:v>
      </x:c>
      <x:c r="D525" s="22" t="n">
        <x:v>20</x:v>
      </x:c>
      <x:c r="E525" t="str">
        <x:v>ranked</x:v>
      </x:c>
      <x:c r="F525" s="23" t="n">
        <x:v>-0.06280560668826968</x:v>
      </x:c>
      <x:c r="G525" s="23" t="n">
        <x:f>ABS(F525)</x:f>
        <x:v>0.06280560668826968</x:v>
      </x:c>
      <x:c r="H525" s="23" t="str">
        <x:f>IF(F525&gt;=0,"positive","negative")</x:f>
        <x:v>negative</x:v>
      </x:c>
      <x:c r="I525" s="23" t="n">
        <x:v>0.14687649250408932</x:v>
      </x:c>
      <x:c r="J525" s="23" t="n">
        <x:v>-0.42760829604179884</x:v>
      </x:c>
      <x:c r="K525" s="23" t="n">
        <x:v>0.3493185259969712</x:v>
      </x:c>
      <x:c r="L525" s="24" t="n">
        <x:v>1981</x:v>
      </x:c>
      <x:c r="M525" t="str">
        <x:v>legacy_common_sample_8902245</x:v>
      </x:c>
      <x:c r="N525" s="25" t="n">
        <x:v>46210.7465330787</x:v>
      </x:c>
      <x:c r="O525" s="24" t="n">
        <x:v>8902245</x:v>
      </x:c>
      <x:c r="P525" t="str">
        <x:v>factor_report/gtja191_batch/gtja_135/ic_summary.csv</x:v>
      </x:c>
    </x:row>
    <x:row r="526">
      <x:c r="A526" s="22" t="n">
        <x:f>IF($E526="ranked",1+COUNTIFS($D$5:$D$546,$D526,$E$5:$E$546,"ranked",$F$5:$F$546,"&gt;"&amp;$F526),"")</x:f>
        <x:v>166</x:v>
      </x:c>
      <x:c r="B526" s="22" t="n">
        <x:f>IF($E526="ranked",1+COUNTIFS($D$5:$D$546,$D526,$E$5:$E$546,"ranked",$G$5:$G$546,"&gt;"&amp;$G526),"")</x:f>
        <x:v>21</x:v>
      </x:c>
      <x:c r="C526" t="str">
        <x:v>gtja_059</x:v>
      </x:c>
      <x:c r="D526" s="22" t="n">
        <x:v>20</x:v>
      </x:c>
      <x:c r="E526" t="str">
        <x:v>ranked</x:v>
      </x:c>
      <x:c r="F526" s="23" t="n">
        <x:v>-0.06446362844496573</x:v>
      </x:c>
      <x:c r="G526" s="23" t="n">
        <x:f>ABS(F526)</x:f>
        <x:v>0.06446362844496573</x:v>
      </x:c>
      <x:c r="H526" s="23" t="str">
        <x:f>IF(F526&gt;=0,"positive","negative")</x:f>
        <x:v>negative</x:v>
      </x:c>
      <x:c r="I526" s="23" t="n">
        <x:v>0.1271750999895543</x:v>
      </x:c>
      <x:c r="J526" s="23" t="n">
        <x:v>-0.5068887577069766</x:v>
      </x:c>
      <x:c r="K526" s="23" t="n">
        <x:v>0.30792529025744575</x:v>
      </x:c>
      <x:c r="L526" s="24" t="n">
        <x:v>1981</x:v>
      </x:c>
      <x:c r="M526" t="str">
        <x:v>legacy_common_sample_8902245</x:v>
      </x:c>
      <x:c r="N526" s="25" t="n">
        <x:v>46210.36786096065</x:v>
      </x:c>
      <x:c r="O526" s="24" t="n">
        <x:v>8902245</x:v>
      </x:c>
      <x:c r="P526" t="str">
        <x:v>factor_report/gtja191_batch/gtja_059/ic_summary.csv</x:v>
      </x:c>
    </x:row>
    <x:row r="527">
      <x:c r="A527" s="22" t="n">
        <x:f>IF($E527="ranked",1+COUNTIFS($D$5:$D$546,$D527,$E$5:$E$546,"ranked",$F$5:$F$546,"&gt;"&amp;$F527),"")</x:f>
        <x:v>167</x:v>
      </x:c>
      <x:c r="B527" s="22" t="n">
        <x:f>IF($E527="ranked",1+COUNTIFS($D$5:$D$546,$D527,$E$5:$E$546,"ranked",$G$5:$G$546,"&gt;"&amp;$G527),"")</x:f>
        <x:v>20</x:v>
      </x:c>
      <x:c r="C527" t="str">
        <x:v>gtja_118</x:v>
      </x:c>
      <x:c r="D527" s="22" t="n">
        <x:v>20</x:v>
      </x:c>
      <x:c r="E527" t="str">
        <x:v>ranked</x:v>
      </x:c>
      <x:c r="F527" s="23" t="n">
        <x:v>-0.06584152426254862</x:v>
      </x:c>
      <x:c r="G527" s="23" t="n">
        <x:f>ABS(F527)</x:f>
        <x:v>0.06584152426254862</x:v>
      </x:c>
      <x:c r="H527" s="23" t="str">
        <x:f>IF(F527&gt;=0,"positive","negative")</x:f>
        <x:v>negative</x:v>
      </x:c>
      <x:c r="I527" s="23" t="n">
        <x:v>0.1101985543429542</x:v>
      </x:c>
      <x:c r="J527" s="23" t="n">
        <x:v>-0.5974808349811928</x:v>
      </x:c>
      <x:c r="K527" s="23" t="n">
        <x:v>0.2756183745583039</x:v>
      </x:c>
      <x:c r="L527" s="24" t="n">
        <x:v>1981</x:v>
      </x:c>
      <x:c r="M527" t="str">
        <x:v>legacy_common_sample_8902245</x:v>
      </x:c>
      <x:c r="N527" s="25" t="n">
        <x:v>46210.66222452546</x:v>
      </x:c>
      <x:c r="O527" s="24" t="n">
        <x:v>8902245</x:v>
      </x:c>
      <x:c r="P527" t="str">
        <x:v>factor_report/gtja191_batch/gtja_118/ic_summary.csv</x:v>
      </x:c>
    </x:row>
    <x:row r="528">
      <x:c r="A528" s="22" t="n">
        <x:f>IF($E528="ranked",1+COUNTIFS($D$5:$D$546,$D528,$E$5:$E$546,"ranked",$F$5:$F$546,"&gt;"&amp;$F528),"")</x:f>
        <x:v>168</x:v>
      </x:c>
      <x:c r="B528" s="22" t="n">
        <x:f>IF($E528="ranked",1+COUNTIFS($D$5:$D$546,$D528,$E$5:$E$546,"ranked",$G$5:$G$546,"&gt;"&amp;$G528),"")</x:f>
        <x:v>19</x:v>
      </x:c>
      <x:c r="C528" t="str">
        <x:v>gtja_088</x:v>
      </x:c>
      <x:c r="D528" s="22" t="n">
        <x:v>20</x:v>
      </x:c>
      <x:c r="E528" t="str">
        <x:v>ranked</x:v>
      </x:c>
      <x:c r="F528" s="23" t="n">
        <x:v>-0.06656092574999298</x:v>
      </x:c>
      <x:c r="G528" s="23" t="n">
        <x:f>ABS(F528)</x:f>
        <x:v>0.06656092574999298</x:v>
      </x:c>
      <x:c r="H528" s="23" t="str">
        <x:f>IF(F528&gt;=0,"positive","negative")</x:f>
        <x:v>negative</x:v>
      </x:c>
      <x:c r="I528" s="23" t="n">
        <x:v>0.13839445903150374</x:v>
      </x:c>
      <x:c r="J528" s="23" t="n">
        <x:v>-0.480950799734267</x:v>
      </x:c>
      <x:c r="K528" s="23" t="n">
        <x:v>0.31246845027763753</x:v>
      </x:c>
      <x:c r="L528" s="24" t="n">
        <x:v>1981</x:v>
      </x:c>
      <x:c r="M528" t="str">
        <x:v>legacy_common_sample_8902245</x:v>
      </x:c>
      <x:c r="N528" s="25" t="n">
        <x:v>46210.51801505787</x:v>
      </x:c>
      <x:c r="O528" s="24" t="n">
        <x:v>8902245</x:v>
      </x:c>
      <x:c r="P528" t="str">
        <x:v>factor_report/gtja191_batch/gtja_088/ic_summary.csv</x:v>
      </x:c>
    </x:row>
    <x:row r="529">
      <x:c r="A529" s="22" t="n">
        <x:f>IF($E529="ranked",1+COUNTIFS($D$5:$D$546,$D529,$E$5:$E$546,"ranked",$F$5:$F$546,"&gt;"&amp;$F529),"")</x:f>
        <x:v>169</x:v>
      </x:c>
      <x:c r="B529" s="22" t="n">
        <x:f>IF($E529="ranked",1+COUNTIFS($D$5:$D$546,$D529,$E$5:$E$546,"ranked",$G$5:$G$546,"&gt;"&amp;$G529),"")</x:f>
        <x:v>18</x:v>
      </x:c>
      <x:c r="C529" t="str">
        <x:v>gtja_174</x:v>
      </x:c>
      <x:c r="D529" s="22" t="n">
        <x:v>20</x:v>
      </x:c>
      <x:c r="E529" t="str">
        <x:v>ranked</x:v>
      </x:c>
      <x:c r="F529" s="23" t="n">
        <x:v>-0.0671005193785548</x:v>
      </x:c>
      <x:c r="G529" s="23" t="n">
        <x:f>ABS(F529)</x:f>
        <x:v>0.0671005193785548</x:v>
      </x:c>
      <x:c r="H529" s="23" t="str">
        <x:f>IF(F529&gt;=0,"positive","negative")</x:f>
        <x:v>negative</x:v>
      </x:c>
      <x:c r="I529" s="23" t="n">
        <x:v>0.1978973692421543</x:v>
      </x:c>
      <x:c r="J529" s="23" t="n">
        <x:v>-0.3390672631754301</x:v>
      </x:c>
      <x:c r="K529" s="23" t="n">
        <x:v>0.3871781928319031</x:v>
      </x:c>
      <x:c r="L529" s="24" t="n">
        <x:v>1981</x:v>
      </x:c>
      <x:c r="M529" t="str">
        <x:v>legacy_common_sample_8902245</x:v>
      </x:c>
      <x:c r="N529" s="25" t="n">
        <x:v>46210.92118445602</x:v>
      </x:c>
      <x:c r="O529" s="24" t="n">
        <x:v>8902245</x:v>
      </x:c>
      <x:c r="P529" t="str">
        <x:v>factor_report/gtja191_batch/gtja_174/ic_summary.csv</x:v>
      </x:c>
    </x:row>
    <x:row r="530">
      <x:c r="A530" s="22" t="n">
        <x:f>IF($E530="ranked",1+COUNTIFS($D$5:$D$546,$D530,$E$5:$E$546,"ranked",$F$5:$F$546,"&gt;"&amp;$F530),"")</x:f>
        <x:v>170</x:v>
      </x:c>
      <x:c r="B530" s="22" t="n">
        <x:f>IF($E530="ranked",1+COUNTIFS($D$5:$D$546,$D530,$E$5:$E$546,"ranked",$G$5:$G$546,"&gt;"&amp;$G530),"")</x:f>
        <x:v>17</x:v>
      </x:c>
      <x:c r="C530" t="str">
        <x:v>gtja_100</x:v>
      </x:c>
      <x:c r="D530" s="22" t="n">
        <x:v>20</x:v>
      </x:c>
      <x:c r="E530" t="str">
        <x:v>ranked</x:v>
      </x:c>
      <x:c r="F530" s="23" t="n">
        <x:v>-0.06784085347520025</x:v>
      </x:c>
      <x:c r="G530" s="23" t="n">
        <x:f>ABS(F530)</x:f>
        <x:v>0.06784085347520025</x:v>
      </x:c>
      <x:c r="H530" s="23" t="str">
        <x:f>IF(F530&gt;=0,"positive","negative")</x:f>
        <x:v>negative</x:v>
      </x:c>
      <x:c r="I530" s="23" t="n">
        <x:v>0.11006825550796548</x:v>
      </x:c>
      <x:c r="J530" s="23" t="n">
        <x:v>-0.6163525819693827</x:v>
      </x:c>
      <x:c r="K530" s="23" t="n">
        <x:v>0.2756183745583039</x:v>
      </x:c>
      <x:c r="L530" s="24" t="n">
        <x:v>1981</x:v>
      </x:c>
      <x:c r="M530" t="str">
        <x:v>legacy_common_sample_8902245</x:v>
      </x:c>
      <x:c r="N530" s="25" t="n">
        <x:v>46210.57471123843</x:v>
      </x:c>
      <x:c r="O530" s="24" t="n">
        <x:v>8902245</x:v>
      </x:c>
      <x:c r="P530" t="str">
        <x:v>factor_report/gtja191_batch/gtja_100/ic_summary.csv</x:v>
      </x:c>
    </x:row>
    <x:row r="531">
      <x:c r="A531" s="22" t="n">
        <x:f>IF($E531="ranked",1+COUNTIFS($D$5:$D$546,$D531,$E$5:$E$546,"ranked",$F$5:$F$546,"&gt;"&amp;$F531),"")</x:f>
        <x:v>171</x:v>
      </x:c>
      <x:c r="B531" s="22" t="n">
        <x:f>IF($E531="ranked",1+COUNTIFS($D$5:$D$546,$D531,$E$5:$E$546,"ranked",$G$5:$G$546,"&gt;"&amp;$G531),"")</x:f>
        <x:v>15</x:v>
      </x:c>
      <x:c r="C531" t="str">
        <x:v>gtja_097</x:v>
      </x:c>
      <x:c r="D531" s="22" t="n">
        <x:v>20</x:v>
      </x:c>
      <x:c r="E531" t="str">
        <x:v>ranked</x:v>
      </x:c>
      <x:c r="F531" s="23" t="n">
        <x:v>-0.07161198384764317</x:v>
      </x:c>
      <x:c r="G531" s="23" t="n">
        <x:f>ABS(F531)</x:f>
        <x:v>0.07161198384764317</x:v>
      </x:c>
      <x:c r="H531" s="23" t="str">
        <x:f>IF(F531&gt;=0,"positive","negative")</x:f>
        <x:v>negative</x:v>
      </x:c>
      <x:c r="I531" s="23" t="n">
        <x:v>0.11078584357941788</x:v>
      </x:c>
      <x:c r="J531" s="23" t="n">
        <x:v>-0.6464001314058455</x:v>
      </x:c>
      <x:c r="K531" s="23" t="n">
        <x:v>0.2629984856133266</x:v>
      </x:c>
      <x:c r="L531" s="24" t="n">
        <x:v>1981</x:v>
      </x:c>
      <x:c r="M531" t="str">
        <x:v>legacy_common_sample_8902245</x:v>
      </x:c>
      <x:c r="N531" s="25" t="n">
        <x:v>46210.56247660879</x:v>
      </x:c>
      <x:c r="O531" s="24" t="n">
        <x:v>8902245</x:v>
      </x:c>
      <x:c r="P531" t="str">
        <x:v>factor_report/gtja191_batch/gtja_097/ic_summary.csv</x:v>
      </x:c>
    </x:row>
    <x:row r="532">
      <x:c r="A532" s="22" t="n">
        <x:f>IF($E532="ranked",1+COUNTIFS($D$5:$D$546,$D532,$E$5:$E$546,"ranked",$F$5:$F$546,"&gt;"&amp;$F532),"")</x:f>
        <x:v>172</x:v>
      </x:c>
      <x:c r="B532" s="22" t="n">
        <x:f>IF($E532="ranked",1+COUNTIFS($D$5:$D$546,$D532,$E$5:$E$546,"ranked",$G$5:$G$546,"&gt;"&amp;$G532),"")</x:f>
        <x:v>13</x:v>
      </x:c>
      <x:c r="C532" t="str">
        <x:v>gtja_189</x:v>
      </x:c>
      <x:c r="D532" s="22" t="n">
        <x:v>20</x:v>
      </x:c>
      <x:c r="E532" t="str">
        <x:v>ranked</x:v>
      </x:c>
      <x:c r="F532" s="23" t="n">
        <x:v>-0.07429851088196267</x:v>
      </x:c>
      <x:c r="G532" s="23" t="n">
        <x:f>ABS(F532)</x:f>
        <x:v>0.07429851088196267</x:v>
      </x:c>
      <x:c r="H532" s="23" t="str">
        <x:f>IF(F532&gt;=0,"positive","negative")</x:f>
        <x:v>negative</x:v>
      </x:c>
      <x:c r="I532" s="23" t="n">
        <x:v>0.1895750432391116</x:v>
      </x:c>
      <x:c r="J532" s="23" t="n">
        <x:v>-0.3919213711493117</x:v>
      </x:c>
      <x:c r="K532" s="23" t="n">
        <x:v>0.37607269056032305</x:v>
      </x:c>
      <x:c r="L532" s="24" t="n">
        <x:v>1981</x:v>
      </x:c>
      <x:c r="M532" t="str">
        <x:v>legacy_common_sample_8902245</x:v>
      </x:c>
      <x:c r="N532" s="25" t="n">
        <x:v>46210.9753753125</x:v>
      </x:c>
      <x:c r="O532" s="24" t="n">
        <x:v>8902245</x:v>
      </x:c>
      <x:c r="P532" t="str">
        <x:v>factor_report/gtja191_batch/gtja_189/ic_summary.csv</x:v>
      </x:c>
    </x:row>
    <x:row r="533">
      <x:c r="A533" s="22" t="n">
        <x:f>IF($E533="ranked",1+COUNTIFS($D$5:$D$546,$D533,$E$5:$E$546,"ranked",$F$5:$F$546,"&gt;"&amp;$F533),"")</x:f>
        <x:v>173</x:v>
      </x:c>
      <x:c r="B533" s="22" t="n">
        <x:f>IF($E533="ranked",1+COUNTIFS($D$5:$D$546,$D533,$E$5:$E$546,"ranked",$G$5:$G$546,"&gt;"&amp;$G533),"")</x:f>
        <x:v>11</x:v>
      </x:c>
      <x:c r="C533" t="str">
        <x:v>gtja_158</x:v>
      </x:c>
      <x:c r="D533" s="22" t="n">
        <x:v>20</x:v>
      </x:c>
      <x:c r="E533" t="str">
        <x:v>ranked</x:v>
      </x:c>
      <x:c r="F533" s="23" t="n">
        <x:v>-0.07619005015983824</x:v>
      </x:c>
      <x:c r="G533" s="23" t="n">
        <x:f>ABS(F533)</x:f>
        <x:v>0.07619005015983824</x:v>
      </x:c>
      <x:c r="H533" s="23" t="str">
        <x:f>IF(F533&gt;=0,"positive","negative")</x:f>
        <x:v>negative</x:v>
      </x:c>
      <x:c r="I533" s="23" t="n">
        <x:v>0.14653593624438352</x:v>
      </x:c>
      <x:c r="J533" s="23" t="n">
        <x:v>-0.5199410609611366</x:v>
      </x:c>
      <x:c r="K533" s="23" t="n">
        <x:v>0.3008581524482585</x:v>
      </x:c>
      <x:c r="L533" s="24" t="n">
        <x:v>1981</x:v>
      </x:c>
      <x:c r="M533" t="str">
        <x:v>legacy_common_sample_8902245</x:v>
      </x:c>
      <x:c r="N533" s="25" t="n">
        <x:v>46210.85092011574</x:v>
      </x:c>
      <x:c r="O533" s="24" t="n">
        <x:v>8902245</x:v>
      </x:c>
      <x:c r="P533" t="str">
        <x:v>factor_report/gtja191_batch/gtja_158/ic_summary.csv</x:v>
      </x:c>
    </x:row>
    <x:row r="534">
      <x:c r="A534" s="22" t="n">
        <x:f>IF($E534="ranked",1+COUNTIFS($D$5:$D$546,$D534,$E$5:$E$546,"ranked",$F$5:$F$546,"&gt;"&amp;$F534),"")</x:f>
        <x:v>174</x:v>
      </x:c>
      <x:c r="B534" s="22" t="n">
        <x:f>IF($E534="ranked",1+COUNTIFS($D$5:$D$546,$D534,$E$5:$E$546,"ranked",$G$5:$G$546,"&gt;"&amp;$G534),"")</x:f>
        <x:v>10</x:v>
      </x:c>
      <x:c r="C534" t="str">
        <x:v>gtja_161</x:v>
      </x:c>
      <x:c r="D534" s="22" t="n">
        <x:v>20</x:v>
      </x:c>
      <x:c r="E534" t="str">
        <x:v>ranked</x:v>
      </x:c>
      <x:c r="F534" s="23" t="n">
        <x:v>-0.08018019777096075</x:v>
      </x:c>
      <x:c r="G534" s="23" t="n">
        <x:f>ABS(F534)</x:f>
        <x:v>0.08018019777096075</x:v>
      </x:c>
      <x:c r="H534" s="23" t="str">
        <x:f>IF(F534&gt;=0,"positive","negative")</x:f>
        <x:v>negative</x:v>
      </x:c>
      <x:c r="I534" s="23" t="n">
        <x:v>0.1990911488113105</x:v>
      </x:c>
      <x:c r="J534" s="23" t="n">
        <x:v>-0.4027311020589463</x:v>
      </x:c>
      <x:c r="K534" s="23" t="n">
        <x:v>0.37001514386673395</x:v>
      </x:c>
      <x:c r="L534" s="24" t="n">
        <x:v>1981</x:v>
      </x:c>
      <x:c r="M534" t="str">
        <x:v>legacy_common_sample_8902245</x:v>
      </x:c>
      <x:c r="N534" s="25" t="n">
        <x:v>46210.86347449074</x:v>
      </x:c>
      <x:c r="O534" s="24" t="n">
        <x:v>8902245</x:v>
      </x:c>
      <x:c r="P534" t="str">
        <x:v>factor_report/gtja191_batch/gtja_161/ic_summary.csv</x:v>
      </x:c>
    </x:row>
    <x:row r="535">
      <x:c r="A535" s="22" t="n">
        <x:f>IF($E535="ranked",1+COUNTIFS($D$5:$D$546,$D535,$E$5:$E$546,"ranked",$F$5:$F$546,"&gt;"&amp;$F535),"")</x:f>
        <x:v>175</x:v>
      </x:c>
      <x:c r="B535" s="22" t="n">
        <x:f>IF($E535="ranked",1+COUNTIFS($D$5:$D$546,$D535,$E$5:$E$546,"ranked",$G$5:$G$546,"&gt;"&amp;$G535),"")</x:f>
        <x:v>9</x:v>
      </x:c>
      <x:c r="C535" t="str">
        <x:v>gtja_175</x:v>
      </x:c>
      <x:c r="D535" s="22" t="n">
        <x:v>20</x:v>
      </x:c>
      <x:c r="E535" t="str">
        <x:v>ranked</x:v>
      </x:c>
      <x:c r="F535" s="23" t="n">
        <x:v>-0.08375038278283142</x:v>
      </x:c>
      <x:c r="G535" s="23" t="n">
        <x:f>ABS(F535)</x:f>
        <x:v>0.08375038278283142</x:v>
      </x:c>
      <x:c r="H535" s="23" t="str">
        <x:f>IF(F535&gt;=0,"positive","negative")</x:f>
        <x:v>negative</x:v>
      </x:c>
      <x:c r="I535" s="23" t="n">
        <x:v>0.19712506240832867</x:v>
      </x:c>
      <x:c r="J535" s="23" t="n">
        <x:v>-0.4248591313536239</x:v>
      </x:c>
      <x:c r="K535" s="23" t="n">
        <x:v>0.3674911660777385</x:v>
      </x:c>
      <x:c r="L535" s="24" t="n">
        <x:v>1981</x:v>
      </x:c>
      <x:c r="M535" t="str">
        <x:v>legacy_common_sample_8902245</x:v>
      </x:c>
      <x:c r="N535" s="25" t="n">
        <x:v>46210.925217731485</x:v>
      </x:c>
      <x:c r="O535" s="24" t="n">
        <x:v>8902245</x:v>
      </x:c>
      <x:c r="P535" t="str">
        <x:v>factor_report/gtja191_batch/gtja_175/ic_summary.csv</x:v>
      </x:c>
    </x:row>
    <x:row r="536">
      <x:c r="A536" s="22" t="n">
        <x:f>IF($E536="ranked",1+COUNTIFS($D$5:$D$546,$D536,$E$5:$E$546,"ranked",$F$5:$F$546,"&gt;"&amp;$F536),"")</x:f>
        <x:v>176</x:v>
      </x:c>
      <x:c r="B536" s="22" t="n">
        <x:f>IF($E536="ranked",1+COUNTIFS($D$5:$D$546,$D536,$E$5:$E$546,"ranked",$G$5:$G$546,"&gt;"&amp;$G536),"")</x:f>
        <x:v>8</x:v>
      </x:c>
      <x:c r="C536" t="str">
        <x:v>gtja_187</x:v>
      </x:c>
      <x:c r="D536" s="22" t="n">
        <x:v>20</x:v>
      </x:c>
      <x:c r="E536" t="str">
        <x:v>ranked</x:v>
      </x:c>
      <x:c r="F536" s="23" t="n">
        <x:v>-0.0865927503170856</x:v>
      </x:c>
      <x:c r="G536" s="23" t="n">
        <x:f>ABS(F536)</x:f>
        <x:v>0.0865927503170856</x:v>
      </x:c>
      <x:c r="H536" s="23" t="str">
        <x:f>IF(F536&gt;=0,"positive","negative")</x:f>
        <x:v>negative</x:v>
      </x:c>
      <x:c r="I536" s="23" t="n">
        <x:v>0.19321762261285927</x:v>
      </x:c>
      <x:c r="J536" s="23" t="n">
        <x:v>-0.44816176260789253</x:v>
      </x:c>
      <x:c r="K536" s="23" t="n">
        <x:v>0.34830893488137304</x:v>
      </x:c>
      <x:c r="L536" s="24" t="n">
        <x:v>1981</x:v>
      </x:c>
      <x:c r="M536" t="str">
        <x:v>legacy_common_sample_8902245</x:v>
      </x:c>
      <x:c r="N536" s="25" t="n">
        <x:v>46210.96675238426</x:v>
      </x:c>
      <x:c r="O536" s="24" t="n">
        <x:v>8902245</x:v>
      </x:c>
      <x:c r="P536" t="str">
        <x:v>factor_report/gtja191_batch/gtja_187/ic_summary.csv</x:v>
      </x:c>
    </x:row>
    <x:row r="537">
      <x:c r="A537" s="22" t="n">
        <x:f>IF($E537="ranked",1+COUNTIFS($D$5:$D$546,$D537,$E$5:$E$546,"ranked",$F$5:$F$546,"&gt;"&amp;$F537),"")</x:f>
        <x:v>177</x:v>
      </x:c>
      <x:c r="B537" s="22" t="n">
        <x:f>IF($E537="ranked",1+COUNTIFS($D$5:$D$546,$D537,$E$5:$E$546,"ranked",$G$5:$G$546,"&gt;"&amp;$G537),"")</x:f>
        <x:v>6</x:v>
      </x:c>
      <x:c r="C537" t="str">
        <x:v>gtja_167</x:v>
      </x:c>
      <x:c r="D537" s="22" t="n">
        <x:v>20</x:v>
      </x:c>
      <x:c r="E537" t="str">
        <x:v>ranked</x:v>
      </x:c>
      <x:c r="F537" s="23" t="n">
        <x:v>-0.09096780095381629</x:v>
      </x:c>
      <x:c r="G537" s="23" t="n">
        <x:f>ABS(F537)</x:f>
        <x:v>0.09096780095381629</x:v>
      </x:c>
      <x:c r="H537" s="23" t="str">
        <x:f>IF(F537&gt;=0,"positive","negative")</x:f>
        <x:v>negative</x:v>
      </x:c>
      <x:c r="I537" s="23" t="n">
        <x:v>0.18836487208923902</x:v>
      </x:c>
      <x:c r="J537" s="23" t="n">
        <x:v>-0.48293399902461503</x:v>
      </x:c>
      <x:c r="K537" s="23" t="n">
        <x:v>0.3341746592629985</x:v>
      </x:c>
      <x:c r="L537" s="24" t="n">
        <x:v>1981</x:v>
      </x:c>
      <x:c r="M537" t="str">
        <x:v>legacy_common_sample_8902245</x:v>
      </x:c>
      <x:c r="N537" s="25" t="n">
        <x:v>46210.888780636575</x:v>
      </x:c>
      <x:c r="O537" s="24" t="n">
        <x:v>8902245</x:v>
      </x:c>
      <x:c r="P537" t="str">
        <x:v>factor_report/gtja191_batch/gtja_167/ic_summary.csv</x:v>
      </x:c>
    </x:row>
    <x:row r="538">
      <x:c r="A538" s="22" t="n">
        <x:f>IF($E538="ranked",1+COUNTIFS($D$5:$D$546,$D538,$E$5:$E$546,"ranked",$F$5:$F$546,"&gt;"&amp;$F538),"")</x:f>
        <x:v>178</x:v>
      </x:c>
      <x:c r="B538" s="22" t="n">
        <x:f>IF($E538="ranked",1+COUNTIFS($D$5:$D$546,$D538,$E$5:$E$546,"ranked",$G$5:$G$546,"&gt;"&amp;$G538),"")</x:f>
        <x:v>5</x:v>
      </x:c>
      <x:c r="C538" t="str">
        <x:v>gtja_159</x:v>
      </x:c>
      <x:c r="D538" s="22" t="n">
        <x:v>20</x:v>
      </x:c>
      <x:c r="E538" t="str">
        <x:v>ranked</x:v>
      </x:c>
      <x:c r="F538" s="23" t="n">
        <x:v>-0.09704336413748631</x:v>
      </x:c>
      <x:c r="G538" s="23" t="n">
        <x:f>ABS(F538)</x:f>
        <x:v>0.09704336413748631</x:v>
      </x:c>
      <x:c r="H538" s="23" t="str">
        <x:f>IF(F538&gt;=0,"positive","negative")</x:f>
        <x:v>negative</x:v>
      </x:c>
      <x:c r="I538" s="23" t="n">
        <x:v>0.18561403500389465</x:v>
      </x:c>
      <x:c r="J538" s="23" t="n">
        <x:v>-0.5228234176119823</x:v>
      </x:c>
      <x:c r="K538" s="23" t="n">
        <x:v>0.2922766279656739</x:v>
      </x:c>
      <x:c r="L538" s="24" t="n">
        <x:v>1981</x:v>
      </x:c>
      <x:c r="M538" t="str">
        <x:v>legacy_common_sample_8902245</x:v>
      </x:c>
      <x:c r="N538" s="25" t="n">
        <x:v>46210.85484907407</x:v>
      </x:c>
      <x:c r="O538" s="24" t="n">
        <x:v>8902245</x:v>
      </x:c>
      <x:c r="P538" t="str">
        <x:v>factor_report/gtja191_batch/gtja_159/ic_summary.csv</x:v>
      </x:c>
    </x:row>
    <x:row r="539">
      <x:c r="A539" s="22" t="n">
        <x:f>IF($E539="ranked",1+COUNTIFS($D$5:$D$546,$D539,$E$5:$E$546,"ranked",$F$5:$F$546,"&gt;"&amp;$F539),"")</x:f>
        <x:v>179</x:v>
      </x:c>
      <x:c r="B539" s="22" t="n">
        <x:f>IF($E539="ranked",1+COUNTIFS($D$5:$D$546,$D539,$E$5:$E$546,"ranked",$G$5:$G$546,"&gt;"&amp;$G539),"")</x:f>
        <x:v>4</x:v>
      </x:c>
      <x:c r="C539" t="str">
        <x:v>gtja_132</x:v>
      </x:c>
      <x:c r="D539" s="22" t="n">
        <x:v>20</x:v>
      </x:c>
      <x:c r="E539" t="str">
        <x:v>ranked</x:v>
      </x:c>
      <x:c r="F539" s="23" t="n">
        <x:v>-0.09705993231890751</x:v>
      </x:c>
      <x:c r="G539" s="23" t="n">
        <x:f>ABS(F539)</x:f>
        <x:v>0.09705993231890751</x:v>
      </x:c>
      <x:c r="H539" s="23" t="str">
        <x:f>IF(F539&gt;=0,"positive","negative")</x:f>
        <x:v>negative</x:v>
      </x:c>
      <x:c r="I539" s="23" t="n">
        <x:v>0.1631993920248416</x:v>
      </x:c>
      <x:c r="J539" s="23" t="n">
        <x:v>-0.5947321930227131</x:v>
      </x:c>
      <x:c r="K539" s="23" t="n">
        <x:v>0.2670368500757193</x:v>
      </x:c>
      <x:c r="L539" s="24" t="n">
        <x:v>1981</x:v>
      </x:c>
      <x:c r="M539" t="str">
        <x:v>legacy_common_sample_8902245</x:v>
      </x:c>
      <x:c r="N539" s="25" t="n">
        <x:v>46210.73378372685</x:v>
      </x:c>
      <x:c r="O539" s="24" t="n">
        <x:v>8902245</x:v>
      </x:c>
      <x:c r="P539" t="str">
        <x:v>factor_report/gtja191_batch/gtja_132/ic_summary.csv</x:v>
      </x:c>
    </x:row>
    <x:row r="540">
      <x:c r="A540" s="22" t="n">
        <x:f>IF($E540="ranked",1+COUNTIFS($D$5:$D$546,$D540,$E$5:$E$546,"ranked",$F$5:$F$546,"&gt;"&amp;$F540),"")</x:f>
        <x:v>180</x:v>
      </x:c>
      <x:c r="B540" s="22" t="n">
        <x:f>IF($E540="ranked",1+COUNTIFS($D$5:$D$546,$D540,$E$5:$E$546,"ranked",$G$5:$G$546,"&gt;"&amp;$G540),"")</x:f>
        <x:v>3</x:v>
      </x:c>
      <x:c r="C540" t="str">
        <x:v>gtja_095</x:v>
      </x:c>
      <x:c r="D540" s="22" t="n">
        <x:v>20</x:v>
      </x:c>
      <x:c r="E540" t="str">
        <x:v>ranked</x:v>
      </x:c>
      <x:c r="F540" s="23" t="n">
        <x:v>-0.105969151091301</x:v>
      </x:c>
      <x:c r="G540" s="23" t="n">
        <x:f>ABS(F540)</x:f>
        <x:v>0.105969151091301</x:v>
      </x:c>
      <x:c r="H540" s="23" t="str">
        <x:f>IF(F540&gt;=0,"positive","negative")</x:f>
        <x:v>negative</x:v>
      </x:c>
      <x:c r="I540" s="23" t="n">
        <x:v>0.15069290894524742</x:v>
      </x:c>
      <x:c r="J540" s="23" t="n">
        <x:v>-0.7032125919727498</x:v>
      </x:c>
      <x:c r="K540" s="23" t="n">
        <x:v>0.24280666330136294</x:v>
      </x:c>
      <x:c r="L540" s="24" t="n">
        <x:v>1981</x:v>
      </x:c>
      <x:c r="M540" t="str">
        <x:v>legacy_common_sample_8902245</x:v>
      </x:c>
      <x:c r="N540" s="25" t="n">
        <x:v>46210.552701967594</x:v>
      </x:c>
      <x:c r="O540" s="24" t="n">
        <x:v>8902245</x:v>
      </x:c>
      <x:c r="P540" t="str">
        <x:v>factor_report/gtja191_batch/gtja_095/ic_summary.csv</x:v>
      </x:c>
    </x:row>
    <x:row r="541">
      <x:c r="A541" s="22" t="n">
        <x:f>IF($E541="ranked",1+COUNTIFS($D$5:$D$546,$D541,$E$5:$E$546,"ranked",$F$5:$F$546,"&gt;"&amp;$F541),"")</x:f>
        <x:v>181</x:v>
      </x:c>
      <x:c r="B541" s="22" t="n">
        <x:f>IF($E541="ranked",1+COUNTIFS($D$5:$D$546,$D541,$E$5:$E$546,"ranked",$G$5:$G$546,"&gt;"&amp;$G541),"")</x:f>
        <x:v>2</x:v>
      </x:c>
      <x:c r="C541" t="str">
        <x:v>gtja_070</x:v>
      </x:c>
      <x:c r="D541" s="22" t="n">
        <x:v>20</x:v>
      </x:c>
      <x:c r="E541" t="str">
        <x:v>ranked</x:v>
      </x:c>
      <x:c r="F541" s="23" t="n">
        <x:v>-0.10876569631565444</x:v>
      </x:c>
      <x:c r="G541" s="23" t="n">
        <x:f>ABS(F541)</x:f>
        <x:v>0.10876569631565444</x:v>
      </x:c>
      <x:c r="H541" s="23" t="str">
        <x:f>IF(F541&gt;=0,"positive","negative")</x:f>
        <x:v>negative</x:v>
      </x:c>
      <x:c r="I541" s="23" t="n">
        <x:v>0.14896493416224968</x:v>
      </x:c>
      <x:c r="J541" s="23" t="n">
        <x:v>-0.7301429489250738</x:v>
      </x:c>
      <x:c r="K541" s="23" t="n">
        <x:v>0.2332155477031802</x:v>
      </x:c>
      <x:c r="L541" s="24" t="n">
        <x:v>1981</x:v>
      </x:c>
      <x:c r="M541" t="str">
        <x:v>legacy_common_sample_8902245</x:v>
      </x:c>
      <x:c r="N541" s="25" t="n">
        <x:v>46210.41622457176</x:v>
      </x:c>
      <x:c r="O541" s="24" t="n">
        <x:v>8902245</x:v>
      </x:c>
      <x:c r="P541" t="str">
        <x:v>factor_report/gtja191_batch/gtja_070/ic_summary.csv</x:v>
      </x:c>
    </x:row>
    <x:row r="542">
      <x:c r="A542" s="22" t="n">
        <x:f>IF($E542="ranked",1+COUNTIFS($D$5:$D$546,$D542,$E$5:$E$546,"ranked",$F$5:$F$546,"&gt;"&amp;$F542),"")</x:f>
        <x:v>182</x:v>
      </x:c>
      <x:c r="B542" s="22" t="n">
        <x:f>IF($E542="ranked",1+COUNTIFS($D$5:$D$546,$D542,$E$5:$E$546,"ranked",$G$5:$G$546,"&gt;"&amp;$G542),"")</x:f>
        <x:v>1</x:v>
      </x:c>
      <x:c r="C542" t="str">
        <x:v>gtja_150</x:v>
      </x:c>
      <x:c r="D542" s="22" t="n">
        <x:v>20</x:v>
      </x:c>
      <x:c r="E542" t="str">
        <x:v>ranked</x:v>
      </x:c>
      <x:c r="F542" s="23" t="n">
        <x:v>-0.11156827243879673</x:v>
      </x:c>
      <x:c r="G542" s="23" t="n">
        <x:f>ABS(F542)</x:f>
        <x:v>0.11156827243879673</x:v>
      </x:c>
      <x:c r="H542" s="23" t="str">
        <x:f>IF(F542&gt;=0,"positive","negative")</x:f>
        <x:v>negative</x:v>
      </x:c>
      <x:c r="I542" s="23" t="n">
        <x:v>0.1506698916605229</x:v>
      </x:c>
      <x:c r="J542" s="23" t="n">
        <x:v>-0.740481533564604</x:v>
      </x:c>
      <x:c r="K542" s="23" t="n">
        <x:v>0.23119636547198386</x:v>
      </x:c>
      <x:c r="L542" s="24" t="n">
        <x:v>1981</x:v>
      </x:c>
      <x:c r="M542" t="str">
        <x:v>legacy_common_sample_8902245</x:v>
      </x:c>
      <x:c r="N542" s="25" t="n">
        <x:v>46210.81356047454</x:v>
      </x:c>
      <x:c r="O542" s="24" t="n">
        <x:v>8902245</x:v>
      </x:c>
      <x:c r="P542" t="str">
        <x:v>factor_report/gtja191_batch/gtja_150/ic_summary.csv</x:v>
      </x:c>
    </x:row>
    <x:row r="543">
      <x:c r="A543" s="22" t="str">
        <x:f>IF($E543="ranked",1+COUNTIFS($D$5:$D$546,$D543,$E$5:$E$546,"ranked",$F$5:$F$546,"&gt;"&amp;$F543),"")</x:f>
      </x:c>
      <x:c r="B543" s="22" t="str">
        <x:f>IF($E543="ranked",1+COUNTIFS($D$5:$D$546,$D543,$E$5:$E$546,"ranked",$G$5:$G$546,"&gt;"&amp;$G543),"")</x:f>
      </x:c>
      <x:c r="C543" t="str">
        <x:v>gtja_005</x:v>
      </x:c>
      <x:c r="D543" s="22" t="n">
        <x:v>20</x:v>
      </x:c>
      <x:c r="E543" t="str">
        <x:v>not comparable</x:v>
      </x:c>
      <x:c r="F543" s="23" t="n">
        <x:v>0.044977246040452376</x:v>
      </x:c>
      <x:c r="G543" s="23" t="n">
        <x:f>ABS(F543)</x:f>
        <x:v>0.044977246040452376</x:v>
      </x:c>
      <x:c r="H543" s="23" t="str">
        <x:f>IF(F543&gt;=0,"positive","negative")</x:f>
        <x:v>positive</x:v>
      </x:c>
      <x:c r="I543" s="23" t="n">
        <x:v>0.06938478519589097</x:v>
      </x:c>
      <x:c r="J543" s="23" t="n">
        <x:v>0.648229232294517</x:v>
      </x:c>
      <x:c r="K543" s="23" t="n">
        <x:v>0.7493022075615327</x:v>
      </x:c>
      <x:c r="L543" s="24" t="n">
        <x:v>3941</x:v>
      </x:c>
      <x:c r="M543" t="str">
        <x:v>latest_context_sample_13231952</x:v>
      </x:c>
      <x:c r="N543" s="25" t="n">
        <x:v>46230.276212083336</x:v>
      </x:c>
      <x:c r="O543" s="24" t="n">
        <x:v>13231952</x:v>
      </x:c>
      <x:c r="P543" t="str">
        <x:v>factor_report/gtja191_batch/gtja_005/ic_summary.csv</x:v>
      </x:c>
    </x:row>
    <x:row r="544">
      <x:c r="A544" s="22" t="str">
        <x:f>IF($E544="ranked",1+COUNTIFS($D$5:$D$546,$D544,$E$5:$E$546,"ranked",$F$5:$F$546,"&gt;"&amp;$F544),"")</x:f>
      </x:c>
      <x:c r="B544" s="22" t="str">
        <x:f>IF($E544="ranked",1+COUNTIFS($D$5:$D$546,$D544,$E$5:$E$546,"ranked",$G$5:$G$546,"&gt;"&amp;$G544),"")</x:f>
      </x:c>
      <x:c r="C544" t="str">
        <x:v>gtja_012</x:v>
      </x:c>
      <x:c r="D544" s="22" t="n">
        <x:v>20</x:v>
      </x:c>
      <x:c r="E544" t="str">
        <x:v>not comparable</x:v>
      </x:c>
      <x:c r="F544" s="23" t="n">
        <x:v>0.03989492696853495</x:v>
      </x:c>
      <x:c r="G544" s="23" t="n">
        <x:f>ABS(F544)</x:f>
        <x:v>0.03989492696853495</x:v>
      </x:c>
      <x:c r="H544" s="23" t="str">
        <x:f>IF(F544&gt;=0,"positive","negative")</x:f>
        <x:v>positive</x:v>
      </x:c>
      <x:c r="I544" s="23" t="n">
        <x:v>0.10692194657752863</x:v>
      </x:c>
      <x:c r="J544" s="23" t="n">
        <x:v>0.37312196649550633</x:v>
      </x:c>
      <x:c r="K544" s="23" t="n">
        <x:v>0.6612534889621924</x:v>
      </x:c>
      <x:c r="L544" s="24" t="n">
        <x:v>3941</x:v>
      </x:c>
      <x:c r="M544" t="str">
        <x:v>latest_context_sample_13231952</x:v>
      </x:c>
      <x:c r="N544" s="25" t="n">
        <x:v>46230.30990840278</x:v>
      </x:c>
      <x:c r="O544" s="24" t="n">
        <x:v>13231952</x:v>
      </x:c>
      <x:c r="P544" t="str">
        <x:v>factor_report/gtja191_batch/gtja_012/ic_summary.csv</x:v>
      </x:c>
    </x:row>
    <x:row r="545">
      <x:c r="A545" s="22" t="str">
        <x:f>IF($E545="ranked",1+COUNTIFS($D$5:$D$546,$D545,$E$5:$E$546,"ranked",$F$5:$F$546,"&gt;"&amp;$F545),"")</x:f>
      </x:c>
      <x:c r="B545" s="22" t="str">
        <x:f>IF($E545="ranked",1+COUNTIFS($D$5:$D$546,$D545,$E$5:$E$546,"ranked",$G$5:$G$546,"&gt;"&amp;$G545),"")</x:f>
      </x:c>
      <x:c r="C545" t="str">
        <x:v>gtja_007</x:v>
      </x:c>
      <x:c r="D545" s="22" t="n">
        <x:v>20</x:v>
      </x:c>
      <x:c r="E545" t="str">
        <x:v>not comparable</x:v>
      </x:c>
      <x:c r="F545" s="23" t="n">
        <x:v>0.02673646735981392</x:v>
      </x:c>
      <x:c r="G545" s="23" t="n">
        <x:f>ABS(F545)</x:f>
        <x:v>0.02673646735981392</x:v>
      </x:c>
      <x:c r="H545" s="23" t="str">
        <x:f>IF(F545&gt;=0,"positive","negative")</x:f>
        <x:v>positive</x:v>
      </x:c>
      <x:c r="I545" s="23" t="n">
        <x:v>0.0822379384928654</x:v>
      </x:c>
      <x:c r="J545" s="23" t="n">
        <x:v>0.325111108690224</x:v>
      </x:c>
      <x:c r="K545" s="23" t="n">
        <x:v>0.6358792184724689</x:v>
      </x:c>
      <x:c r="L545" s="24" t="n">
        <x:v>3941</x:v>
      </x:c>
      <x:c r="M545" t="str">
        <x:v>latest_context_sample_13231952</x:v>
      </x:c>
      <x:c r="N545" s="25" t="n">
        <x:v>46230.29278930555</x:v>
      </x:c>
      <x:c r="O545" s="24" t="n">
        <x:v>13231952</x:v>
      </x:c>
      <x:c r="P545" t="str">
        <x:v>factor_report/gtja191_batch/gtja_007/ic_summary.csv</x:v>
      </x:c>
    </x:row>
    <x:row r="546">
      <x:c r="A546" s="22" t="str">
        <x:f>IF($E546="ranked",1+COUNTIFS($D$5:$D$546,$D546,$E$5:$E$546,"ranked",$F$5:$F$546,"&gt;"&amp;$F546),"")</x:f>
      </x:c>
      <x:c r="B546" s="22" t="str">
        <x:f>IF($E546="ranked",1+COUNTIFS($D$5:$D$546,$D546,$E$5:$E$546,"ranked",$G$5:$G$546,"&gt;"&amp;$G546),"")</x:f>
      </x:c>
      <x:c r="C546" t="str">
        <x:v>gtja_015</x:v>
      </x:c>
      <x:c r="D546" s="22" t="n">
        <x:v>20</x:v>
      </x:c>
      <x:c r="E546" t="str">
        <x:v>not comparable</x:v>
      </x:c>
      <x:c r="F546" s="23" t="n">
        <x:v>0.019216577227991607</x:v>
      </x:c>
      <x:c r="G546" s="23" t="n">
        <x:f>ABS(F546)</x:f>
        <x:v>0.019216577227991607</x:v>
      </x:c>
      <x:c r="H546" s="23" t="str">
        <x:f>IF(F546&gt;=0,"positive","negative")</x:f>
        <x:v>positive</x:v>
      </x:c>
      <x:c r="I546" s="23" t="n">
        <x:v>0.06566011794071615</x:v>
      </x:c>
      <x:c r="J546" s="23" t="n">
        <x:v>0.29266741868088114</x:v>
      </x:c>
      <x:c r="K546" s="23" t="n">
        <x:v>0.6571936056838366</x:v>
      </x:c>
      <x:c r="L546" s="24" t="n">
        <x:v>3941</x:v>
      </x:c>
      <x:c r="M546" t="str">
        <x:v>latest_context_sample_13231952</x:v>
      </x:c>
      <x:c r="N546" s="25" t="n">
        <x:v>46230.32700612269</x:v>
      </x:c>
      <x:c r="O546" s="24" t="n">
        <x:v>13231952</x:v>
      </x:c>
      <x:c r="P546" t="str">
        <x:v>factor_report/gtja191_batch/gtja_015/ic_summary.csv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73e71065b3c34a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14" hidden="0" customWidth="1"/>
    <x:col min="5" max="5" width="13" hidden="0" customWidth="1"/>
    <x:col min="6" max="6" width="17" hidden="0" customWidth="1"/>
    <x:col min="7" max="7" width="16" hidden="0" customWidth="1"/>
    <x:col min="8" max="8" width="14" hidden="0" customWidth="1"/>
    <x:col min="9" max="9" width="17" hidden="0" customWidth="1"/>
    <x:col min="10" max="10" width="20" hidden="0" customWidth="1"/>
    <x:col min="11" max="11" width="18" hidden="0" customWidth="1"/>
    <x:col min="12" max="12" width="24" hidden="0" customWidth="1"/>
    <x:col min="13" max="13" width="31" hidden="0" customWidth="1"/>
    <x:col min="14" max="14" width="48" hidden="0" customWidth="1"/>
  </x:cols>
  <x:sheetData>
    <x:row r="1" ht="30" customHeight="1">
      <x:c r="A1" s="3" t="str">
        <x:v>Raw Rank IC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Exact union of every available single-factor ic_summary.csv; no ranking is applied on this sheet.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9" t="str">
        <x:v>Factor</x:v>
      </x:c>
      <x:c r="B4" s="20" t="str">
        <x:v>Window Days</x:v>
      </x:c>
      <x:c r="C4" s="20" t="str">
        <x:v>Rank IC Mean</x:v>
      </x:c>
      <x:c r="D4" s="20" t="str">
        <x:v>Rank IC Std</x:v>
      </x:c>
      <x:c r="E4" s="20" t="str">
        <x:v>Rank ICIR</x:v>
      </x:c>
      <x:c r="F4" s="20" t="str">
        <x:v>Rank IC Win Rate</x:v>
      </x:c>
      <x:c r="G4" s="20" t="str">
        <x:v>Pearson IC Mean</x:v>
      </x:c>
      <x:c r="H4" s="20" t="str">
        <x:v>Pearson ICIR</x:v>
      </x:c>
      <x:c r="I4" s="20" t="str">
        <x:v>Observation Count</x:v>
      </x:c>
      <x:c r="J4" s="20" t="str">
        <x:v>Completed At</x:v>
      </x:c>
      <x:c r="K4" s="20" t="str">
        <x:v>Source Row Count</x:v>
      </x:c>
      <x:c r="L4" s="20" t="str">
        <x:v>Fingerprint</x:v>
      </x:c>
      <x:c r="M4" s="20" t="str">
        <x:v>Comparison Cohort</x:v>
      </x:c>
      <x:c r="N4" s="21" t="str">
        <x:v>Source File</x:v>
      </x:c>
    </x:row>
    <x:row r="5">
      <x:c r="A5" t="str">
        <x:v>gtja_001</x:v>
      </x:c>
      <x:c r="B5" s="22" t="n">
        <x:v>10</x:v>
      </x:c>
      <x:c r="C5" s="23" t="n">
        <x:v>0.02543854179141846</x:v>
      </x:c>
      <x:c r="D5" s="23" t="n">
        <x:v>0.05750669907208947</x:v>
      </x:c>
      <x:c r="E5" s="23" t="n">
        <x:v>0.44235788528792297</x:v>
      </x:c>
      <x:c r="F5" s="23" t="n">
        <x:v>0.6695128076343546</x:v>
      </x:c>
      <x:c r="G5" s="23" t="n">
        <x:v>0.008848207511136854</x:v>
      </x:c>
      <x:c r="H5" s="23" t="n">
        <x:v>0.18077516968268037</x:v>
      </x:c>
      <x:c r="I5" s="24" t="n">
        <x:v>1991</x:v>
      </x:c>
      <x:c r="J5" s="25" t="n">
        <x:v>46211.15197799769</x:v>
      </x:c>
      <x:c r="K5" s="24" t="n">
        <x:v>8902245</x:v>
      </x:c>
      <x:c r="L5" t="str">
        <x:v>8f7e606554926462248cbcc654181861438ca768a0063f6b317223ede37d16fb</x:v>
      </x:c>
      <x:c r="M5" t="str">
        <x:v>legacy_common_sample_8902245</x:v>
      </x:c>
      <x:c r="N5" t="str">
        <x:v>factor_report/gtja191_batch/gtja_001/ic_summary.csv</x:v>
      </x:c>
    </x:row>
    <x:row r="6">
      <x:c r="A6" t="str">
        <x:v>gtja_001</x:v>
      </x:c>
      <x:c r="B6" s="22" t="n">
        <x:v>20</x:v>
      </x:c>
      <x:c r="C6" s="23" t="n">
        <x:v>0.027015385108046932</x:v>
      </x:c>
      <x:c r="D6" s="23" t="n">
        <x:v>0.05807042058723976</x:v>
      </x:c>
      <x:c r="E6" s="23" t="n">
        <x:v>0.46521765874695975</x:v>
      </x:c>
      <x:c r="F6" s="23" t="n">
        <x:v>0.6769308430085815</x:v>
      </x:c>
      <x:c r="G6" s="23" t="n">
        <x:v>0.01157919232976945</x:v>
      </x:c>
      <x:c r="H6" s="23" t="n">
        <x:v>0.23310525727658032</x:v>
      </x:c>
      <x:c r="I6" s="24" t="n">
        <x:v>1981</x:v>
      </x:c>
      <x:c r="J6" s="25" t="n">
        <x:v>46211.15197799769</x:v>
      </x:c>
      <x:c r="K6" s="24" t="n">
        <x:v>8902245</x:v>
      </x:c>
      <x:c r="L6" t="str">
        <x:v>8f7e606554926462248cbcc654181861438ca768a0063f6b317223ede37d16fb</x:v>
      </x:c>
      <x:c r="M6" t="str">
        <x:v>legacy_common_sample_8902245</x:v>
      </x:c>
      <x:c r="N6" t="str">
        <x:v>factor_report/gtja191_batch/gtja_001/ic_summary.csv</x:v>
      </x:c>
    </x:row>
    <x:row r="7">
      <x:c r="A7" t="str">
        <x:v>gtja_002</x:v>
      </x:c>
      <x:c r="B7" s="22" t="n">
        <x:v>10</x:v>
      </x:c>
      <x:c r="C7" s="23" t="n">
        <x:v>0.003331327897083199</x:v>
      </x:c>
      <x:c r="D7" s="23" t="n">
        <x:v>0.09708540008217934</x:v>
      </x:c>
      <x:c r="E7" s="23" t="n">
        <x:v>0.03431337661752796</x:v>
      </x:c>
      <x:c r="F7" s="23" t="n">
        <x:v>0.5163234555499749</x:v>
      </x:c>
      <x:c r="G7" s="23" t="n">
        <x:v>0.0020134280963686945</x:v>
      </x:c>
      <x:c r="H7" s="23" t="n">
        <x:v>0.024743734326960344</x:v>
      </x:c>
      <x:c r="I7" s="24" t="n">
        <x:v>1991</x:v>
      </x:c>
      <x:c r="J7" s="25" t="n">
        <x:v>46211.155761828704</x:v>
      </x:c>
      <x:c r="K7" s="24" t="n">
        <x:v>8902245</x:v>
      </x:c>
      <x:c r="L7" t="str">
        <x:v>8f7e606554926462248cbcc654181861438ca768a0063f6b317223ede37d16fb</x:v>
      </x:c>
      <x:c r="M7" t="str">
        <x:v>legacy_common_sample_8902245</x:v>
      </x:c>
      <x:c r="N7" t="str">
        <x:v>factor_report/gtja191_batch/gtja_002/ic_summary.csv</x:v>
      </x:c>
    </x:row>
    <x:row r="8">
      <x:c r="A8" t="str">
        <x:v>gtja_002</x:v>
      </x:c>
      <x:c r="B8" s="22" t="n">
        <x:v>20</x:v>
      </x:c>
      <x:c r="C8" s="23" t="n">
        <x:v>0.00259474904267911</x:v>
      </x:c>
      <x:c r="D8" s="23" t="n">
        <x:v>0.09354214656137015</x:v>
      </x:c>
      <x:c r="E8" s="23" t="n">
        <x:v>0.02773882295909015</x:v>
      </x:c>
      <x:c r="F8" s="23" t="n">
        <x:v>0.5153962645128722</x:v>
      </x:c>
      <x:c r="G8" s="23" t="n">
        <x:v>0.0011280360048697626</x:v>
      </x:c>
      <x:c r="H8" s="23" t="n">
        <x:v>0.014310895136015205</x:v>
      </x:c>
      <x:c r="I8" s="24" t="n">
        <x:v>1981</x:v>
      </x:c>
      <x:c r="J8" s="25" t="n">
        <x:v>46211.155761828704</x:v>
      </x:c>
      <x:c r="K8" s="24" t="n">
        <x:v>8902245</x:v>
      </x:c>
      <x:c r="L8" t="str">
        <x:v>8f7e606554926462248cbcc654181861438ca768a0063f6b317223ede37d16fb</x:v>
      </x:c>
      <x:c r="M8" t="str">
        <x:v>legacy_common_sample_8902245</x:v>
      </x:c>
      <x:c r="N8" t="str">
        <x:v>factor_report/gtja191_batch/gtja_002/ic_summary.csv</x:v>
      </x:c>
    </x:row>
    <x:row r="9">
      <x:c r="A9" t="str">
        <x:v>gtja_003</x:v>
      </x:c>
      <x:c r="B9" s="22" t="n">
        <x:v>1</x:v>
      </x:c>
      <x:c r="C9" s="23" t="n">
        <x:v>-0.02780988007414572</x:v>
      </x:c>
      <x:c r="D9" s="23" t="n">
        <x:v>0.13233945057801774</x:v>
      </x:c>
      <x:c r="E9" s="23" t="n">
        <x:v>-0.2101405132987992</x:v>
      </x:c>
      <x:c r="F9" s="23" t="n">
        <x:v>0.4145</x:v>
      </x:c>
      <x:c r="G9" s="23" t="n">
        <x:v>-0.011690222472474058</x:v>
      </x:c>
      <x:c r="H9" s="23" t="n">
        <x:v>-0.13611959546485597</x:v>
      </x:c>
      <x:c r="I9" s="24" t="n">
        <x:v>2000</x:v>
      </x:c>
      <x:c r="J9" s="25" t="n">
        <x:v>46210.119879363425</x:v>
      </x:c>
      <x:c r="K9" s="24" t="n">
        <x:v>8902245</x:v>
      </x:c>
      <x:c r="L9" t="str">
        <x:v>40355b29bce094aef0e99358bdfd4011b92e72a54440a67760de4afae4883c33</x:v>
      </x:c>
      <x:c r="M9" t="str">
        <x:v>legacy_common_sample_8902245</x:v>
      </x:c>
      <x:c r="N9" t="str">
        <x:v>factor_report/gtja191_batch/gtja_003/ic_summary.csv</x:v>
      </x:c>
    </x:row>
    <x:row r="10">
      <x:c r="A10" t="str">
        <x:v>gtja_003</x:v>
      </x:c>
      <x:c r="B10" s="22" t="n">
        <x:v>5</x:v>
      </x:c>
      <x:c r="C10" s="23" t="n">
        <x:v>-0.03133043162517747</x:v>
      </x:c>
      <x:c r="D10" s="23" t="n">
        <x:v>0.1251919600465916</x:v>
      </x:c>
      <x:c r="E10" s="23" t="n">
        <x:v>-0.25025913495976493</x:v>
      </x:c>
      <x:c r="F10" s="23" t="n">
        <x:v>0.39228456913827653</x:v>
      </x:c>
      <x:c r="G10" s="23" t="n">
        <x:v>-0.01716055979461611</x:v>
      </x:c>
      <x:c r="H10" s="23" t="n">
        <x:v>-0.21535346671260033</x:v>
      </x:c>
      <x:c r="I10" s="24" t="n">
        <x:v>1996</x:v>
      </x:c>
      <x:c r="J10" s="25" t="n">
        <x:v>46210.119879363425</x:v>
      </x:c>
      <x:c r="K10" s="24" t="n">
        <x:v>8902245</x:v>
      </x:c>
      <x:c r="L10" t="str">
        <x:v>40355b29bce094aef0e99358bdfd4011b92e72a54440a67760de4afae4883c33</x:v>
      </x:c>
      <x:c r="M10" t="str">
        <x:v>legacy_common_sample_8902245</x:v>
      </x:c>
      <x:c r="N10" t="str">
        <x:v>factor_report/gtja191_batch/gtja_003/ic_summary.csv</x:v>
      </x:c>
    </x:row>
    <x:row r="11">
      <x:c r="A11" t="str">
        <x:v>gtja_003</x:v>
      </x:c>
      <x:c r="B11" s="22" t="n">
        <x:v>10</x:v>
      </x:c>
      <x:c r="C11" s="23" t="n">
        <x:v>-0.03472088085404721</x:v>
      </x:c>
      <x:c r="D11" s="23" t="n">
        <x:v>0.12049476181299378</x:v>
      </x:c>
      <x:c r="E11" s="23" t="n">
        <x:v>-0.28815261619366944</x:v>
      </x:c>
      <x:c r="F11" s="23" t="n">
        <x:v>0.3902561526870919</x:v>
      </x:c>
      <x:c r="G11" s="23" t="n">
        <x:v>-0.019479019302020853</x:v>
      </x:c>
      <x:c r="H11" s="23" t="n">
        <x:v>-0.2560200010647641</x:v>
      </x:c>
      <x:c r="I11" s="24" t="n">
        <x:v>1991</x:v>
      </x:c>
      <x:c r="J11" s="25" t="n">
        <x:v>46210.119879363425</x:v>
      </x:c>
      <x:c r="K11" s="24" t="n">
        <x:v>8902245</x:v>
      </x:c>
      <x:c r="L11" t="str">
        <x:v>40355b29bce094aef0e99358bdfd4011b92e72a54440a67760de4afae4883c33</x:v>
      </x:c>
      <x:c r="M11" t="str">
        <x:v>legacy_common_sample_8902245</x:v>
      </x:c>
      <x:c r="N11" t="str">
        <x:v>factor_report/gtja191_batch/gtja_003/ic_summary.csv</x:v>
      </x:c>
    </x:row>
    <x:row r="12">
      <x:c r="A12" t="str">
        <x:v>gtja_003</x:v>
      </x:c>
      <x:c r="B12" s="22" t="n">
        <x:v>20</x:v>
      </x:c>
      <x:c r="C12" s="23" t="n">
        <x:v>-0.040821568603022704</x:v>
      </x:c>
      <x:c r="D12" s="23" t="n">
        <x:v>0.1159749249208376</x:v>
      </x:c>
      <x:c r="E12" s="23" t="n">
        <x:v>-0.3519861610678927</x:v>
      </x:c>
      <x:c r="F12" s="23" t="n">
        <x:v>0.358909641595154</x:v>
      </x:c>
      <x:c r="G12" s="23" t="n">
        <x:v>-0.021750706704818917</x:v>
      </x:c>
      <x:c r="H12" s="23" t="n">
        <x:v>-0.28876814393665573</x:v>
      </x:c>
      <x:c r="I12" s="24" t="n">
        <x:v>1981</x:v>
      </x:c>
      <x:c r="J12" s="25" t="n">
        <x:v>46210.119879363425</x:v>
      </x:c>
      <x:c r="K12" s="24" t="n">
        <x:v>8902245</x:v>
      </x:c>
      <x:c r="L12" t="str">
        <x:v>40355b29bce094aef0e99358bdfd4011b92e72a54440a67760de4afae4883c33</x:v>
      </x:c>
      <x:c r="M12" t="str">
        <x:v>legacy_common_sample_8902245</x:v>
      </x:c>
      <x:c r="N12" t="str">
        <x:v>factor_report/gtja191_batch/gtja_003/ic_summary.csv</x:v>
      </x:c>
    </x:row>
    <x:row r="13">
      <x:c r="A13" t="str">
        <x:v>gtja_004</x:v>
      </x:c>
      <x:c r="B13" s="22" t="n">
        <x:v>10</x:v>
      </x:c>
      <x:c r="C13" s="23" t="n">
        <x:v>0.00039597296901405636</x:v>
      </x:c>
      <x:c r="D13" s="23" t="n">
        <x:v>0.06728270365550235</x:v>
      </x:c>
      <x:c r="E13" s="23" t="n">
        <x:v>0.005885211911838413</x:v>
      </x:c>
      <x:c r="F13" s="23" t="n">
        <x:v>0.46609743847312907</x:v>
      </x:c>
      <x:c r="G13" s="23" t="n">
        <x:v>0.00030514031299232007</x:v>
      </x:c>
      <x:c r="H13" s="23" t="n">
        <x:v>0.005409805671114206</x:v>
      </x:c>
      <x:c r="I13" s="24" t="n">
        <x:v>1991</x:v>
      </x:c>
      <x:c r="J13" s="25" t="n">
        <x:v>46211.15884189815</x:v>
      </x:c>
      <x:c r="K13" s="24" t="n">
        <x:v>8902245</x:v>
      </x:c>
      <x:c r="L13" t="str">
        <x:v>8f7e606554926462248cbcc654181861438ca768a0063f6b317223ede37d16fb</x:v>
      </x:c>
      <x:c r="M13" t="str">
        <x:v>legacy_common_sample_8902245</x:v>
      </x:c>
      <x:c r="N13" t="str">
        <x:v>factor_report/gtja191_batch/gtja_004/ic_summary.csv</x:v>
      </x:c>
    </x:row>
    <x:row r="14">
      <x:c r="A14" t="str">
        <x:v>gtja_004</x:v>
      </x:c>
      <x:c r="B14" s="22" t="n">
        <x:v>20</x:v>
      </x:c>
      <x:c r="C14" s="23" t="n">
        <x:v>0.0006447894973695364</x:v>
      </x:c>
      <x:c r="D14" s="23" t="n">
        <x:v>0.06635328181691785</x:v>
      </x:c>
      <x:c r="E14" s="23" t="n">
        <x:v>0.009717522324647652</x:v>
      </x:c>
      <x:c r="F14" s="23" t="n">
        <x:v>0.4684502776375568</x:v>
      </x:c>
      <x:c r="G14" s="23" t="n">
        <x:v>-0.00005304980121781729</x:v>
      </x:c>
      <x:c r="H14" s="23" t="n">
        <x:v>-0.0009582607603264688</x:v>
      </x:c>
      <x:c r="I14" s="24" t="n">
        <x:v>1981</x:v>
      </x:c>
      <x:c r="J14" s="25" t="n">
        <x:v>46211.15884189815</x:v>
      </x:c>
      <x:c r="K14" s="24" t="n">
        <x:v>8902245</x:v>
      </x:c>
      <x:c r="L14" t="str">
        <x:v>8f7e606554926462248cbcc654181861438ca768a0063f6b317223ede37d16fb</x:v>
      </x:c>
      <x:c r="M14" t="str">
        <x:v>legacy_common_sample_8902245</x:v>
      </x:c>
      <x:c r="N14" t="str">
        <x:v>factor_report/gtja191_batch/gtja_004/ic_summary.csv</x:v>
      </x:c>
    </x:row>
    <x:row r="15">
      <x:c r="A15" t="str">
        <x:v>gtja_005</x:v>
      </x:c>
      <x:c r="B15" s="22" t="n">
        <x:v>1</x:v>
      </x:c>
      <x:c r="C15" s="23" t="n">
        <x:v>0.025079713667741598</x:v>
      </x:c>
      <x:c r="D15" s="23" t="n">
        <x:v>0.07180593483059108</x:v>
      </x:c>
      <x:c r="E15" s="23" t="n">
        <x:v>0.34927076329987455</x:v>
      </x:c>
      <x:c r="F15" s="23" t="n">
        <x:v>0.6464646464646465</x:v>
      </x:c>
      <x:c r="G15" s="23" t="n">
        <x:v>0.01031411164781602</x:v>
      </x:c>
      <x:c r="H15" s="23" t="n">
        <x:v>0.1648221986992726</x:v>
      </x:c>
      <x:c r="I15" s="24" t="n">
        <x:v>3960</x:v>
      </x:c>
      <x:c r="J15" s="25" t="n">
        <x:v>46230.276212083336</x:v>
      </x:c>
      <x:c r="K15" s="24" t="n">
        <x:v>13231952</x:v>
      </x:c>
      <x:c r="L15" t="str">
        <x:v>c89ec58a501c3ee9d35b4d16a82c2c097120d5210dcc66310d77aa437a3c789b</x:v>
      </x:c>
      <x:c r="M15" t="str">
        <x:v>latest_context_sample_13231952</x:v>
      </x:c>
      <x:c r="N15" t="str">
        <x:v>factor_report/gtja191_batch/gtja_005/ic_summary.csv</x:v>
      </x:c>
    </x:row>
    <x:row r="16">
      <x:c r="A16" t="str">
        <x:v>gtja_005</x:v>
      </x:c>
      <x:c r="B16" s="22" t="n">
        <x:v>5</x:v>
      </x:c>
      <x:c r="C16" s="23" t="n">
        <x:v>0.034656028635606344</x:v>
      </x:c>
      <x:c r="D16" s="23" t="n">
        <x:v>0.06961369820287608</x:v>
      </x:c>
      <x:c r="E16" s="23" t="n">
        <x:v>0.49783346568670783</x:v>
      </x:c>
      <x:c r="F16" s="23" t="n">
        <x:v>0.7002022244691608</x:v>
      </x:c>
      <x:c r="G16" s="23" t="n">
        <x:v>0.016263946009516615</x:v>
      </x:c>
      <x:c r="H16" s="23" t="n">
        <x:v>0.27223725256502196</x:v>
      </x:c>
      <x:c r="I16" s="24" t="n">
        <x:v>3956</x:v>
      </x:c>
      <x:c r="J16" s="25" t="n">
        <x:v>46230.276212083336</x:v>
      </x:c>
      <x:c r="K16" s="24" t="n">
        <x:v>13231952</x:v>
      </x:c>
      <x:c r="L16" t="str">
        <x:v>c89ec58a501c3ee9d35b4d16a82c2c097120d5210dcc66310d77aa437a3c789b</x:v>
      </x:c>
      <x:c r="M16" t="str">
        <x:v>latest_context_sample_13231952</x:v>
      </x:c>
      <x:c r="N16" t="str">
        <x:v>factor_report/gtja191_batch/gtja_005/ic_summary.csv</x:v>
      </x:c>
    </x:row>
    <x:row r="17">
      <x:c r="A17" t="str">
        <x:v>gtja_005</x:v>
      </x:c>
      <x:c r="B17" s="22" t="n">
        <x:v>10</x:v>
      </x:c>
      <x:c r="C17" s="23" t="n">
        <x:v>0.03902523523078319</x:v>
      </x:c>
      <x:c r="D17" s="23" t="n">
        <x:v>0.06908063952007329</x:v>
      </x:c>
      <x:c r="E17" s="23" t="n">
        <x:v>0.5649229002786421</x:v>
      </x:c>
      <x:c r="F17" s="23" t="n">
        <x:v>0.7246266767906859</x:v>
      </x:c>
      <x:c r="G17" s="23" t="n">
        <x:v>0.019479513482653334</x:v>
      </x:c>
      <x:c r="H17" s="23" t="n">
        <x:v>0.3247311660899429</x:v>
      </x:c>
      <x:c r="I17" s="24" t="n">
        <x:v>3951</x:v>
      </x:c>
      <x:c r="J17" s="25" t="n">
        <x:v>46230.276212083336</x:v>
      </x:c>
      <x:c r="K17" s="24" t="n">
        <x:v>13231952</x:v>
      </x:c>
      <x:c r="L17" t="str">
        <x:v>c89ec58a501c3ee9d35b4d16a82c2c097120d5210dcc66310d77aa437a3c789b</x:v>
      </x:c>
      <x:c r="M17" t="str">
        <x:v>latest_context_sample_13231952</x:v>
      </x:c>
      <x:c r="N17" t="str">
        <x:v>factor_report/gtja191_batch/gtja_005/ic_summary.csv</x:v>
      </x:c>
    </x:row>
    <x:row r="18">
      <x:c r="A18" t="str">
        <x:v>gtja_005</x:v>
      </x:c>
      <x:c r="B18" s="22" t="n">
        <x:v>20</x:v>
      </x:c>
      <x:c r="C18" s="23" t="n">
        <x:v>0.044977246040452376</x:v>
      </x:c>
      <x:c r="D18" s="23" t="n">
        <x:v>0.06938478519589097</x:v>
      </x:c>
      <x:c r="E18" s="23" t="n">
        <x:v>0.648229232294517</x:v>
      </x:c>
      <x:c r="F18" s="23" t="n">
        <x:v>0.7493022075615327</x:v>
      </x:c>
      <x:c r="G18" s="23" t="n">
        <x:v>0.02524863564492056</x:v>
      </x:c>
      <x:c r="H18" s="23" t="n">
        <x:v>0.41552734105211925</x:v>
      </x:c>
      <x:c r="I18" s="24" t="n">
        <x:v>3941</x:v>
      </x:c>
      <x:c r="J18" s="25" t="n">
        <x:v>46230.276212083336</x:v>
      </x:c>
      <x:c r="K18" s="24" t="n">
        <x:v>13231952</x:v>
      </x:c>
      <x:c r="L18" t="str">
        <x:v>c89ec58a501c3ee9d35b4d16a82c2c097120d5210dcc66310d77aa437a3c789b</x:v>
      </x:c>
      <x:c r="M18" t="str">
        <x:v>latest_context_sample_13231952</x:v>
      </x:c>
      <x:c r="N18" t="str">
        <x:v>factor_report/gtja191_batch/gtja_005/ic_summary.csv</x:v>
      </x:c>
    </x:row>
    <x:row r="19">
      <x:c r="A19" t="str">
        <x:v>gtja_006</x:v>
      </x:c>
      <x:c r="B19" s="22" t="n">
        <x:v>10</x:v>
      </x:c>
      <x:c r="C19" s="23" t="n">
        <x:v>0.018833424828975622</x:v>
      </x:c>
      <x:c r="D19" s="23" t="n">
        <x:v>0.09707905734149924</x:v>
      </x:c>
      <x:c r="E19" s="23" t="n">
        <x:v>0.19400090343609808</x:v>
      </x:c>
      <x:c r="F19" s="23" t="n">
        <x:v>0.5650426921145153</x:v>
      </x:c>
      <x:c r="G19" s="23" t="n">
        <x:v>0.010112494988395988</x:v>
      </x:c>
      <x:c r="H19" s="23" t="n">
        <x:v>0.1231918244936203</x:v>
      </x:c>
      <x:c r="I19" s="24" t="n">
        <x:v>1991</x:v>
      </x:c>
      <x:c r="J19" s="25" t="n">
        <x:v>46211.17062405092</x:v>
      </x:c>
      <x:c r="K19" s="24" t="n">
        <x:v>8902245</x:v>
      </x:c>
      <x:c r="L19" t="str">
        <x:v>8f7e606554926462248cbcc654181861438ca768a0063f6b317223ede37d16fb</x:v>
      </x:c>
      <x:c r="M19" t="str">
        <x:v>legacy_common_sample_8902245</x:v>
      </x:c>
      <x:c r="N19" t="str">
        <x:v>factor_report/gtja191_batch/gtja_006/ic_summary.csv</x:v>
      </x:c>
    </x:row>
    <x:row r="20">
      <x:c r="A20" t="str">
        <x:v>gtja_006</x:v>
      </x:c>
      <x:c r="B20" s="22" t="n">
        <x:v>20</x:v>
      </x:c>
      <x:c r="C20" s="23" t="n">
        <x:v>0.01986712337058728</x:v>
      </x:c>
      <x:c r="D20" s="23" t="n">
        <x:v>0.09698157815770737</x:v>
      </x:c>
      <x:c r="E20" s="23" t="n">
        <x:v>0.2048546099990268</x:v>
      </x:c>
      <x:c r="F20" s="23" t="n">
        <x:v>0.5729429581019687</x:v>
      </x:c>
      <x:c r="G20" s="23" t="n">
        <x:v>0.010339218866763629</x:v>
      </x:c>
      <x:c r="H20" s="23" t="n">
        <x:v>0.12748499134249558</x:v>
      </x:c>
      <x:c r="I20" s="24" t="n">
        <x:v>1981</x:v>
      </x:c>
      <x:c r="J20" s="25" t="n">
        <x:v>46211.17062405092</x:v>
      </x:c>
      <x:c r="K20" s="24" t="n">
        <x:v>8902245</x:v>
      </x:c>
      <x:c r="L20" t="str">
        <x:v>8f7e606554926462248cbcc654181861438ca768a0063f6b317223ede37d16fb</x:v>
      </x:c>
      <x:c r="M20" t="str">
        <x:v>legacy_common_sample_8902245</x:v>
      </x:c>
      <x:c r="N20" t="str">
        <x:v>factor_report/gtja191_batch/gtja_006/ic_summary.csv</x:v>
      </x:c>
    </x:row>
    <x:row r="21">
      <x:c r="A21" t="str">
        <x:v>gtja_007</x:v>
      </x:c>
      <x:c r="B21" s="22" t="n">
        <x:v>1</x:v>
      </x:c>
      <x:c r="C21" s="23" t="n">
        <x:v>0.015733085135450964</x:v>
      </x:c>
      <x:c r="D21" s="23" t="n">
        <x:v>0.07633627341466157</x:v>
      </x:c>
      <x:c r="E21" s="23" t="n">
        <x:v>0.2061023473072656</x:v>
      </x:c>
      <x:c r="F21" s="23" t="n">
        <x:v>0.5891414141414142</x:v>
      </x:c>
      <x:c r="G21" s="23" t="n">
        <x:v>0.010753519310585187</x:v>
      </x:c>
      <x:c r="H21" s="23" t="n">
        <x:v>0.16374978833310846</x:v>
      </x:c>
      <x:c r="I21" s="24" t="n">
        <x:v>3960</x:v>
      </x:c>
      <x:c r="J21" s="25" t="n">
        <x:v>46230.29278930555</x:v>
      </x:c>
      <x:c r="K21" s="24" t="n">
        <x:v>13231952</x:v>
      </x:c>
      <x:c r="L21" t="str">
        <x:v>c89ec58a501c3ee9d35b4d16a82c2c097120d5210dcc66310d77aa437a3c789b</x:v>
      </x:c>
      <x:c r="M21" t="str">
        <x:v>latest_context_sample_13231952</x:v>
      </x:c>
      <x:c r="N21" t="str">
        <x:v>factor_report/gtja191_batch/gtja_007/ic_summary.csv</x:v>
      </x:c>
    </x:row>
    <x:row r="22">
      <x:c r="A22" t="str">
        <x:v>gtja_007</x:v>
      </x:c>
      <x:c r="B22" s="22" t="n">
        <x:v>5</x:v>
      </x:c>
      <x:c r="C22" s="23" t="n">
        <x:v>0.018668235177516715</x:v>
      </x:c>
      <x:c r="D22" s="23" t="n">
        <x:v>0.0786975329680383</x:v>
      </x:c>
      <x:c r="E22" s="23" t="n">
        <x:v>0.23721499865946888</x:v>
      </x:c>
      <x:c r="F22" s="23" t="n">
        <x:v>0.5950455005055612</x:v>
      </x:c>
      <x:c r="G22" s="23" t="n">
        <x:v>0.01103913495425277</x:v>
      </x:c>
      <x:c r="H22" s="23" t="n">
        <x:v>0.16526774774719274</x:v>
      </x:c>
      <x:c r="I22" s="24" t="n">
        <x:v>3956</x:v>
      </x:c>
      <x:c r="J22" s="25" t="n">
        <x:v>46230.29278930555</x:v>
      </x:c>
      <x:c r="K22" s="24" t="n">
        <x:v>13231952</x:v>
      </x:c>
      <x:c r="L22" t="str">
        <x:v>c89ec58a501c3ee9d35b4d16a82c2c097120d5210dcc66310d77aa437a3c789b</x:v>
      </x:c>
      <x:c r="M22" t="str">
        <x:v>latest_context_sample_13231952</x:v>
      </x:c>
      <x:c r="N22" t="str">
        <x:v>factor_report/gtja191_batch/gtja_007/ic_summary.csv</x:v>
      </x:c>
    </x:row>
    <x:row r="23">
      <x:c r="A23" t="str">
        <x:v>gtja_007</x:v>
      </x:c>
      <x:c r="B23" s="22" t="n">
        <x:v>10</x:v>
      </x:c>
      <x:c r="C23" s="23" t="n">
        <x:v>0.02179431632463765</x:v>
      </x:c>
      <x:c r="D23" s="23" t="n">
        <x:v>0.08047998351579305</x:v>
      </x:c>
      <x:c r="E23" s="23" t="n">
        <x:v>0.2708041847493772</x:v>
      </x:c>
      <x:c r="F23" s="23" t="n">
        <x:v>0.6125031637560111</x:v>
      </x:c>
      <x:c r="G23" s="23" t="n">
        <x:v>0.011996509866240922</x:v>
      </x:c>
      <x:c r="H23" s="23" t="n">
        <x:v>0.17434296544628516</x:v>
      </x:c>
      <x:c r="I23" s="24" t="n">
        <x:v>3951</x:v>
      </x:c>
      <x:c r="J23" s="25" t="n">
        <x:v>46230.29278930555</x:v>
      </x:c>
      <x:c r="K23" s="24" t="n">
        <x:v>13231952</x:v>
      </x:c>
      <x:c r="L23" t="str">
        <x:v>c89ec58a501c3ee9d35b4d16a82c2c097120d5210dcc66310d77aa437a3c789b</x:v>
      </x:c>
      <x:c r="M23" t="str">
        <x:v>latest_context_sample_13231952</x:v>
      </x:c>
      <x:c r="N23" t="str">
        <x:v>factor_report/gtja191_batch/gtja_007/ic_summary.csv</x:v>
      </x:c>
    </x:row>
    <x:row r="24">
      <x:c r="A24" t="str">
        <x:v>gtja_007</x:v>
      </x:c>
      <x:c r="B24" s="22" t="n">
        <x:v>20</x:v>
      </x:c>
      <x:c r="C24" s="23" t="n">
        <x:v>0.02673646735981392</x:v>
      </x:c>
      <x:c r="D24" s="23" t="n">
        <x:v>0.0822379384928654</x:v>
      </x:c>
      <x:c r="E24" s="23" t="n">
        <x:v>0.325111108690224</x:v>
      </x:c>
      <x:c r="F24" s="23" t="n">
        <x:v>0.6358792184724689</x:v>
      </x:c>
      <x:c r="G24" s="23" t="n">
        <x:v>0.015541424533850986</x:v>
      </x:c>
      <x:c r="H24" s="23" t="n">
        <x:v>0.21939179344048648</x:v>
      </x:c>
      <x:c r="I24" s="24" t="n">
        <x:v>3941</x:v>
      </x:c>
      <x:c r="J24" s="25" t="n">
        <x:v>46230.29278930555</x:v>
      </x:c>
      <x:c r="K24" s="24" t="n">
        <x:v>13231952</x:v>
      </x:c>
      <x:c r="L24" t="str">
        <x:v>c89ec58a501c3ee9d35b4d16a82c2c097120d5210dcc66310d77aa437a3c789b</x:v>
      </x:c>
      <x:c r="M24" t="str">
        <x:v>latest_context_sample_13231952</x:v>
      </x:c>
      <x:c r="N24" t="str">
        <x:v>factor_report/gtja191_batch/gtja_007/ic_summary.csv</x:v>
      </x:c>
    </x:row>
    <x:row r="25">
      <x:c r="A25" t="str">
        <x:v>gtja_008</x:v>
      </x:c>
      <x:c r="B25" s="22" t="n">
        <x:v>10</x:v>
      </x:c>
      <x:c r="C25" s="23" t="n">
        <x:v>0.029069252476887388</x:v>
      </x:c>
      <x:c r="D25" s="23" t="n">
        <x:v>0.12645840561009833</x:v>
      </x:c>
      <x:c r="E25" s="23" t="n">
        <x:v>0.22987204635898134</x:v>
      </x:c>
      <x:c r="F25" s="23" t="n">
        <x:v>0.5826217980914113</x:v>
      </x:c>
      <x:c r="G25" s="23" t="n">
        <x:v>0.017447066894081962</x:v>
      </x:c>
      <x:c r="H25" s="23" t="n">
        <x:v>0.16279541580146986</x:v>
      </x:c>
      <x:c r="I25" s="24" t="n">
        <x:v>1991</x:v>
      </x:c>
      <x:c r="J25" s="25" t="n">
        <x:v>46211.178455532405</x:v>
      </x:c>
      <x:c r="K25" s="24" t="n">
        <x:v>8902245</x:v>
      </x:c>
      <x:c r="L25" t="str">
        <x:v>8f7e606554926462248cbcc654181861438ca768a0063f6b317223ede37d16fb</x:v>
      </x:c>
      <x:c r="M25" t="str">
        <x:v>legacy_common_sample_8902245</x:v>
      </x:c>
      <x:c r="N25" t="str">
        <x:v>factor_report/gtja191_batch/gtja_008/ic_summary.csv</x:v>
      </x:c>
    </x:row>
    <x:row r="26">
      <x:c r="A26" t="str">
        <x:v>gtja_008</x:v>
      </x:c>
      <x:c r="B26" s="22" t="n">
        <x:v>20</x:v>
      </x:c>
      <x:c r="C26" s="23" t="n">
        <x:v>0.03263710560902991</x:v>
      </x:c>
      <x:c r="D26" s="23" t="n">
        <x:v>0.12327443811446455</x:v>
      </x:c>
      <x:c r="E26" s="23" t="n">
        <x:v>0.26475160713144147</x:v>
      </x:c>
      <x:c r="F26" s="23" t="n">
        <x:v>0.6042402826855123</x:v>
      </x:c>
      <x:c r="G26" s="23" t="n">
        <x:v>0.019918612692904212</x:v>
      </x:c>
      <x:c r="H26" s="23" t="n">
        <x:v>0.18943927461031446</x:v>
      </x:c>
      <x:c r="I26" s="24" t="n">
        <x:v>1981</x:v>
      </x:c>
      <x:c r="J26" s="25" t="n">
        <x:v>46211.178455532405</x:v>
      </x:c>
      <x:c r="K26" s="24" t="n">
        <x:v>8902245</x:v>
      </x:c>
      <x:c r="L26" t="str">
        <x:v>8f7e606554926462248cbcc654181861438ca768a0063f6b317223ede37d16fb</x:v>
      </x:c>
      <x:c r="M26" t="str">
        <x:v>legacy_common_sample_8902245</x:v>
      </x:c>
      <x:c r="N26" t="str">
        <x:v>factor_report/gtja191_batch/gtja_008/ic_summary.csv</x:v>
      </x:c>
    </x:row>
    <x:row r="27">
      <x:c r="A27" t="str">
        <x:v>gtja_009</x:v>
      </x:c>
      <x:c r="B27" s="22" t="n">
        <x:v>1</x:v>
      </x:c>
      <x:c r="C27" s="23" t="n">
        <x:v>-0.02543813541677694</x:v>
      </x:c>
      <x:c r="D27" s="23" t="n">
        <x:v>0.1306003261465541</x:v>
      </x:c>
      <x:c r="E27" s="23" t="n">
        <x:v>-0.19477849839541253</x:v>
      </x:c>
      <x:c r="F27" s="23" t="n">
        <x:v>0.413</x:v>
      </x:c>
      <x:c r="G27" s="23" t="n">
        <x:v>-0.002157424985716859</x:v>
      </x:c>
      <x:c r="H27" s="23" t="n">
        <x:v>-0.06918174053656942</x:v>
      </x:c>
      <x:c r="I27" s="24" t="n">
        <x:v>2000</x:v>
      </x:c>
      <x:c r="J27" s="25" t="n">
        <x:v>46210.14960534722</x:v>
      </x:c>
      <x:c r="K27" s="24" t="n">
        <x:v>8902245</x:v>
      </x:c>
      <x:c r="L27" t="str">
        <x:v>40355b29bce094aef0e99358bdfd4011b92e72a54440a67760de4afae4883c33</x:v>
      </x:c>
      <x:c r="M27" t="str">
        <x:v>legacy_common_sample_8902245</x:v>
      </x:c>
      <x:c r="N27" t="str">
        <x:v>factor_report/gtja191_batch/gtja_009/ic_summary.csv</x:v>
      </x:c>
    </x:row>
    <x:row r="28">
      <x:c r="A28" t="str">
        <x:v>gtja_009</x:v>
      </x:c>
      <x:c r="B28" s="22" t="n">
        <x:v>5</x:v>
      </x:c>
      <x:c r="C28" s="23" t="n">
        <x:v>-0.025800912829572056</x:v>
      </x:c>
      <x:c r="D28" s="23" t="n">
        <x:v>0.12393879565729134</x:v>
      </x:c>
      <x:c r="E28" s="23" t="n">
        <x:v>-0.20817462920097518</x:v>
      </x:c>
      <x:c r="F28" s="23" t="n">
        <x:v>0.4183366733466934</x:v>
      </x:c>
      <x:c r="G28" s="23" t="n">
        <x:v>-0.0033288101870322154</x:v>
      </x:c>
      <x:c r="H28" s="23" t="n">
        <x:v>-0.11225047364297346</x:v>
      </x:c>
      <x:c r="I28" s="24" t="n">
        <x:v>1996</x:v>
      </x:c>
      <x:c r="J28" s="25" t="n">
        <x:v>46210.14960534722</x:v>
      </x:c>
      <x:c r="K28" s="24" t="n">
        <x:v>8902245</x:v>
      </x:c>
      <x:c r="L28" t="str">
        <x:v>40355b29bce094aef0e99358bdfd4011b92e72a54440a67760de4afae4883c33</x:v>
      </x:c>
      <x:c r="M28" t="str">
        <x:v>legacy_common_sample_8902245</x:v>
      </x:c>
      <x:c r="N28" t="str">
        <x:v>factor_report/gtja191_batch/gtja_009/ic_summary.csv</x:v>
      </x:c>
    </x:row>
    <x:row r="29">
      <x:c r="A29" t="str">
        <x:v>gtja_009</x:v>
      </x:c>
      <x:c r="B29" s="22" t="n">
        <x:v>10</x:v>
      </x:c>
      <x:c r="C29" s="23" t="n">
        <x:v>-0.02588146976534059</x:v>
      </x:c>
      <x:c r="D29" s="23" t="n">
        <x:v>0.11920432556369577</x:v>
      </x:c>
      <x:c r="E29" s="23" t="n">
        <x:v>-0.2171185453459997</x:v>
      </x:c>
      <x:c r="F29" s="23" t="n">
        <x:v>0.4103465595178302</x:v>
      </x:c>
      <x:c r="G29" s="23" t="n">
        <x:v>-0.0031255883410262536</x:v>
      </x:c>
      <x:c r="H29" s="23" t="n">
        <x:v>-0.10930393047797234</x:v>
      </x:c>
      <x:c r="I29" s="24" t="n">
        <x:v>1991</x:v>
      </x:c>
      <x:c r="J29" s="25" t="n">
        <x:v>46210.14960534722</x:v>
      </x:c>
      <x:c r="K29" s="24" t="n">
        <x:v>8902245</x:v>
      </x:c>
      <x:c r="L29" t="str">
        <x:v>40355b29bce094aef0e99358bdfd4011b92e72a54440a67760de4afae4883c33</x:v>
      </x:c>
      <x:c r="M29" t="str">
        <x:v>legacy_common_sample_8902245</x:v>
      </x:c>
      <x:c r="N29" t="str">
        <x:v>factor_report/gtja191_batch/gtja_009/ic_summary.csv</x:v>
      </x:c>
    </x:row>
    <x:row r="30">
      <x:c r="A30" t="str">
        <x:v>gtja_009</x:v>
      </x:c>
      <x:c r="B30" s="22" t="n">
        <x:v>20</x:v>
      </x:c>
      <x:c r="C30" s="23" t="n">
        <x:v>-0.028851328465264607</x:v>
      </x:c>
      <x:c r="D30" s="23" t="n">
        <x:v>0.11627261584534039</x:v>
      </x:c>
      <x:c r="E30" s="23" t="n">
        <x:v>-0.2481351972302842</x:v>
      </x:c>
      <x:c r="F30" s="23" t="n">
        <x:v>0.4114083796062595</x:v>
      </x:c>
      <x:c r="G30" s="23" t="n">
        <x:v>-0.0019885858030805103</x:v>
      </x:c>
      <x:c r="H30" s="23" t="n">
        <x:v>-0.07035184354302254</x:v>
      </x:c>
      <x:c r="I30" s="24" t="n">
        <x:v>1981</x:v>
      </x:c>
      <x:c r="J30" s="25" t="n">
        <x:v>46210.14960534722</x:v>
      </x:c>
      <x:c r="K30" s="24" t="n">
        <x:v>8902245</x:v>
      </x:c>
      <x:c r="L30" t="str">
        <x:v>40355b29bce094aef0e99358bdfd4011b92e72a54440a67760de4afae4883c33</x:v>
      </x:c>
      <x:c r="M30" t="str">
        <x:v>legacy_common_sample_8902245</x:v>
      </x:c>
      <x:c r="N30" t="str">
        <x:v>factor_report/gtja191_batch/gtja_009/ic_summary.csv</x:v>
      </x:c>
    </x:row>
    <x:row r="31">
      <x:c r="A31" t="str">
        <x:v>gtja_010</x:v>
      </x:c>
      <x:c r="B31" s="22" t="n">
        <x:v>1</x:v>
      </x:c>
      <x:c r="C31" s="23" t="n">
        <x:v>-0.02171232407919523</x:v>
      </x:c>
      <x:c r="D31" s="23" t="n">
        <x:v>0.16111767438633043</x:v>
      </x:c>
      <x:c r="E31" s="23" t="n">
        <x:v>-0.13476065963522466</x:v>
      </x:c>
      <x:c r="F31" s="23" t="n">
        <x:v>0.453</x:v>
      </x:c>
      <x:c r="G31" s="23" t="n">
        <x:v>-0.007762503183969773</x:v>
      </x:c>
      <x:c r="H31" s="23" t="n">
        <x:v>-0.057437822245005495</x:v>
      </x:c>
      <x:c r="I31" s="24" t="n">
        <x:v>2000</x:v>
      </x:c>
      <x:c r="J31" s="25" t="n">
        <x:v>46210.15392069444</x:v>
      </x:c>
      <x:c r="K31" s="24" t="n">
        <x:v>8902245</x:v>
      </x:c>
      <x:c r="L31" t="str">
        <x:v>40355b29bce094aef0e99358bdfd4011b92e72a54440a67760de4afae4883c33</x:v>
      </x:c>
      <x:c r="M31" t="str">
        <x:v>legacy_common_sample_8902245</x:v>
      </x:c>
      <x:c r="N31" t="str">
        <x:v>factor_report/gtja191_batch/gtja_010/ic_summary.csv</x:v>
      </x:c>
    </x:row>
    <x:row r="32">
      <x:c r="A32" t="str">
        <x:v>gtja_010</x:v>
      </x:c>
      <x:c r="B32" s="22" t="n">
        <x:v>5</x:v>
      </x:c>
      <x:c r="C32" s="23" t="n">
        <x:v>-0.03356127152475525</x:v>
      </x:c>
      <x:c r="D32" s="23" t="n">
        <x:v>0.16836870154616476</x:v>
      </x:c>
      <x:c r="E32" s="23" t="n">
        <x:v>-0.1993320089574554</x:v>
      </x:c>
      <x:c r="F32" s="23" t="n">
        <x:v>0.45691382765531063</x:v>
      </x:c>
      <x:c r="G32" s="23" t="n">
        <x:v>-0.01803198546523343</x:v>
      </x:c>
      <x:c r="H32" s="23" t="n">
        <x:v>-0.1277811847022002</x:v>
      </x:c>
      <x:c r="I32" s="24" t="n">
        <x:v>1996</x:v>
      </x:c>
      <x:c r="J32" s="25" t="n">
        <x:v>46210.15392069444</x:v>
      </x:c>
      <x:c r="K32" s="24" t="n">
        <x:v>8902245</x:v>
      </x:c>
      <x:c r="L32" t="str">
        <x:v>40355b29bce094aef0e99358bdfd4011b92e72a54440a67760de4afae4883c33</x:v>
      </x:c>
      <x:c r="M32" t="str">
        <x:v>legacy_common_sample_8902245</x:v>
      </x:c>
      <x:c r="N32" t="str">
        <x:v>factor_report/gtja191_batch/gtja_010/ic_summary.csv</x:v>
      </x:c>
    </x:row>
    <x:row r="33">
      <x:c r="A33" t="str">
        <x:v>gtja_010</x:v>
      </x:c>
      <x:c r="B33" s="22" t="n">
        <x:v>10</x:v>
      </x:c>
      <x:c r="C33" s="23" t="n">
        <x:v>-0.043108207262912986</x:v>
      </x:c>
      <x:c r="D33" s="23" t="n">
        <x:v>0.1762684657157494</x:v>
      </x:c>
      <x:c r="E33" s="23" t="n">
        <x:v>-0.2445599505723803</x:v>
      </x:c>
      <x:c r="F33" s="23" t="n">
        <x:v>0.43194374686087394</x:v>
      </x:c>
      <x:c r="G33" s="23" t="n">
        <x:v>-0.02479708182577304</x:v>
      </x:c>
      <x:c r="H33" s="23" t="n">
        <x:v>-0.16565603284888863</x:v>
      </x:c>
      <x:c r="I33" s="24" t="n">
        <x:v>1991</x:v>
      </x:c>
      <x:c r="J33" s="25" t="n">
        <x:v>46210.15392069444</x:v>
      </x:c>
      <x:c r="K33" s="24" t="n">
        <x:v>8902245</x:v>
      </x:c>
      <x:c r="L33" t="str">
        <x:v>40355b29bce094aef0e99358bdfd4011b92e72a54440a67760de4afae4883c33</x:v>
      </x:c>
      <x:c r="M33" t="str">
        <x:v>legacy_common_sample_8902245</x:v>
      </x:c>
      <x:c r="N33" t="str">
        <x:v>factor_report/gtja191_batch/gtja_010/ic_summary.csv</x:v>
      </x:c>
    </x:row>
    <x:row r="34">
      <x:c r="A34" t="str">
        <x:v>gtja_010</x:v>
      </x:c>
      <x:c r="B34" s="22" t="n">
        <x:v>20</x:v>
      </x:c>
      <x:c r="C34" s="23" t="n">
        <x:v>-0.05555365300187116</x:v>
      </x:c>
      <x:c r="D34" s="23" t="n">
        <x:v>0.17946750622297528</x:v>
      </x:c>
      <x:c r="E34" s="23" t="n">
        <x:v>-0.309547138482271</x:v>
      </x:c>
      <x:c r="F34" s="23" t="n">
        <x:v>0.4093891973750631</x:v>
      </x:c>
      <x:c r="G34" s="23" t="n">
        <x:v>-0.03445431950815748</x:v>
      </x:c>
      <x:c r="H34" s="23" t="n">
        <x:v>-0.22193351418231363</x:v>
      </x:c>
      <x:c r="I34" s="24" t="n">
        <x:v>1981</x:v>
      </x:c>
      <x:c r="J34" s="25" t="n">
        <x:v>46210.15392069444</x:v>
      </x:c>
      <x:c r="K34" s="24" t="n">
        <x:v>8902245</x:v>
      </x:c>
      <x:c r="L34" t="str">
        <x:v>40355b29bce094aef0e99358bdfd4011b92e72a54440a67760de4afae4883c33</x:v>
      </x:c>
      <x:c r="M34" t="str">
        <x:v>legacy_common_sample_8902245</x:v>
      </x:c>
      <x:c r="N34" t="str">
        <x:v>factor_report/gtja191_batch/gtja_010/ic_summary.csv</x:v>
      </x:c>
    </x:row>
    <x:row r="35">
      <x:c r="A35" t="str">
        <x:v>gtja_011</x:v>
      </x:c>
      <x:c r="B35" s="22" t="n">
        <x:v>10</x:v>
      </x:c>
      <x:c r="C35" s="23" t="n">
        <x:v>-0.012854348658762733</x:v>
      </x:c>
      <x:c r="D35" s="23" t="n">
        <x:v>0.09087879715790441</x:v>
      </x:c>
      <x:c r="E35" s="23" t="n">
        <x:v>-0.14144496913210625</x:v>
      </x:c>
      <x:c r="F35" s="23" t="n">
        <x:v>0.4434957307885485</x:v>
      </x:c>
      <x:c r="G35" s="23" t="n">
        <x:v>-0.009310346728468574</x:v>
      </x:c>
      <x:c r="H35" s="23" t="n">
        <x:v>-0.1668660759356962</x:v>
      </x:c>
      <x:c r="I35" s="24" t="n">
        <x:v>1991</x:v>
      </x:c>
      <x:c r="J35" s="25" t="n">
        <x:v>46211.181871574074</x:v>
      </x:c>
      <x:c r="K35" s="24" t="n">
        <x:v>8902245</x:v>
      </x:c>
      <x:c r="L35" t="str">
        <x:v>8f7e606554926462248cbcc654181861438ca768a0063f6b317223ede37d16fb</x:v>
      </x:c>
      <x:c r="M35" t="str">
        <x:v>legacy_common_sample_8902245</x:v>
      </x:c>
      <x:c r="N35" t="str">
        <x:v>factor_report/gtja191_batch/gtja_011/ic_summary.csv</x:v>
      </x:c>
    </x:row>
    <x:row r="36">
      <x:c r="A36" t="str">
        <x:v>gtja_011</x:v>
      </x:c>
      <x:c r="B36" s="22" t="n">
        <x:v>20</x:v>
      </x:c>
      <x:c r="C36" s="23" t="n">
        <x:v>-0.01376007623230903</x:v>
      </x:c>
      <x:c r="D36" s="23" t="n">
        <x:v>0.09070935946200924</x:v>
      </x:c>
      <x:c r="E36" s="23" t="n">
        <x:v>-0.15169411749701533</x:v>
      </x:c>
      <x:c r="F36" s="23" t="n">
        <x:v>0.4634023220595659</x:v>
      </x:c>
      <x:c r="G36" s="23" t="n">
        <x:v>-0.010507955202081587</x:v>
      </x:c>
      <x:c r="H36" s="23" t="n">
        <x:v>-0.19603025381290837</x:v>
      </x:c>
      <x:c r="I36" s="24" t="n">
        <x:v>1981</x:v>
      </x:c>
      <x:c r="J36" s="25" t="n">
        <x:v>46211.181871574074</x:v>
      </x:c>
      <x:c r="K36" s="24" t="n">
        <x:v>8902245</x:v>
      </x:c>
      <x:c r="L36" t="str">
        <x:v>8f7e606554926462248cbcc654181861438ca768a0063f6b317223ede37d16fb</x:v>
      </x:c>
      <x:c r="M36" t="str">
        <x:v>legacy_common_sample_8902245</x:v>
      </x:c>
      <x:c r="N36" t="str">
        <x:v>factor_report/gtja191_batch/gtja_011/ic_summary.csv</x:v>
      </x:c>
    </x:row>
    <x:row r="37">
      <x:c r="A37" t="str">
        <x:v>gtja_012</x:v>
      </x:c>
      <x:c r="B37" s="22" t="n">
        <x:v>1</x:v>
      </x:c>
      <x:c r="C37" s="23" t="n">
        <x:v>0.028202410278958145</x:v>
      </x:c>
      <x:c r="D37" s="23" t="n">
        <x:v>0.11274159859213079</x:v>
      </x:c>
      <x:c r="E37" s="23" t="n">
        <x:v>0.25015088158353144</x:v>
      </x:c>
      <x:c r="F37" s="23" t="n">
        <x:v>0.6111111111111112</x:v>
      </x:c>
      <x:c r="G37" s="23" t="n">
        <x:v>0.01671238268572639</x:v>
      </x:c>
      <x:c r="H37" s="23" t="n">
        <x:v>0.15139698813296756</x:v>
      </x:c>
      <x:c r="I37" s="24" t="n">
        <x:v>3960</x:v>
      </x:c>
      <x:c r="J37" s="25" t="n">
        <x:v>46230.30990840278</x:v>
      </x:c>
      <x:c r="K37" s="24" t="n">
        <x:v>13231952</x:v>
      </x:c>
      <x:c r="L37" t="str">
        <x:v>c89ec58a501c3ee9d35b4d16a82c2c097120d5210dcc66310d77aa437a3c789b</x:v>
      </x:c>
      <x:c r="M37" t="str">
        <x:v>latest_context_sample_13231952</x:v>
      </x:c>
      <x:c r="N37" t="str">
        <x:v>factor_report/gtja191_batch/gtja_012/ic_summary.csv</x:v>
      </x:c>
    </x:row>
    <x:row r="38">
      <x:c r="A38" t="str">
        <x:v>gtja_012</x:v>
      </x:c>
      <x:c r="B38" s="22" t="n">
        <x:v>5</x:v>
      </x:c>
      <x:c r="C38" s="23" t="n">
        <x:v>0.030794620141745433</x:v>
      </x:c>
      <x:c r="D38" s="23" t="n">
        <x:v>0.10657495608696659</x:v>
      </x:c>
      <x:c r="E38" s="23" t="n">
        <x:v>0.28894799746965516</x:v>
      </x:c>
      <x:c r="F38" s="23" t="n">
        <x:v>0.6233569261880687</x:v>
      </x:c>
      <x:c r="G38" s="23" t="n">
        <x:v>0.027552813965217953</x:v>
      </x:c>
      <x:c r="H38" s="23" t="n">
        <x:v>0.2660573939943001</x:v>
      </x:c>
      <x:c r="I38" s="24" t="n">
        <x:v>3956</x:v>
      </x:c>
      <x:c r="J38" s="25" t="n">
        <x:v>46230.30990840278</x:v>
      </x:c>
      <x:c r="K38" s="24" t="n">
        <x:v>13231952</x:v>
      </x:c>
      <x:c r="L38" t="str">
        <x:v>c89ec58a501c3ee9d35b4d16a82c2c097120d5210dcc66310d77aa437a3c789b</x:v>
      </x:c>
      <x:c r="M38" t="str">
        <x:v>latest_context_sample_13231952</x:v>
      </x:c>
      <x:c r="N38" t="str">
        <x:v>factor_report/gtja191_batch/gtja_012/ic_summary.csv</x:v>
      </x:c>
    </x:row>
    <x:row r="39">
      <x:c r="A39" t="str">
        <x:v>gtja_012</x:v>
      </x:c>
      <x:c r="B39" s="22" t="n">
        <x:v>10</x:v>
      </x:c>
      <x:c r="C39" s="23" t="n">
        <x:v>0.031925398033713505</x:v>
      </x:c>
      <x:c r="D39" s="23" t="n">
        <x:v>0.10539465741221862</x:v>
      </x:c>
      <x:c r="E39" s="23" t="n">
        <x:v>0.3029128688074499</x:v>
      </x:c>
      <x:c r="F39" s="23" t="n">
        <x:v>0.6289546950139205</x:v>
      </x:c>
      <x:c r="G39" s="23" t="n">
        <x:v>0.03179679296874331</x:v>
      </x:c>
      <x:c r="H39" s="23" t="n">
        <x:v>0.30913731709488396</x:v>
      </x:c>
      <x:c r="I39" s="24" t="n">
        <x:v>3951</x:v>
      </x:c>
      <x:c r="J39" s="25" t="n">
        <x:v>46230.30990840278</x:v>
      </x:c>
      <x:c r="K39" s="24" t="n">
        <x:v>13231952</x:v>
      </x:c>
      <x:c r="L39" t="str">
        <x:v>c89ec58a501c3ee9d35b4d16a82c2c097120d5210dcc66310d77aa437a3c789b</x:v>
      </x:c>
      <x:c r="M39" t="str">
        <x:v>latest_context_sample_13231952</x:v>
      </x:c>
      <x:c r="N39" t="str">
        <x:v>factor_report/gtja191_batch/gtja_012/ic_summary.csv</x:v>
      </x:c>
    </x:row>
    <x:row r="40">
      <x:c r="A40" t="str">
        <x:v>gtja_012</x:v>
      </x:c>
      <x:c r="B40" s="22" t="n">
        <x:v>20</x:v>
      </x:c>
      <x:c r="C40" s="23" t="n">
        <x:v>0.03989492696853495</x:v>
      </x:c>
      <x:c r="D40" s="23" t="n">
        <x:v>0.10692194657752863</x:v>
      </x:c>
      <x:c r="E40" s="23" t="n">
        <x:v>0.37312196649550633</x:v>
      </x:c>
      <x:c r="F40" s="23" t="n">
        <x:v>0.6612534889621924</x:v>
      </x:c>
      <x:c r="G40" s="23" t="n">
        <x:v>0.04032097588427797</x:v>
      </x:c>
      <x:c r="H40" s="23" t="n">
        <x:v>0.38028503374392936</x:v>
      </x:c>
      <x:c r="I40" s="24" t="n">
        <x:v>3941</x:v>
      </x:c>
      <x:c r="J40" s="25" t="n">
        <x:v>46230.30990840278</x:v>
      </x:c>
      <x:c r="K40" s="24" t="n">
        <x:v>13231952</x:v>
      </x:c>
      <x:c r="L40" t="str">
        <x:v>c89ec58a501c3ee9d35b4d16a82c2c097120d5210dcc66310d77aa437a3c789b</x:v>
      </x:c>
      <x:c r="M40" t="str">
        <x:v>latest_context_sample_13231952</x:v>
      </x:c>
      <x:c r="N40" t="str">
        <x:v>factor_report/gtja191_batch/gtja_012/ic_summary.csv</x:v>
      </x:c>
    </x:row>
    <x:row r="41">
      <x:c r="A41" t="str">
        <x:v>gtja_013</x:v>
      </x:c>
      <x:c r="B41" s="22" t="n">
        <x:v>10</x:v>
      </x:c>
      <x:c r="C41" s="23" t="n">
        <x:v>0.011452862954066247</x:v>
      </x:c>
      <x:c r="D41" s="23" t="n">
        <x:v>0.12270115444722708</x:v>
      </x:c>
      <x:c r="E41" s="23" t="n">
        <x:v>0.0933394881707657</x:v>
      </x:c>
      <x:c r="F41" s="23" t="n">
        <x:v>0.5278754394776495</x:v>
      </x:c>
      <x:c r="G41" s="23" t="n">
        <x:v>0.012895920867057003</x:v>
      </x:c>
      <x:c r="H41" s="23" t="n">
        <x:v>0.17191546939237792</x:v>
      </x:c>
      <x:c r="I41" s="24" t="n">
        <x:v>1991</x:v>
      </x:c>
      <x:c r="J41" s="25" t="n">
        <x:v>46211.18888071759</x:v>
      </x:c>
      <x:c r="K41" s="24" t="n">
        <x:v>8902245</x:v>
      </x:c>
      <x:c r="L41" t="str">
        <x:v>8f7e606554926462248cbcc654181861438ca768a0063f6b317223ede37d16fb</x:v>
      </x:c>
      <x:c r="M41" t="str">
        <x:v>legacy_common_sample_8902245</x:v>
      </x:c>
      <x:c r="N41" t="str">
        <x:v>factor_report/gtja191_batch/gtja_013/ic_summary.csv</x:v>
      </x:c>
    </x:row>
    <x:row r="42">
      <x:c r="A42" t="str">
        <x:v>gtja_013</x:v>
      </x:c>
      <x:c r="B42" s="22" t="n">
        <x:v>20</x:v>
      </x:c>
      <x:c r="C42" s="23" t="n">
        <x:v>0.014255707603008797</x:v>
      </x:c>
      <x:c r="D42" s="23" t="n">
        <x:v>0.12062850055087566</x:v>
      </x:c>
      <x:c r="E42" s="23" t="n">
        <x:v>0.11817860238589621</x:v>
      </x:c>
      <x:c r="F42" s="23" t="n">
        <x:v>0.5456839979808178</x:v>
      </x:c>
      <x:c r="G42" s="23" t="n">
        <x:v>0.013562357271635565</x:v>
      </x:c>
      <x:c r="H42" s="23" t="n">
        <x:v>0.17962608473496924</x:v>
      </x:c>
      <x:c r="I42" s="24" t="n">
        <x:v>1981</x:v>
      </x:c>
      <x:c r="J42" s="25" t="n">
        <x:v>46211.18888071759</x:v>
      </x:c>
      <x:c r="K42" s="24" t="n">
        <x:v>8902245</x:v>
      </x:c>
      <x:c r="L42" t="str">
        <x:v>8f7e606554926462248cbcc654181861438ca768a0063f6b317223ede37d16fb</x:v>
      </x:c>
      <x:c r="M42" t="str">
        <x:v>legacy_common_sample_8902245</x:v>
      </x:c>
      <x:c r="N42" t="str">
        <x:v>factor_report/gtja191_batch/gtja_013/ic_summary.csv</x:v>
      </x:c>
    </x:row>
    <x:row r="43">
      <x:c r="A43" t="str">
        <x:v>gtja_014</x:v>
      </x:c>
      <x:c r="B43" s="22" t="n">
        <x:v>1</x:v>
      </x:c>
      <x:c r="C43" s="23" t="n">
        <x:v>-0.02842733048255993</x:v>
      </x:c>
      <x:c r="D43" s="23" t="n">
        <x:v>0.14180221028418635</x:v>
      </x:c>
      <x:c r="E43" s="23" t="n">
        <x:v>-0.20047170227874875</x:v>
      </x:c>
      <x:c r="F43" s="23" t="n">
        <x:v>0.419</x:v>
      </x:c>
      <x:c r="G43" s="23" t="n">
        <x:v>-0.01086840287588391</x:v>
      </x:c>
      <x:c r="H43" s="23" t="n">
        <x:v>-0.12322581652042211</x:v>
      </x:c>
      <x:c r="I43" s="24" t="n">
        <x:v>2000</x:v>
      </x:c>
      <x:c r="J43" s="25" t="n">
        <x:v>46210.170149652775</x:v>
      </x:c>
      <x:c r="K43" s="24" t="n">
        <x:v>8902245</x:v>
      </x:c>
      <x:c r="L43" t="str">
        <x:v>40355b29bce094aef0e99358bdfd4011b92e72a54440a67760de4afae4883c33</x:v>
      </x:c>
      <x:c r="M43" t="str">
        <x:v>legacy_common_sample_8902245</x:v>
      </x:c>
      <x:c r="N43" t="str">
        <x:v>factor_report/gtja191_batch/gtja_014/ic_summary.csv</x:v>
      </x:c>
    </x:row>
    <x:row r="44">
      <x:c r="A44" t="str">
        <x:v>gtja_014</x:v>
      </x:c>
      <x:c r="B44" s="22" t="n">
        <x:v>5</x:v>
      </x:c>
      <x:c r="C44" s="23" t="n">
        <x:v>-0.03020372752716671</x:v>
      </x:c>
      <x:c r="D44" s="23" t="n">
        <x:v>0.1337635891401238</x:v>
      </x:c>
      <x:c r="E44" s="23" t="n">
        <x:v>-0.22579932043784243</x:v>
      </x:c>
      <x:c r="F44" s="23" t="n">
        <x:v>0.41282565130260523</x:v>
      </x:c>
      <x:c r="G44" s="23" t="n">
        <x:v>-0.016049956838129383</x:v>
      </x:c>
      <x:c r="H44" s="23" t="n">
        <x:v>-0.19419400653776792</x:v>
      </x:c>
      <x:c r="I44" s="24" t="n">
        <x:v>1996</x:v>
      </x:c>
      <x:c r="J44" s="25" t="n">
        <x:v>46210.170149652775</x:v>
      </x:c>
      <x:c r="K44" s="24" t="n">
        <x:v>8902245</x:v>
      </x:c>
      <x:c r="L44" t="str">
        <x:v>40355b29bce094aef0e99358bdfd4011b92e72a54440a67760de4afae4883c33</x:v>
      </x:c>
      <x:c r="M44" t="str">
        <x:v>legacy_common_sample_8902245</x:v>
      </x:c>
      <x:c r="N44" t="str">
        <x:v>factor_report/gtja191_batch/gtja_014/ic_summary.csv</x:v>
      </x:c>
    </x:row>
    <x:row r="45">
      <x:c r="A45" t="str">
        <x:v>gtja_014</x:v>
      </x:c>
      <x:c r="B45" s="22" t="n">
        <x:v>10</x:v>
      </x:c>
      <x:c r="C45" s="23" t="n">
        <x:v>-0.03142291890680758</x:v>
      </x:c>
      <x:c r="D45" s="23" t="n">
        <x:v>0.12734572528294255</x:v>
      </x:c>
      <x:c r="E45" s="23" t="n">
        <x:v>-0.24675283632010972</x:v>
      </x:c>
      <x:c r="F45" s="23" t="n">
        <x:v>0.41838272225012557</x:v>
      </x:c>
      <x:c r="G45" s="23" t="n">
        <x:v>-0.017759678154142988</x:v>
      </x:c>
      <x:c r="H45" s="23" t="n">
        <x:v>-0.2272579460873305</x:v>
      </x:c>
      <x:c r="I45" s="24" t="n">
        <x:v>1991</x:v>
      </x:c>
      <x:c r="J45" s="25" t="n">
        <x:v>46210.170149652775</x:v>
      </x:c>
      <x:c r="K45" s="24" t="n">
        <x:v>8902245</x:v>
      </x:c>
      <x:c r="L45" t="str">
        <x:v>40355b29bce094aef0e99358bdfd4011b92e72a54440a67760de4afae4883c33</x:v>
      </x:c>
      <x:c r="M45" t="str">
        <x:v>legacy_common_sample_8902245</x:v>
      </x:c>
      <x:c r="N45" t="str">
        <x:v>factor_report/gtja191_batch/gtja_014/ic_summary.csv</x:v>
      </x:c>
    </x:row>
    <x:row r="46">
      <x:c r="A46" t="str">
        <x:v>gtja_014</x:v>
      </x:c>
      <x:c r="B46" s="22" t="n">
        <x:v>20</x:v>
      </x:c>
      <x:c r="C46" s="23" t="n">
        <x:v>-0.03505559224469427</x:v>
      </x:c>
      <x:c r="D46" s="23" t="n">
        <x:v>0.12274817132883978</x:v>
      </x:c>
      <x:c r="E46" s="23" t="n">
        <x:v>-0.2855895274462466</x:v>
      </x:c>
      <x:c r="F46" s="23" t="n">
        <x:v>0.39979808177688037</x:v>
      </x:c>
      <x:c r="G46" s="23" t="n">
        <x:v>-0.01873543153446401</x:v>
      </x:c>
      <x:c r="H46" s="23" t="n">
        <x:v>-0.23977066560462082</x:v>
      </x:c>
      <x:c r="I46" s="24" t="n">
        <x:v>1981</x:v>
      </x:c>
      <x:c r="J46" s="25" t="n">
        <x:v>46210.170149652775</x:v>
      </x:c>
      <x:c r="K46" s="24" t="n">
        <x:v>8902245</x:v>
      </x:c>
      <x:c r="L46" t="str">
        <x:v>40355b29bce094aef0e99358bdfd4011b92e72a54440a67760de4afae4883c33</x:v>
      </x:c>
      <x:c r="M46" t="str">
        <x:v>legacy_common_sample_8902245</x:v>
      </x:c>
      <x:c r="N46" t="str">
        <x:v>factor_report/gtja191_batch/gtja_014/ic_summary.csv</x:v>
      </x:c>
    </x:row>
    <x:row r="47">
      <x:c r="A47" t="str">
        <x:v>gtja_015</x:v>
      </x:c>
      <x:c r="B47" s="22" t="n">
        <x:v>1</x:v>
      </x:c>
      <x:c r="C47" s="23" t="n">
        <x:v>0.010154917297053636</x:v>
      </x:c>
      <x:c r="D47" s="23" t="n">
        <x:v>0.07170212890566337</x:v>
      </x:c>
      <x:c r="E47" s="23" t="n">
        <x:v>0.1416264405540064</x:v>
      </x:c>
      <x:c r="F47" s="23" t="n">
        <x:v>0.5752525252525252</x:v>
      </x:c>
      <x:c r="G47" s="23" t="n">
        <x:v>0.016328945683282168</x:v>
      </x:c>
      <x:c r="H47" s="23" t="n">
        <x:v>0.23069980183177557</x:v>
      </x:c>
      <x:c r="I47" s="24" t="n">
        <x:v>3960</x:v>
      </x:c>
      <x:c r="J47" s="25" t="n">
        <x:v>46230.32700612269</x:v>
      </x:c>
      <x:c r="K47" s="24" t="n">
        <x:v>13231952</x:v>
      </x:c>
      <x:c r="L47" t="str">
        <x:v>c89ec58a501c3ee9d35b4d16a82c2c097120d5210dcc66310d77aa437a3c789b</x:v>
      </x:c>
      <x:c r="M47" t="str">
        <x:v>latest_context_sample_13231952</x:v>
      </x:c>
      <x:c r="N47" t="str">
        <x:v>factor_report/gtja191_batch/gtja_015/ic_summary.csv</x:v>
      </x:c>
    </x:row>
    <x:row r="48">
      <x:c r="A48" t="str">
        <x:v>gtja_015</x:v>
      </x:c>
      <x:c r="B48" s="22" t="n">
        <x:v>5</x:v>
      </x:c>
      <x:c r="C48" s="23" t="n">
        <x:v>0.013217935937819593</x:v>
      </x:c>
      <x:c r="D48" s="23" t="n">
        <x:v>0.0682196903496258</x:v>
      </x:c>
      <x:c r="E48" s="23" t="n">
        <x:v>0.19375543732429293</x:v>
      </x:c>
      <x:c r="F48" s="23" t="n">
        <x:v>0.6076845298281092</x:v>
      </x:c>
      <x:c r="G48" s="23" t="n">
        <x:v>0.012538579502824693</x:v>
      </x:c>
      <x:c r="H48" s="23" t="n">
        <x:v>0.18791167651339918</x:v>
      </x:c>
      <x:c r="I48" s="24" t="n">
        <x:v>3956</x:v>
      </x:c>
      <x:c r="J48" s="25" t="n">
        <x:v>46230.32700612269</x:v>
      </x:c>
      <x:c r="K48" s="24" t="n">
        <x:v>13231952</x:v>
      </x:c>
      <x:c r="L48" t="str">
        <x:v>c89ec58a501c3ee9d35b4d16a82c2c097120d5210dcc66310d77aa437a3c789b</x:v>
      </x:c>
      <x:c r="M48" t="str">
        <x:v>latest_context_sample_13231952</x:v>
      </x:c>
      <x:c r="N48" t="str">
        <x:v>factor_report/gtja191_batch/gtja_015/ic_summary.csv</x:v>
      </x:c>
    </x:row>
    <x:row r="49">
      <x:c r="A49" t="str">
        <x:v>gtja_015</x:v>
      </x:c>
      <x:c r="B49" s="22" t="n">
        <x:v>10</x:v>
      </x:c>
      <x:c r="C49" s="23" t="n">
        <x:v>0.016707428436345515</x:v>
      </x:c>
      <x:c r="D49" s="23" t="n">
        <x:v>0.06578251278786885</x:v>
      </x:c>
      <x:c r="E49" s="23" t="n">
        <x:v>0.25397978472215765</x:v>
      </x:c>
      <x:c r="F49" s="23" t="n">
        <x:v>0.6350291065553024</x:v>
      </x:c>
      <x:c r="G49" s="23" t="n">
        <x:v>0.012487217250518972</x:v>
      </x:c>
      <x:c r="H49" s="23" t="n">
        <x:v>0.20029102850837385</x:v>
      </x:c>
      <x:c r="I49" s="24" t="n">
        <x:v>3951</x:v>
      </x:c>
      <x:c r="J49" s="25" t="n">
        <x:v>46230.32700612269</x:v>
      </x:c>
      <x:c r="K49" s="24" t="n">
        <x:v>13231952</x:v>
      </x:c>
      <x:c r="L49" t="str">
        <x:v>c89ec58a501c3ee9d35b4d16a82c2c097120d5210dcc66310d77aa437a3c789b</x:v>
      </x:c>
      <x:c r="M49" t="str">
        <x:v>latest_context_sample_13231952</x:v>
      </x:c>
      <x:c r="N49" t="str">
        <x:v>factor_report/gtja191_batch/gtja_015/ic_summary.csv</x:v>
      </x:c>
    </x:row>
    <x:row r="50">
      <x:c r="A50" t="str">
        <x:v>gtja_015</x:v>
      </x:c>
      <x:c r="B50" s="22" t="n">
        <x:v>20</x:v>
      </x:c>
      <x:c r="C50" s="23" t="n">
        <x:v>0.019216577227991607</x:v>
      </x:c>
      <x:c r="D50" s="23" t="n">
        <x:v>0.06566011794071615</x:v>
      </x:c>
      <x:c r="E50" s="23" t="n">
        <x:v>0.29266741868088114</x:v>
      </x:c>
      <x:c r="F50" s="23" t="n">
        <x:v>0.6571936056838366</x:v>
      </x:c>
      <x:c r="G50" s="23" t="n">
        <x:v>0.010950483440529795</x:v>
      </x:c>
      <x:c r="H50" s="23" t="n">
        <x:v>0.18904073079995232</x:v>
      </x:c>
      <x:c r="I50" s="24" t="n">
        <x:v>3941</x:v>
      </x:c>
      <x:c r="J50" s="25" t="n">
        <x:v>46230.32700612269</x:v>
      </x:c>
      <x:c r="K50" s="24" t="n">
        <x:v>13231952</x:v>
      </x:c>
      <x:c r="L50" t="str">
        <x:v>c89ec58a501c3ee9d35b4d16a82c2c097120d5210dcc66310d77aa437a3c789b</x:v>
      </x:c>
      <x:c r="M50" t="str">
        <x:v>latest_context_sample_13231952</x:v>
      </x:c>
      <x:c r="N50" t="str">
        <x:v>factor_report/gtja191_batch/gtja_015/ic_summary.csv</x:v>
      </x:c>
    </x:row>
    <x:row r="51">
      <x:c r="A51" t="str">
        <x:v>gtja_016</x:v>
      </x:c>
      <x:c r="B51" s="22" t="n">
        <x:v>10</x:v>
      </x:c>
      <x:c r="C51" s="23" t="n">
        <x:v>0.04278155068223139</x:v>
      </x:c>
      <x:c r="D51" s="23" t="n">
        <x:v>0.06002003616988767</x:v>
      </x:c>
      <x:c r="E51" s="23" t="n">
        <x:v>0.712787819073243</x:v>
      </x:c>
      <x:c r="F51" s="23" t="n">
        <x:v>0.7533902561526871</x:v>
      </x:c>
      <x:c r="G51" s="23" t="n">
        <x:v>0.01659984500684624</x:v>
      </x:c>
      <x:c r="H51" s="23" t="n">
        <x:v>0.316778601172266</x:v>
      </x:c>
      <x:c r="I51" s="24" t="n">
        <x:v>1991</x:v>
      </x:c>
      <x:c r="J51" s="25" t="n">
        <x:v>46211.19679032407</x:v>
      </x:c>
      <x:c r="K51" s="24" t="n">
        <x:v>8902245</x:v>
      </x:c>
      <x:c r="L51" t="str">
        <x:v>8f7e606554926462248cbcc654181861438ca768a0063f6b317223ede37d16fb</x:v>
      </x:c>
      <x:c r="M51" t="str">
        <x:v>legacy_common_sample_8902245</x:v>
      </x:c>
      <x:c r="N51" t="str">
        <x:v>factor_report/gtja191_batch/gtja_016/ic_summary.csv</x:v>
      </x:c>
    </x:row>
    <x:row r="52">
      <x:c r="A52" t="str">
        <x:v>gtja_016</x:v>
      </x:c>
      <x:c r="B52" s="22" t="n">
        <x:v>20</x:v>
      </x:c>
      <x:c r="C52" s="23" t="n">
        <x:v>0.045956893896997295</x:v>
      </x:c>
      <x:c r="D52" s="23" t="n">
        <x:v>0.0587882605896828</x:v>
      </x:c>
      <x:c r="E52" s="23" t="n">
        <x:v>0.7817359016242542</x:v>
      </x:c>
      <x:c r="F52" s="23" t="n">
        <x:v>0.7743563856638062</x:v>
      </x:c>
      <x:c r="G52" s="23" t="n">
        <x:v>0.020648641562107738</x:v>
      </x:c>
      <x:c r="H52" s="23" t="n">
        <x:v>0.3978559959378937</x:v>
      </x:c>
      <x:c r="I52" s="24" t="n">
        <x:v>1981</x:v>
      </x:c>
      <x:c r="J52" s="25" t="n">
        <x:v>46211.19679032407</x:v>
      </x:c>
      <x:c r="K52" s="24" t="n">
        <x:v>8902245</x:v>
      </x:c>
      <x:c r="L52" t="str">
        <x:v>8f7e606554926462248cbcc654181861438ca768a0063f6b317223ede37d16fb</x:v>
      </x:c>
      <x:c r="M52" t="str">
        <x:v>legacy_common_sample_8902245</x:v>
      </x:c>
      <x:c r="N52" t="str">
        <x:v>factor_report/gtja191_batch/gtja_016/ic_summary.csv</x:v>
      </x:c>
    </x:row>
    <x:row r="53">
      <x:c r="A53" t="str">
        <x:v>gtja_017</x:v>
      </x:c>
      <x:c r="B53" s="22" t="n">
        <x:v>10</x:v>
      </x:c>
      <x:c r="C53" s="23" t="n">
        <x:v>0.026452121278683006</x:v>
      </x:c>
      <x:c r="D53" s="23" t="n">
        <x:v>0.12507453656076656</x:v>
      </x:c>
      <x:c r="E53" s="23" t="n">
        <x:v>0.21149085981886837</x:v>
      </x:c>
      <x:c r="F53" s="23" t="n">
        <x:v>0.5765946760421898</x:v>
      </x:c>
      <x:c r="G53" s="23" t="n">
        <x:v>-0.0013430808207668633</x:v>
      </x:c>
      <x:c r="H53" s="23" t="n">
        <x:v>-0.0872445490691149</x:v>
      </x:c>
      <x:c r="I53" s="24" t="n">
        <x:v>1991</x:v>
      </x:c>
      <x:c r="J53" s="25" t="n">
        <x:v>46211.200878738426</x:v>
      </x:c>
      <x:c r="K53" s="24" t="n">
        <x:v>8902245</x:v>
      </x:c>
      <x:c r="L53" t="str">
        <x:v>8f7e606554926462248cbcc654181861438ca768a0063f6b317223ede37d16fb</x:v>
      </x:c>
      <x:c r="M53" t="str">
        <x:v>legacy_common_sample_8902245</x:v>
      </x:c>
      <x:c r="N53" t="str">
        <x:v>factor_report/gtja191_batch/gtja_017/ic_summary.csv</x:v>
      </x:c>
    </x:row>
    <x:row r="54">
      <x:c r="A54" t="str">
        <x:v>gtja_017</x:v>
      </x:c>
      <x:c r="B54" s="22" t="n">
        <x:v>20</x:v>
      </x:c>
      <x:c r="C54" s="23" t="n">
        <x:v>0.02944576464845126</x:v>
      </x:c>
      <x:c r="D54" s="23" t="n">
        <x:v>0.12074792952012793</x:v>
      </x:c>
      <x:c r="E54" s="23" t="n">
        <x:v>0.24386144562042228</x:v>
      </x:c>
      <x:c r="F54" s="23" t="n">
        <x:v>0.5896012115093388</x:v>
      </x:c>
      <x:c r="G54" s="23" t="n">
        <x:v>-0.0011393254599393787</x:v>
      </x:c>
      <x:c r="H54" s="23" t="n">
        <x:v>-0.07374758103562887</x:v>
      </x:c>
      <x:c r="I54" s="24" t="n">
        <x:v>1981</x:v>
      </x:c>
      <x:c r="J54" s="25" t="n">
        <x:v>46211.200878738426</x:v>
      </x:c>
      <x:c r="K54" s="24" t="n">
        <x:v>8902245</x:v>
      </x:c>
      <x:c r="L54" t="str">
        <x:v>8f7e606554926462248cbcc654181861438ca768a0063f6b317223ede37d16fb</x:v>
      </x:c>
      <x:c r="M54" t="str">
        <x:v>legacy_common_sample_8902245</x:v>
      </x:c>
      <x:c r="N54" t="str">
        <x:v>factor_report/gtja191_batch/gtja_017/ic_summary.csv</x:v>
      </x:c>
    </x:row>
    <x:row r="55">
      <x:c r="A55" t="str">
        <x:v>gtja_018</x:v>
      </x:c>
      <x:c r="B55" s="22" t="n">
        <x:v>1</x:v>
      </x:c>
      <x:c r="C55" s="23" t="n">
        <x:v>-0.029194867148294158</x:v>
      </x:c>
      <x:c r="D55" s="23" t="n">
        <x:v>0.14764934778629543</x:v>
      </x:c>
      <x:c r="E55" s="23" t="n">
        <x:v>-0.19773109455620622</x:v>
      </x:c>
      <x:c r="F55" s="23" t="n">
        <x:v>0.42</x:v>
      </x:c>
      <x:c r="G55" s="23" t="n">
        <x:v>-0.016459006273261707</x:v>
      </x:c>
      <x:c r="H55" s="23" t="n">
        <x:v>-0.1293944058546138</x:v>
      </x:c>
      <x:c r="I55" s="24" t="n">
        <x:v>2000</x:v>
      </x:c>
      <x:c r="J55" s="25" t="n">
        <x:v>46210.18674793981</x:v>
      </x:c>
      <x:c r="K55" s="24" t="n">
        <x:v>8902245</x:v>
      </x:c>
      <x:c r="L55" t="str">
        <x:v>40355b29bce094aef0e99358bdfd4011b92e72a54440a67760de4afae4883c33</x:v>
      </x:c>
      <x:c r="M55" t="str">
        <x:v>legacy_common_sample_8902245</x:v>
      </x:c>
      <x:c r="N55" t="str">
        <x:v>factor_report/gtja191_batch/gtja_018/ic_summary.csv</x:v>
      </x:c>
    </x:row>
    <x:row r="56">
      <x:c r="A56" t="str">
        <x:v>gtja_018</x:v>
      </x:c>
      <x:c r="B56" s="22" t="n">
        <x:v>5</x:v>
      </x:c>
      <x:c r="C56" s="23" t="n">
        <x:v>-0.031399670594069756</x:v>
      </x:c>
      <x:c r="D56" s="23" t="n">
        <x:v>0.13420132622058759</x:v>
      </x:c>
      <x:c r="E56" s="23" t="n">
        <x:v>-0.23397436879616162</x:v>
      </x:c>
      <x:c r="F56" s="23" t="n">
        <x:v>0.40180360721442887</x:v>
      </x:c>
      <x:c r="G56" s="23" t="n">
        <x:v>-0.030540818641317868</x:v>
      </x:c>
      <x:c r="H56" s="23" t="n">
        <x:v>-0.269580996275637</x:v>
      </x:c>
      <x:c r="I56" s="24" t="n">
        <x:v>1996</x:v>
      </x:c>
      <x:c r="J56" s="25" t="n">
        <x:v>46210.18674793981</x:v>
      </x:c>
      <x:c r="K56" s="24" t="n">
        <x:v>8902245</x:v>
      </x:c>
      <x:c r="L56" t="str">
        <x:v>40355b29bce094aef0e99358bdfd4011b92e72a54440a67760de4afae4883c33</x:v>
      </x:c>
      <x:c r="M56" t="str">
        <x:v>legacy_common_sample_8902245</x:v>
      </x:c>
      <x:c r="N56" t="str">
        <x:v>factor_report/gtja191_batch/gtja_018/ic_summary.csv</x:v>
      </x:c>
    </x:row>
    <x:row r="57">
      <x:c r="A57" t="str">
        <x:v>gtja_018</x:v>
      </x:c>
      <x:c r="B57" s="22" t="n">
        <x:v>10</x:v>
      </x:c>
      <x:c r="C57" s="23" t="n">
        <x:v>-0.03136636231735738</x:v>
      </x:c>
      <x:c r="D57" s="23" t="n">
        <x:v>0.1275138870474672</x:v>
      </x:c>
      <x:c r="E57" s="23" t="n">
        <x:v>-0.2459838927636267</x:v>
      </x:c>
      <x:c r="F57" s="23" t="n">
        <x:v>0.4229030637870417</x:v>
      </x:c>
      <x:c r="G57" s="23" t="n">
        <x:v>-0.032493228262562054</x:v>
      </x:c>
      <x:c r="H57" s="23" t="n">
        <x:v>-0.30628476127026943</x:v>
      </x:c>
      <x:c r="I57" s="24" t="n">
        <x:v>1991</x:v>
      </x:c>
      <x:c r="J57" s="25" t="n">
        <x:v>46210.18674793981</x:v>
      </x:c>
      <x:c r="K57" s="24" t="n">
        <x:v>8902245</x:v>
      </x:c>
      <x:c r="L57" t="str">
        <x:v>40355b29bce094aef0e99358bdfd4011b92e72a54440a67760de4afae4883c33</x:v>
      </x:c>
      <x:c r="M57" t="str">
        <x:v>legacy_common_sample_8902245</x:v>
      </x:c>
      <x:c r="N57" t="str">
        <x:v>factor_report/gtja191_batch/gtja_018/ic_summary.csv</x:v>
      </x:c>
    </x:row>
    <x:row r="58">
      <x:c r="A58" t="str">
        <x:v>gtja_018</x:v>
      </x:c>
      <x:c r="B58" s="22" t="n">
        <x:v>20</x:v>
      </x:c>
      <x:c r="C58" s="23" t="n">
        <x:v>-0.03430560060147005</x:v>
      </x:c>
      <x:c r="D58" s="23" t="n">
        <x:v>0.1254099403264624</x:v>
      </x:c>
      <x:c r="E58" s="23" t="n">
        <x:v>-0.2735476989476832</x:v>
      </x:c>
      <x:c r="F58" s="23" t="n">
        <x:v>0.4028268551236749</x:v>
      </x:c>
      <x:c r="G58" s="23" t="n">
        <x:v>-0.034669093748687776</x:v>
      </x:c>
      <x:c r="H58" s="23" t="n">
        <x:v>-0.33557674990984204</x:v>
      </x:c>
      <x:c r="I58" s="24" t="n">
        <x:v>1981</x:v>
      </x:c>
      <x:c r="J58" s="25" t="n">
        <x:v>46210.18674793981</x:v>
      </x:c>
      <x:c r="K58" s="24" t="n">
        <x:v>8902245</x:v>
      </x:c>
      <x:c r="L58" t="str">
        <x:v>40355b29bce094aef0e99358bdfd4011b92e72a54440a67760de4afae4883c33</x:v>
      </x:c>
      <x:c r="M58" t="str">
        <x:v>legacy_common_sample_8902245</x:v>
      </x:c>
      <x:c r="N58" t="str">
        <x:v>factor_report/gtja191_batch/gtja_018/ic_summary.csv</x:v>
      </x:c>
    </x:row>
    <x:row r="59">
      <x:c r="A59" t="str">
        <x:v>gtja_019</x:v>
      </x:c>
      <x:c r="B59" s="22" t="n">
        <x:v>1</x:v>
      </x:c>
      <x:c r="C59" s="23" t="n">
        <x:v>-0.029194853697055677</x:v>
      </x:c>
      <x:c r="D59" s="23" t="n">
        <x:v>0.14764933902538466</x:v>
      </x:c>
      <x:c r="E59" s="23" t="n">
        <x:v>-0.19773101518616581</x:v>
      </x:c>
      <x:c r="F59" s="23" t="n">
        <x:v>0.42</x:v>
      </x:c>
      <x:c r="G59" s="23" t="n">
        <x:v>-0.015315160746101331</x:v>
      </x:c>
      <x:c r="H59" s="23" t="n">
        <x:v>-0.11975733226601243</x:v>
      </x:c>
      <x:c r="I59" s="24" t="n">
        <x:v>2000</x:v>
      </x:c>
      <x:c r="J59" s="25" t="n">
        <x:v>46210.190837372684</x:v>
      </x:c>
      <x:c r="K59" s="24" t="n">
        <x:v>8902245</x:v>
      </x:c>
      <x:c r="L59" t="str">
        <x:v>40355b29bce094aef0e99358bdfd4011b92e72a54440a67760de4afae4883c33</x:v>
      </x:c>
      <x:c r="M59" t="str">
        <x:v>legacy_common_sample_8902245</x:v>
      </x:c>
      <x:c r="N59" t="str">
        <x:v>factor_report/gtja191_batch/gtja_019/ic_summary.csv</x:v>
      </x:c>
    </x:row>
    <x:row r="60">
      <x:c r="A60" t="str">
        <x:v>gtja_019</x:v>
      </x:c>
      <x:c r="B60" s="22" t="n">
        <x:v>5</x:v>
      </x:c>
      <x:c r="C60" s="23" t="n">
        <x:v>-0.03139965821397489</x:v>
      </x:c>
      <x:c r="D60" s="23" t="n">
        <x:v>0.134201309354708</x:v>
      </x:c>
      <x:c r="E60" s="23" t="n">
        <x:v>-0.2339743059509377</x:v>
      </x:c>
      <x:c r="F60" s="23" t="n">
        <x:v>0.40180360721442887</x:v>
      </x:c>
      <x:c r="G60" s="23" t="n">
        <x:v>-0.02737790602646979</x:v>
      </x:c>
      <x:c r="H60" s="23" t="n">
        <x:v>-0.23998087399122914</x:v>
      </x:c>
      <x:c r="I60" s="24" t="n">
        <x:v>1996</x:v>
      </x:c>
      <x:c r="J60" s="25" t="n">
        <x:v>46210.190837372684</x:v>
      </x:c>
      <x:c r="K60" s="24" t="n">
        <x:v>8902245</x:v>
      </x:c>
      <x:c r="L60" t="str">
        <x:v>40355b29bce094aef0e99358bdfd4011b92e72a54440a67760de4afae4883c33</x:v>
      </x:c>
      <x:c r="M60" t="str">
        <x:v>legacy_common_sample_8902245</x:v>
      </x:c>
      <x:c r="N60" t="str">
        <x:v>factor_report/gtja191_batch/gtja_019/ic_summary.csv</x:v>
      </x:c>
    </x:row>
    <x:row r="61">
      <x:c r="A61" t="str">
        <x:v>gtja_019</x:v>
      </x:c>
      <x:c r="B61" s="22" t="n">
        <x:v>10</x:v>
      </x:c>
      <x:c r="C61" s="23" t="n">
        <x:v>-0.03136635532491433</x:v>
      </x:c>
      <x:c r="D61" s="23" t="n">
        <x:v>0.12751382677292808</x:v>
      </x:c>
      <x:c r="E61" s="23" t="n">
        <x:v>-0.24598395420106384</x:v>
      </x:c>
      <x:c r="F61" s="23" t="n">
        <x:v>0.4229030637870417</x:v>
      </x:c>
      <x:c r="G61" s="23" t="n">
        <x:v>-0.028714518019066083</x:v>
      </x:c>
      <x:c r="H61" s="23" t="n">
        <x:v>-0.2671101004335701</x:v>
      </x:c>
      <x:c r="I61" s="24" t="n">
        <x:v>1991</x:v>
      </x:c>
      <x:c r="J61" s="25" t="n">
        <x:v>46210.190837372684</x:v>
      </x:c>
      <x:c r="K61" s="24" t="n">
        <x:v>8902245</x:v>
      </x:c>
      <x:c r="L61" t="str">
        <x:v>40355b29bce094aef0e99358bdfd4011b92e72a54440a67760de4afae4883c33</x:v>
      </x:c>
      <x:c r="M61" t="str">
        <x:v>legacy_common_sample_8902245</x:v>
      </x:c>
      <x:c r="N61" t="str">
        <x:v>factor_report/gtja191_batch/gtja_019/ic_summary.csv</x:v>
      </x:c>
    </x:row>
    <x:row r="62">
      <x:c r="A62" t="str">
        <x:v>gtja_019</x:v>
      </x:c>
      <x:c r="B62" s="22" t="n">
        <x:v>20</x:v>
      </x:c>
      <x:c r="C62" s="23" t="n">
        <x:v>-0.03430559237782003</x:v>
      </x:c>
      <x:c r="D62" s="23" t="n">
        <x:v>0.12540991591715875</x:v>
      </x:c>
      <x:c r="E62" s="23" t="n">
        <x:v>-0.2735476866157941</x:v>
      </x:c>
      <x:c r="F62" s="23" t="n">
        <x:v>0.4028268551236749</x:v>
      </x:c>
      <x:c r="G62" s="23" t="n">
        <x:v>-0.030832802295413866</x:v>
      </x:c>
      <x:c r="H62" s="23" t="n">
        <x:v>-0.2938288351002213</x:v>
      </x:c>
      <x:c r="I62" s="24" t="n">
        <x:v>1981</x:v>
      </x:c>
      <x:c r="J62" s="25" t="n">
        <x:v>46210.190837372684</x:v>
      </x:c>
      <x:c r="K62" s="24" t="n">
        <x:v>8902245</x:v>
      </x:c>
      <x:c r="L62" t="str">
        <x:v>40355b29bce094aef0e99358bdfd4011b92e72a54440a67760de4afae4883c33</x:v>
      </x:c>
      <x:c r="M62" t="str">
        <x:v>legacy_common_sample_8902245</x:v>
      </x:c>
      <x:c r="N62" t="str">
        <x:v>factor_report/gtja191_batch/gtja_019/ic_summary.csv</x:v>
      </x:c>
    </x:row>
    <x:row r="63">
      <x:c r="A63" t="str">
        <x:v>gtja_020</x:v>
      </x:c>
      <x:c r="B63" s="22" t="n">
        <x:v>1</x:v>
      </x:c>
      <x:c r="C63" s="23" t="n">
        <x:v>-0.029126869122610234</x:v>
      </x:c>
      <x:c r="D63" s="23" t="n">
        <x:v>0.14680106539780216</x:v>
      </x:c>
      <x:c r="E63" s="23" t="n">
        <x:v>-0.19841047504445639</x:v>
      </x:c>
      <x:c r="F63" s="23" t="n">
        <x:v>0.419</x:v>
      </x:c>
      <x:c r="G63" s="23" t="n">
        <x:v>-0.016242842923796685</x:v>
      </x:c>
      <x:c r="H63" s="23" t="n">
        <x:v>-0.12684794936065244</x:v>
      </x:c>
      <x:c r="I63" s="24" t="n">
        <x:v>2000</x:v>
      </x:c>
      <x:c r="J63" s="25" t="n">
        <x:v>46210.19493413194</x:v>
      </x:c>
      <x:c r="K63" s="24" t="n">
        <x:v>8902245</x:v>
      </x:c>
      <x:c r="L63" t="str">
        <x:v>40355b29bce094aef0e99358bdfd4011b92e72a54440a67760de4afae4883c33</x:v>
      </x:c>
      <x:c r="M63" t="str">
        <x:v>legacy_common_sample_8902245</x:v>
      </x:c>
      <x:c r="N63" t="str">
        <x:v>factor_report/gtja191_batch/gtja_020/ic_summary.csv</x:v>
      </x:c>
    </x:row>
    <x:row r="64">
      <x:c r="A64" t="str">
        <x:v>gtja_020</x:v>
      </x:c>
      <x:c r="B64" s="22" t="n">
        <x:v>5</x:v>
      </x:c>
      <x:c r="C64" s="23" t="n">
        <x:v>-0.03330528187721423</x:v>
      </x:c>
      <x:c r="D64" s="23" t="n">
        <x:v>0.134119650239328</x:v>
      </x:c>
      <x:c r="E64" s="23" t="n">
        <x:v>-0.2483251471188828</x:v>
      </x:c>
      <x:c r="F64" s="23" t="n">
        <x:v>0.3927855711422846</x:v>
      </x:c>
      <x:c r="G64" s="23" t="n">
        <x:v>-0.0312865839527883</x:v>
      </x:c>
      <x:c r="H64" s="23" t="n">
        <x:v>-0.2741676595332555</x:v>
      </x:c>
      <x:c r="I64" s="24" t="n">
        <x:v>1996</x:v>
      </x:c>
      <x:c r="J64" s="25" t="n">
        <x:v>46210.19493413194</x:v>
      </x:c>
      <x:c r="K64" s="24" t="n">
        <x:v>8902245</x:v>
      </x:c>
      <x:c r="L64" t="str">
        <x:v>40355b29bce094aef0e99358bdfd4011b92e72a54440a67760de4afae4883c33</x:v>
      </x:c>
      <x:c r="M64" t="str">
        <x:v>legacy_common_sample_8902245</x:v>
      </x:c>
      <x:c r="N64" t="str">
        <x:v>factor_report/gtja191_batch/gtja_020/ic_summary.csv</x:v>
      </x:c>
    </x:row>
    <x:row r="65">
      <x:c r="A65" t="str">
        <x:v>gtja_020</x:v>
      </x:c>
      <x:c r="B65" s="22" t="n">
        <x:v>10</x:v>
      </x:c>
      <x:c r="C65" s="23" t="n">
        <x:v>-0.0343093540926392</x:v>
      </x:c>
      <x:c r="D65" s="23" t="n">
        <x:v>0.12825689113604943</x:v>
      </x:c>
      <x:c r="E65" s="23" t="n">
        <x:v>-0.2675049565660008</x:v>
      </x:c>
      <x:c r="F65" s="23" t="n">
        <x:v>0.40683073832245104</x:v>
      </x:c>
      <x:c r="G65" s="23" t="n">
        <x:v>-0.033971393917230926</x:v>
      </x:c>
      <x:c r="H65" s="23" t="n">
        <x:v>-0.31608747112701624</x:v>
      </x:c>
      <x:c r="I65" s="24" t="n">
        <x:v>1991</x:v>
      </x:c>
      <x:c r="J65" s="25" t="n">
        <x:v>46210.19493413194</x:v>
      </x:c>
      <x:c r="K65" s="24" t="n">
        <x:v>8902245</x:v>
      </x:c>
      <x:c r="L65" t="str">
        <x:v>40355b29bce094aef0e99358bdfd4011b92e72a54440a67760de4afae4883c33</x:v>
      </x:c>
      <x:c r="M65" t="str">
        <x:v>legacy_common_sample_8902245</x:v>
      </x:c>
      <x:c r="N65" t="str">
        <x:v>factor_report/gtja191_batch/gtja_020/ic_summary.csv</x:v>
      </x:c>
    </x:row>
    <x:row r="66">
      <x:c r="A66" t="str">
        <x:v>gtja_020</x:v>
      </x:c>
      <x:c r="B66" s="22" t="n">
        <x:v>20</x:v>
      </x:c>
      <x:c r="C66" s="23" t="n">
        <x:v>-0.0379479035368987</x:v>
      </x:c>
      <x:c r="D66" s="23" t="n">
        <x:v>0.12586769419484098</x:v>
      </x:c>
      <x:c r="E66" s="23" t="n">
        <x:v>-0.3014904164221521</x:v>
      </x:c>
      <x:c r="F66" s="23" t="n">
        <x:v>0.38818778394750125</x:v>
      </x:c>
      <x:c r="G66" s="23" t="n">
        <x:v>-0.03664682973412327</x:v>
      </x:c>
      <x:c r="H66" s="23" t="n">
        <x:v>-0.3509618030569291</x:v>
      </x:c>
      <x:c r="I66" s="24" t="n">
        <x:v>1981</x:v>
      </x:c>
      <x:c r="J66" s="25" t="n">
        <x:v>46210.19493413194</x:v>
      </x:c>
      <x:c r="K66" s="24" t="n">
        <x:v>8902245</x:v>
      </x:c>
      <x:c r="L66" t="str">
        <x:v>40355b29bce094aef0e99358bdfd4011b92e72a54440a67760de4afae4883c33</x:v>
      </x:c>
      <x:c r="M66" t="str">
        <x:v>legacy_common_sample_8902245</x:v>
      </x:c>
      <x:c r="N66" t="str">
        <x:v>factor_report/gtja191_batch/gtja_020/ic_summary.csv</x:v>
      </x:c>
    </x:row>
    <x:row r="67">
      <x:c r="A67" t="str">
        <x:v>gtja_021</x:v>
      </x:c>
      <x:c r="B67" s="22" t="n">
        <x:v>1</x:v>
      </x:c>
      <x:c r="C67" s="23" t="n">
        <x:v>-0.023086049652659483</x:v>
      </x:c>
      <x:c r="D67" s="23" t="n">
        <x:v>0.1371546388284735</x:v>
      </x:c>
      <x:c r="E67" s="23" t="n">
        <x:v>-0.16832131854855487</x:v>
      </x:c>
      <x:c r="F67" s="23" t="n">
        <x:v>0.4235</x:v>
      </x:c>
      <x:c r="G67" s="23" t="n">
        <x:v>-0.008066334164354795</x:v>
      </x:c>
      <x:c r="H67" s="23" t="n">
        <x:v>-0.09127358431308072</x:v>
      </x:c>
      <x:c r="I67" s="24" t="n">
        <x:v>2000</x:v>
      </x:c>
      <x:c r="J67" s="25" t="n">
        <x:v>46210.1997081713</x:v>
      </x:c>
      <x:c r="K67" s="24" t="n">
        <x:v>8902245</x:v>
      </x:c>
      <x:c r="L67" t="str">
        <x:v>40355b29bce094aef0e99358bdfd4011b92e72a54440a67760de4afae4883c33</x:v>
      </x:c>
      <x:c r="M67" t="str">
        <x:v>legacy_common_sample_8902245</x:v>
      </x:c>
      <x:c r="N67" t="str">
        <x:v>factor_report/gtja191_batch/gtja_021/ic_summary.csv</x:v>
      </x:c>
    </x:row>
    <x:row r="68">
      <x:c r="A68" t="str">
        <x:v>gtja_021</x:v>
      </x:c>
      <x:c r="B68" s="22" t="n">
        <x:v>5</x:v>
      </x:c>
      <x:c r="C68" s="23" t="n">
        <x:v>-0.030601805557213892</x:v>
      </x:c>
      <x:c r="D68" s="23" t="n">
        <x:v>0.12983488419240247</x:v>
      </x:c>
      <x:c r="E68" s="23" t="n">
        <x:v>-0.23569786924032712</x:v>
      </x:c>
      <x:c r="F68" s="23" t="n">
        <x:v>0.40080160320641284</x:v>
      </x:c>
      <x:c r="G68" s="23" t="n">
        <x:v>-0.01322558907346899</x:v>
      </x:c>
      <x:c r="H68" s="23" t="n">
        <x:v>-0.16538222794530028</x:v>
      </x:c>
      <x:c r="I68" s="24" t="n">
        <x:v>1996</x:v>
      </x:c>
      <x:c r="J68" s="25" t="n">
        <x:v>46210.1997081713</x:v>
      </x:c>
      <x:c r="K68" s="24" t="n">
        <x:v>8902245</x:v>
      </x:c>
      <x:c r="L68" t="str">
        <x:v>40355b29bce094aef0e99358bdfd4011b92e72a54440a67760de4afae4883c33</x:v>
      </x:c>
      <x:c r="M68" t="str">
        <x:v>legacy_common_sample_8902245</x:v>
      </x:c>
      <x:c r="N68" t="str">
        <x:v>factor_report/gtja191_batch/gtja_021/ic_summary.csv</x:v>
      </x:c>
    </x:row>
    <x:row r="69">
      <x:c r="A69" t="str">
        <x:v>gtja_021</x:v>
      </x:c>
      <x:c r="B69" s="22" t="n">
        <x:v>10</x:v>
      </x:c>
      <x:c r="C69" s="23" t="n">
        <x:v>-0.03594981210637164</x:v>
      </x:c>
      <x:c r="D69" s="23" t="n">
        <x:v>0.12294838126188924</x:v>
      </x:c>
      <x:c r="E69" s="23" t="n">
        <x:v>-0.2923976040790309</x:v>
      </x:c>
      <x:c r="F69" s="23" t="n">
        <x:v>0.3937719738824711</x:v>
      </x:c>
      <x:c r="G69" s="23" t="n">
        <x:v>-0.016966858972330152</x:v>
      </x:c>
      <x:c r="H69" s="23" t="n">
        <x:v>-0.22297248416638568</x:v>
      </x:c>
      <x:c r="I69" s="24" t="n">
        <x:v>1991</x:v>
      </x:c>
      <x:c r="J69" s="25" t="n">
        <x:v>46210.1997081713</x:v>
      </x:c>
      <x:c r="K69" s="24" t="n">
        <x:v>8902245</x:v>
      </x:c>
      <x:c r="L69" t="str">
        <x:v>40355b29bce094aef0e99358bdfd4011b92e72a54440a67760de4afae4883c33</x:v>
      </x:c>
      <x:c r="M69" t="str">
        <x:v>legacy_common_sample_8902245</x:v>
      </x:c>
      <x:c r="N69" t="str">
        <x:v>factor_report/gtja191_batch/gtja_021/ic_summary.csv</x:v>
      </x:c>
    </x:row>
    <x:row r="70">
      <x:c r="A70" t="str">
        <x:v>gtja_021</x:v>
      </x:c>
      <x:c r="B70" s="22" t="n">
        <x:v>20</x:v>
      </x:c>
      <x:c r="C70" s="23" t="n">
        <x:v>-0.04078459231172008</x:v>
      </x:c>
      <x:c r="D70" s="23" t="n">
        <x:v>0.12279992774039832</x:v>
      </x:c>
      <x:c r="E70" s="23" t="n">
        <x:v>-0.33212228266078125</x:v>
      </x:c>
      <x:c r="F70" s="23" t="n">
        <x:v>0.3750630994447249</x:v>
      </x:c>
      <x:c r="G70" s="23" t="n">
        <x:v>-0.0184698042171239</x:v>
      </x:c>
      <x:c r="H70" s="23" t="n">
        <x:v>-0.2393004987955675</x:v>
      </x:c>
      <x:c r="I70" s="24" t="n">
        <x:v>1981</x:v>
      </x:c>
      <x:c r="J70" s="25" t="n">
        <x:v>46210.1997081713</x:v>
      </x:c>
      <x:c r="K70" s="24" t="n">
        <x:v>8902245</x:v>
      </x:c>
      <x:c r="L70" t="str">
        <x:v>40355b29bce094aef0e99358bdfd4011b92e72a54440a67760de4afae4883c33</x:v>
      </x:c>
      <x:c r="M70" t="str">
        <x:v>legacy_common_sample_8902245</x:v>
      </x:c>
      <x:c r="N70" t="str">
        <x:v>factor_report/gtja191_batch/gtja_021/ic_summary.csv</x:v>
      </x:c>
    </x:row>
    <x:row r="71">
      <x:c r="A71" t="str">
        <x:v>gtja_022</x:v>
      </x:c>
      <x:c r="B71" s="22" t="n">
        <x:v>10</x:v>
      </x:c>
      <x:c r="C71" s="23" t="n">
        <x:v>-0.014695116374684365</x:v>
      </x:c>
      <x:c r="D71" s="23" t="n">
        <x:v>0.11978375244533215</x:v>
      </x:c>
      <x:c r="E71" s="23" t="n">
        <x:v>-0.1226803808921501</x:v>
      </x:c>
      <x:c r="F71" s="23" t="n">
        <x:v>0.4515318935208438</x:v>
      </x:c>
      <x:c r="G71" s="23" t="n">
        <x:v>-0.015718966275780788</x:v>
      </x:c>
      <x:c r="H71" s="23" t="n">
        <x:v>-0.1766612218295987</x:v>
      </x:c>
      <x:c r="I71" s="24" t="n">
        <x:v>1991</x:v>
      </x:c>
      <x:c r="J71" s="25" t="n">
        <x:v>46211.206014745374</x:v>
      </x:c>
      <x:c r="K71" s="24" t="n">
        <x:v>8902245</x:v>
      </x:c>
      <x:c r="L71" t="str">
        <x:v>8f7e606554926462248cbcc654181861438ca768a0063f6b317223ede37d16fb</x:v>
      </x:c>
      <x:c r="M71" t="str">
        <x:v>legacy_common_sample_8902245</x:v>
      </x:c>
      <x:c r="N71" t="str">
        <x:v>factor_report/gtja191_batch/gtja_022/ic_summary.csv</x:v>
      </x:c>
    </x:row>
    <x:row r="72">
      <x:c r="A72" t="str">
        <x:v>gtja_022</x:v>
      </x:c>
      <x:c r="B72" s="22" t="n">
        <x:v>20</x:v>
      </x:c>
      <x:c r="C72" s="23" t="n">
        <x:v>-0.014465918462138835</x:v>
      </x:c>
      <x:c r="D72" s="23" t="n">
        <x:v>0.12142651149968318</x:v>
      </x:c>
      <x:c r="E72" s="23" t="n">
        <x:v>-0.11913311420608982</x:v>
      </x:c>
      <x:c r="F72" s="23" t="n">
        <x:v>0.4538112064613831</x:v>
      </x:c>
      <x:c r="G72" s="23" t="n">
        <x:v>-0.015985611076833307</x:v>
      </x:c>
      <x:c r="H72" s="23" t="n">
        <x:v>-0.18122470179507352</x:v>
      </x:c>
      <x:c r="I72" s="24" t="n">
        <x:v>1981</x:v>
      </x:c>
      <x:c r="J72" s="25" t="n">
        <x:v>46211.206014745374</x:v>
      </x:c>
      <x:c r="K72" s="24" t="n">
        <x:v>8902245</x:v>
      </x:c>
      <x:c r="L72" t="str">
        <x:v>8f7e606554926462248cbcc654181861438ca768a0063f6b317223ede37d16fb</x:v>
      </x:c>
      <x:c r="M72" t="str">
        <x:v>legacy_common_sample_8902245</x:v>
      </x:c>
      <x:c r="N72" t="str">
        <x:v>factor_report/gtja191_batch/gtja_022/ic_summary.csv</x:v>
      </x:c>
    </x:row>
    <x:row r="73">
      <x:c r="A73" t="str">
        <x:v>gtja_023</x:v>
      </x:c>
      <x:c r="B73" s="22" t="n">
        <x:v>1</x:v>
      </x:c>
      <x:c r="C73" s="23" t="n">
        <x:v>-0.014368128371761667</x:v>
      </x:c>
      <x:c r="D73" s="23" t="n">
        <x:v>0.10702011820031729</x:v>
      </x:c>
      <x:c r="E73" s="23" t="n">
        <x:v>-0.13425633061690143</x:v>
      </x:c>
      <x:c r="F73" s="23" t="n">
        <x:v>0.4495</x:v>
      </x:c>
      <x:c r="G73" s="23" t="n">
        <x:v>-0.004365516391079837</x:v>
      </x:c>
      <x:c r="H73" s="23" t="n">
        <x:v>-0.046368435325736874</x:v>
      </x:c>
      <x:c r="I73" s="24" t="n">
        <x:v>2000</x:v>
      </x:c>
      <x:c r="J73" s="25" t="n">
        <x:v>46210.20966594907</x:v>
      </x:c>
      <x:c r="K73" s="24" t="n">
        <x:v>8902245</x:v>
      </x:c>
      <x:c r="L73" t="str">
        <x:v>40355b29bce094aef0e99358bdfd4011b92e72a54440a67760de4afae4883c33</x:v>
      </x:c>
      <x:c r="M73" t="str">
        <x:v>legacy_common_sample_8902245</x:v>
      </x:c>
      <x:c r="N73" t="str">
        <x:v>factor_report/gtja191_batch/gtja_023/ic_summary.csv</x:v>
      </x:c>
    </x:row>
    <x:row r="74">
      <x:c r="A74" t="str">
        <x:v>gtja_023</x:v>
      </x:c>
      <x:c r="B74" s="22" t="n">
        <x:v>5</x:v>
      </x:c>
      <x:c r="C74" s="23" t="n">
        <x:v>-0.02044460346308605</x:v>
      </x:c>
      <x:c r="D74" s="23" t="n">
        <x:v>0.10024216412162458</x:v>
      </x:c>
      <x:c r="E74" s="23" t="n">
        <x:v>-0.20395213573282853</x:v>
      </x:c>
      <x:c r="F74" s="23" t="n">
        <x:v>0.4228456913827655</x:v>
      </x:c>
      <x:c r="G74" s="23" t="n">
        <x:v>-0.009909258225352281</x:v>
      </x:c>
      <x:c r="H74" s="23" t="n">
        <x:v>-0.11212171923569099</x:v>
      </x:c>
      <x:c r="I74" s="24" t="n">
        <x:v>1996</x:v>
      </x:c>
      <x:c r="J74" s="25" t="n">
        <x:v>46210.20966594907</x:v>
      </x:c>
      <x:c r="K74" s="24" t="n">
        <x:v>8902245</x:v>
      </x:c>
      <x:c r="L74" t="str">
        <x:v>40355b29bce094aef0e99358bdfd4011b92e72a54440a67760de4afae4883c33</x:v>
      </x:c>
      <x:c r="M74" t="str">
        <x:v>legacy_common_sample_8902245</x:v>
      </x:c>
      <x:c r="N74" t="str">
        <x:v>factor_report/gtja191_batch/gtja_023/ic_summary.csv</x:v>
      </x:c>
    </x:row>
    <x:row r="75">
      <x:c r="A75" t="str">
        <x:v>gtja_023</x:v>
      </x:c>
      <x:c r="B75" s="22" t="n">
        <x:v>10</x:v>
      </x:c>
      <x:c r="C75" s="23" t="n">
        <x:v>-0.02421312567684757</x:v>
      </x:c>
      <x:c r="D75" s="23" t="n">
        <x:v>0.09959494554874267</x:v>
      </x:c>
      <x:c r="E75" s="23" t="n">
        <x:v>-0.24311600898458693</x:v>
      </x:c>
      <x:c r="F75" s="23" t="n">
        <x:v>0.40683073832245104</x:v>
      </x:c>
      <x:c r="G75" s="23" t="n">
        <x:v>-0.01126758616397598</x:v>
      </x:c>
      <x:c r="H75" s="23" t="n">
        <x:v>-0.1301398451543293</x:v>
      </x:c>
      <x:c r="I75" s="24" t="n">
        <x:v>1991</x:v>
      </x:c>
      <x:c r="J75" s="25" t="n">
        <x:v>46210.20966594907</x:v>
      </x:c>
      <x:c r="K75" s="24" t="n">
        <x:v>8902245</x:v>
      </x:c>
      <x:c r="L75" t="str">
        <x:v>40355b29bce094aef0e99358bdfd4011b92e72a54440a67760de4afae4883c33</x:v>
      </x:c>
      <x:c r="M75" t="str">
        <x:v>legacy_common_sample_8902245</x:v>
      </x:c>
      <x:c r="N75" t="str">
        <x:v>factor_report/gtja191_batch/gtja_023/ic_summary.csv</x:v>
      </x:c>
    </x:row>
    <x:row r="76">
      <x:c r="A76" t="str">
        <x:v>gtja_023</x:v>
      </x:c>
      <x:c r="B76" s="22" t="n">
        <x:v>20</x:v>
      </x:c>
      <x:c r="C76" s="23" t="n">
        <x:v>-0.030742870020993476</x:v>
      </x:c>
      <x:c r="D76" s="23" t="n">
        <x:v>0.1039709514390946</x:v>
      </x:c>
      <x:c r="E76" s="23" t="n">
        <x:v>-0.2956871087113444</x:v>
      </x:c>
      <x:c r="F76" s="23" t="n">
        <x:v>0.4018172640080767</x:v>
      </x:c>
      <x:c r="G76" s="23" t="n">
        <x:v>-0.014919014650971958</x:v>
      </x:c>
      <x:c r="H76" s="23" t="n">
        <x:v>-0.16436378509432992</x:v>
      </x:c>
      <x:c r="I76" s="24" t="n">
        <x:v>1981</x:v>
      </x:c>
      <x:c r="J76" s="25" t="n">
        <x:v>46210.20966594907</x:v>
      </x:c>
      <x:c r="K76" s="24" t="n">
        <x:v>8902245</x:v>
      </x:c>
      <x:c r="L76" t="str">
        <x:v>40355b29bce094aef0e99358bdfd4011b92e72a54440a67760de4afae4883c33</x:v>
      </x:c>
      <x:c r="M76" t="str">
        <x:v>legacy_common_sample_8902245</x:v>
      </x:c>
      <x:c r="N76" t="str">
        <x:v>factor_report/gtja191_batch/gtja_023/ic_summary.csv</x:v>
      </x:c>
    </x:row>
    <x:row r="77">
      <x:c r="A77" t="str">
        <x:v>gtja_024</x:v>
      </x:c>
      <x:c r="B77" s="22" t="n">
        <x:v>1</x:v>
      </x:c>
      <x:c r="C77" s="23" t="n">
        <x:v>-0.028524501518100643</x:v>
      </x:c>
      <x:c r="D77" s="23" t="n">
        <x:v>0.14514093248034757</x:v>
      </x:c>
      <x:c r="E77" s="23" t="n">
        <x:v>-0.19652968346446947</x:v>
      </x:c>
      <x:c r="F77" s="23" t="n">
        <x:v>0.4185</x:v>
      </x:c>
      <x:c r="G77" s="23" t="n">
        <x:v>-0.009697462239733385</x:v>
      </x:c>
      <x:c r="H77" s="23" t="n">
        <x:v>-0.10408212008435895</x:v>
      </x:c>
      <x:c r="I77" s="24" t="n">
        <x:v>2000</x:v>
      </x:c>
      <x:c r="J77" s="25" t="n">
        <x:v>46210.21420491898</x:v>
      </x:c>
      <x:c r="K77" s="24" t="n">
        <x:v>8902245</x:v>
      </x:c>
      <x:c r="L77" t="str">
        <x:v>40355b29bce094aef0e99358bdfd4011b92e72a54440a67760de4afae4883c33</x:v>
      </x:c>
      <x:c r="M77" t="str">
        <x:v>legacy_common_sample_8902245</x:v>
      </x:c>
      <x:c r="N77" t="str">
        <x:v>factor_report/gtja191_batch/gtja_024/ic_summary.csv</x:v>
      </x:c>
    </x:row>
    <x:row r="78">
      <x:c r="A78" t="str">
        <x:v>gtja_024</x:v>
      </x:c>
      <x:c r="B78" s="22" t="n">
        <x:v>5</x:v>
      </x:c>
      <x:c r="C78" s="23" t="n">
        <x:v>-0.037843747955581354</x:v>
      </x:c>
      <x:c r="D78" s="23" t="n">
        <x:v>0.13573258025744142</x:v>
      </x:c>
      <x:c r="E78" s="23" t="n">
        <x:v>-0.2788110848832597</x:v>
      </x:c>
      <x:c r="F78" s="23" t="n">
        <x:v>0.38527054108216435</x:v>
      </x:c>
      <x:c r="G78" s="23" t="n">
        <x:v>-0.01636082945572149</x:v>
      </x:c>
      <x:c r="H78" s="23" t="n">
        <x:v>-0.19456518433625258</x:v>
      </x:c>
      <x:c r="I78" s="24" t="n">
        <x:v>1996</x:v>
      </x:c>
      <x:c r="J78" s="25" t="n">
        <x:v>46210.21420491898</x:v>
      </x:c>
      <x:c r="K78" s="24" t="n">
        <x:v>8902245</x:v>
      </x:c>
      <x:c r="L78" t="str">
        <x:v>40355b29bce094aef0e99358bdfd4011b92e72a54440a67760de4afae4883c33</x:v>
      </x:c>
      <x:c r="M78" t="str">
        <x:v>legacy_common_sample_8902245</x:v>
      </x:c>
      <x:c r="N78" t="str">
        <x:v>factor_report/gtja191_batch/gtja_024/ic_summary.csv</x:v>
      </x:c>
    </x:row>
    <x:row r="79">
      <x:c r="A79" t="str">
        <x:v>gtja_024</x:v>
      </x:c>
      <x:c r="B79" s="22" t="n">
        <x:v>10</x:v>
      </x:c>
      <x:c r="C79" s="23" t="n">
        <x:v>-0.04380781333991292</x:v>
      </x:c>
      <x:c r="D79" s="23" t="n">
        <x:v>0.12816000438152558</x:v>
      </x:c>
      <x:c r="E79" s="23" t="n">
        <x:v>-0.34182125345048653</x:v>
      </x:c>
      <x:c r="F79" s="23" t="n">
        <x:v>0.37167252636865894</x:v>
      </x:c>
      <x:c r="G79" s="23" t="n">
        <x:v>-0.02028255030162659</x:v>
      </x:c>
      <x:c r="H79" s="23" t="n">
        <x:v>-0.25435004776197906</x:v>
      </x:c>
      <x:c r="I79" s="24" t="n">
        <x:v>1991</x:v>
      </x:c>
      <x:c r="J79" s="25" t="n">
        <x:v>46210.21420491898</x:v>
      </x:c>
      <x:c r="K79" s="24" t="n">
        <x:v>8902245</x:v>
      </x:c>
      <x:c r="L79" t="str">
        <x:v>40355b29bce094aef0e99358bdfd4011b92e72a54440a67760de4afae4883c33</x:v>
      </x:c>
      <x:c r="M79" t="str">
        <x:v>legacy_common_sample_8902245</x:v>
      </x:c>
      <x:c r="N79" t="str">
        <x:v>factor_report/gtja191_batch/gtja_024/ic_summary.csv</x:v>
      </x:c>
    </x:row>
    <x:row r="80">
      <x:c r="A80" t="str">
        <x:v>gtja_024</x:v>
      </x:c>
      <x:c r="B80" s="22" t="n">
        <x:v>20</x:v>
      </x:c>
      <x:c r="C80" s="23" t="n">
        <x:v>-0.049039034211319485</x:v>
      </x:c>
      <x:c r="D80" s="23" t="n">
        <x:v>0.1279414354218107</x:v>
      </x:c>
      <x:c r="E80" s="23" t="n">
        <x:v>-0.3832928249526236</x:v>
      </x:c>
      <x:c r="F80" s="23" t="n">
        <x:v>0.3674911660777385</x:v>
      </x:c>
      <x:c r="G80" s="23" t="n">
        <x:v>-0.02185142305075718</x:v>
      </x:c>
      <x:c r="H80" s="23" t="n">
        <x:v>-0.2684002451072706</x:v>
      </x:c>
      <x:c r="I80" s="24" t="n">
        <x:v>1981</x:v>
      </x:c>
      <x:c r="J80" s="25" t="n">
        <x:v>46210.21420491898</x:v>
      </x:c>
      <x:c r="K80" s="24" t="n">
        <x:v>8902245</x:v>
      </x:c>
      <x:c r="L80" t="str">
        <x:v>40355b29bce094aef0e99358bdfd4011b92e72a54440a67760de4afae4883c33</x:v>
      </x:c>
      <x:c r="M80" t="str">
        <x:v>legacy_common_sample_8902245</x:v>
      </x:c>
      <x:c r="N80" t="str">
        <x:v>factor_report/gtja191_batch/gtja_024/ic_summary.csv</x:v>
      </x:c>
    </x:row>
    <x:row r="81">
      <x:c r="A81" t="str">
        <x:v>gtja_025</x:v>
      </x:c>
      <x:c r="B81" s="22" t="n">
        <x:v>10</x:v>
      </x:c>
      <x:c r="C81" s="23" t="n">
        <x:v>0.02562738492603111</x:v>
      </x:c>
      <x:c r="D81" s="23" t="n">
        <x:v>0.12495399546577021</x:v>
      </x:c>
      <x:c r="E81" s="23" t="n">
        <x:v>0.20509456164650175</x:v>
      </x:c>
      <x:c r="F81" s="23" t="n">
        <x:v>0.5636464702612562</x:v>
      </x:c>
      <x:c r="G81" s="23" t="n">
        <x:v>0.013593127812259896</x:v>
      </x:c>
      <x:c r="H81" s="23" t="n">
        <x:v>0.12360991749066766</x:v>
      </x:c>
      <x:c r="I81" s="24" t="n">
        <x:v>1799</x:v>
      </x:c>
      <x:c r="J81" s="25" t="n">
        <x:v>46211.209765810185</x:v>
      </x:c>
      <x:c r="K81" s="24" t="n">
        <x:v>8902245</x:v>
      </x:c>
      <x:c r="L81" t="str">
        <x:v>8f7e606554926462248cbcc654181861438ca768a0063f6b317223ede37d16fb</x:v>
      </x:c>
      <x:c r="M81" t="str">
        <x:v>legacy_common_sample_8902245</x:v>
      </x:c>
      <x:c r="N81" t="str">
        <x:v>factor_report/gtja191_batch/gtja_025/ic_summary.csv</x:v>
      </x:c>
    </x:row>
    <x:row r="82">
      <x:c r="A82" t="str">
        <x:v>gtja_025</x:v>
      </x:c>
      <x:c r="B82" s="22" t="n">
        <x:v>20</x:v>
      </x:c>
      <x:c r="C82" s="23" t="n">
        <x:v>0.0303902036840893</x:v>
      </x:c>
      <x:c r="D82" s="23" t="n">
        <x:v>0.12358260783534632</x:v>
      </x:c>
      <x:c r="E82" s="23" t="n">
        <x:v>0.2459100371516621</x:v>
      </x:c>
      <x:c r="F82" s="23" t="n">
        <x:v>0.5992174399105645</x:v>
      </x:c>
      <x:c r="G82" s="23" t="n">
        <x:v>0.01711386380318972</x:v>
      </x:c>
      <x:c r="H82" s="23" t="n">
        <x:v>0.15383875212646866</x:v>
      </x:c>
      <x:c r="I82" s="24" t="n">
        <x:v>1789</x:v>
      </x:c>
      <x:c r="J82" s="25" t="n">
        <x:v>46211.209765810185</x:v>
      </x:c>
      <x:c r="K82" s="24" t="n">
        <x:v>8902245</x:v>
      </x:c>
      <x:c r="L82" t="str">
        <x:v>8f7e606554926462248cbcc654181861438ca768a0063f6b317223ede37d16fb</x:v>
      </x:c>
      <x:c r="M82" t="str">
        <x:v>legacy_common_sample_8902245</x:v>
      </x:c>
      <x:c r="N82" t="str">
        <x:v>factor_report/gtja191_batch/gtja_025/ic_summary.csv</x:v>
      </x:c>
    </x:row>
    <x:row r="83">
      <x:c r="A83" t="str">
        <x:v>gtja_026</x:v>
      </x:c>
      <x:c r="B83" s="22" t="n">
        <x:v>10</x:v>
      </x:c>
      <x:c r="C83" s="23" t="n">
        <x:v>0.027736643204687658</x:v>
      </x:c>
      <x:c r="D83" s="23" t="n">
        <x:v>0.12826922904020086</x:v>
      </x:c>
      <x:c r="E83" s="23" t="n">
        <x:v>0.2162377010623079</x:v>
      </x:c>
      <x:c r="F83" s="23" t="n">
        <x:v>0.5768595041322314</x:v>
      </x:c>
      <x:c r="G83" s="23" t="n">
        <x:v>0.01686150274276015</x:v>
      </x:c>
      <x:c r="H83" s="23" t="n">
        <x:v>0.21637148399933312</x:v>
      </x:c>
      <x:c r="I83" s="24" t="n">
        <x:v>1815</x:v>
      </x:c>
      <x:c r="J83" s="25" t="n">
        <x:v>46211.21334347222</x:v>
      </x:c>
      <x:c r="K83" s="24" t="n">
        <x:v>8902245</x:v>
      </x:c>
      <x:c r="L83" t="str">
        <x:v>8f7e606554926462248cbcc654181861438ca768a0063f6b317223ede37d16fb</x:v>
      </x:c>
      <x:c r="M83" t="str">
        <x:v>legacy_common_sample_8902245</x:v>
      </x:c>
      <x:c r="N83" t="str">
        <x:v>factor_report/gtja191_batch/gtja_026/ic_summary.csv</x:v>
      </x:c>
    </x:row>
    <x:row r="84">
      <x:c r="A84" t="str">
        <x:v>gtja_026</x:v>
      </x:c>
      <x:c r="B84" s="22" t="n">
        <x:v>20</x:v>
      </x:c>
      <x:c r="C84" s="23" t="n">
        <x:v>0.030547769477213424</x:v>
      </x:c>
      <x:c r="D84" s="23" t="n">
        <x:v>0.12363195768515851</x:v>
      </x:c>
      <x:c r="E84" s="23" t="n">
        <x:v>0.24708635250285738</x:v>
      </x:c>
      <x:c r="F84" s="23" t="n">
        <x:v>0.5861495844875346</x:v>
      </x:c>
      <x:c r="G84" s="23" t="n">
        <x:v>0.017788558908343993</x:v>
      </x:c>
      <x:c r="H84" s="23" t="n">
        <x:v>0.2285507454554719</x:v>
      </x:c>
      <x:c r="I84" s="24" t="n">
        <x:v>1805</x:v>
      </x:c>
      <x:c r="J84" s="25" t="n">
        <x:v>46211.21334347222</x:v>
      </x:c>
      <x:c r="K84" s="24" t="n">
        <x:v>8902245</x:v>
      </x:c>
      <x:c r="L84" t="str">
        <x:v>8f7e606554926462248cbcc654181861438ca768a0063f6b317223ede37d16fb</x:v>
      </x:c>
      <x:c r="M84" t="str">
        <x:v>legacy_common_sample_8902245</x:v>
      </x:c>
      <x:c r="N84" t="str">
        <x:v>factor_report/gtja191_batch/gtja_026/ic_summary.csv</x:v>
      </x:c>
    </x:row>
    <x:row r="85">
      <x:c r="A85" t="str">
        <x:v>gtja_027</x:v>
      </x:c>
      <x:c r="B85" s="22" t="n">
        <x:v>1</x:v>
      </x:c>
      <x:c r="C85" s="23" t="n">
        <x:v>-0.03227867179282106</x:v>
      </x:c>
      <x:c r="D85" s="23" t="n">
        <x:v>0.14999668735067814</x:v>
      </x:c>
      <x:c r="E85" s="23" t="n">
        <x:v>-0.21519589774243855</x:v>
      </x:c>
      <x:c r="F85" s="23" t="n">
        <x:v>0.407</x:v>
      </x:c>
      <x:c r="G85" s="23" t="n">
        <x:v>-0.018439360893491387</x:v>
      </x:c>
      <x:c r="H85" s="23" t="n">
        <x:v>-0.1361362306129998</x:v>
      </x:c>
      <x:c r="I85" s="24" t="n">
        <x:v>2000</x:v>
      </x:c>
      <x:c r="J85" s="25" t="n">
        <x:v>46210.22519262732</x:v>
      </x:c>
      <x:c r="K85" s="24" t="n">
        <x:v>8902245</x:v>
      </x:c>
      <x:c r="L85" t="str">
        <x:v>40355b29bce094aef0e99358bdfd4011b92e72a54440a67760de4afae4883c33</x:v>
      </x:c>
      <x:c r="M85" t="str">
        <x:v>legacy_common_sample_8902245</x:v>
      </x:c>
      <x:c r="N85" t="str">
        <x:v>factor_report/gtja191_batch/gtja_027/ic_summary.csv</x:v>
      </x:c>
    </x:row>
    <x:row r="86">
      <x:c r="A86" t="str">
        <x:v>gtja_027</x:v>
      </x:c>
      <x:c r="B86" s="22" t="n">
        <x:v>5</x:v>
      </x:c>
      <x:c r="C86" s="23" t="n">
        <x:v>-0.04258089304277106</x:v>
      </x:c>
      <x:c r="D86" s="23" t="n">
        <x:v>0.13959532134726346</x:v>
      </x:c>
      <x:c r="E86" s="23" t="n">
        <x:v>-0.30503094682410564</x:v>
      </x:c>
      <x:c r="F86" s="23" t="n">
        <x:v>0.3837675350701403</x:v>
      </x:c>
      <x:c r="G86" s="23" t="n">
        <x:v>-0.03352854253035088</x:v>
      </x:c>
      <x:c r="H86" s="23" t="n">
        <x:v>-0.27352712974741655</x:v>
      </x:c>
      <x:c r="I86" s="24" t="n">
        <x:v>1996</x:v>
      </x:c>
      <x:c r="J86" s="25" t="n">
        <x:v>46210.22519262732</x:v>
      </x:c>
      <x:c r="K86" s="24" t="n">
        <x:v>8902245</x:v>
      </x:c>
      <x:c r="L86" t="str">
        <x:v>40355b29bce094aef0e99358bdfd4011b92e72a54440a67760de4afae4883c33</x:v>
      </x:c>
      <x:c r="M86" t="str">
        <x:v>legacy_common_sample_8902245</x:v>
      </x:c>
      <x:c r="N86" t="str">
        <x:v>factor_report/gtja191_batch/gtja_027/ic_summary.csv</x:v>
      </x:c>
    </x:row>
    <x:row r="87">
      <x:c r="A87" t="str">
        <x:v>gtja_027</x:v>
      </x:c>
      <x:c r="B87" s="22" t="n">
        <x:v>10</x:v>
      </x:c>
      <x:c r="C87" s="23" t="n">
        <x:v>-0.04865420573089825</x:v>
      </x:c>
      <x:c r="D87" s="23" t="n">
        <x:v>0.13285489142566081</x:v>
      </x:c>
      <x:c r="E87" s="23" t="n">
        <x:v>-0.366220657807867</x:v>
      </x:c>
      <x:c r="F87" s="23" t="n">
        <x:v>0.3571069814163737</x:v>
      </x:c>
      <x:c r="G87" s="23" t="n">
        <x:v>-0.03923476520314543</x:v>
      </x:c>
      <x:c r="H87" s="23" t="n">
        <x:v>-0.338755004983672</x:v>
      </x:c>
      <x:c r="I87" s="24" t="n">
        <x:v>1991</x:v>
      </x:c>
      <x:c r="J87" s="25" t="n">
        <x:v>46210.22519262732</x:v>
      </x:c>
      <x:c r="K87" s="24" t="n">
        <x:v>8902245</x:v>
      </x:c>
      <x:c r="L87" t="str">
        <x:v>40355b29bce094aef0e99358bdfd4011b92e72a54440a67760de4afae4883c33</x:v>
      </x:c>
      <x:c r="M87" t="str">
        <x:v>legacy_common_sample_8902245</x:v>
      </x:c>
      <x:c r="N87" t="str">
        <x:v>factor_report/gtja191_batch/gtja_027/ic_summary.csv</x:v>
      </x:c>
    </x:row>
    <x:row r="88">
      <x:c r="A88" t="str">
        <x:v>gtja_027</x:v>
      </x:c>
      <x:c r="B88" s="22" t="n">
        <x:v>20</x:v>
      </x:c>
      <x:c r="C88" s="23" t="n">
        <x:v>-0.057093229495932894</x:v>
      </x:c>
      <x:c r="D88" s="23" t="n">
        <x:v>0.13214307218299262</x:v>
      </x:c>
      <x:c r="E88" s="23" t="n">
        <x:v>-0.4320561687628225</x:v>
      </x:c>
      <x:c r="F88" s="23" t="n">
        <x:v>0.33266027258960124</x:v>
      </x:c>
      <x:c r="G88" s="23" t="n">
        <x:v>-0.043771221717553974</x:v>
      </x:c>
      <x:c r="H88" s="23" t="n">
        <x:v>-0.381668651770488</x:v>
      </x:c>
      <x:c r="I88" s="24" t="n">
        <x:v>1981</x:v>
      </x:c>
      <x:c r="J88" s="25" t="n">
        <x:v>46210.22519262732</x:v>
      </x:c>
      <x:c r="K88" s="24" t="n">
        <x:v>8902245</x:v>
      </x:c>
      <x:c r="L88" t="str">
        <x:v>40355b29bce094aef0e99358bdfd4011b92e72a54440a67760de4afae4883c33</x:v>
      </x:c>
      <x:c r="M88" t="str">
        <x:v>legacy_common_sample_8902245</x:v>
      </x:c>
      <x:c r="N88" t="str">
        <x:v>factor_report/gtja191_batch/gtja_027/ic_summary.csv</x:v>
      </x:c>
    </x:row>
    <x:row r="89">
      <x:c r="A89" t="str">
        <x:v>gtja_028</x:v>
      </x:c>
      <x:c r="B89" s="22" t="n">
        <x:v>10</x:v>
      </x:c>
      <x:c r="C89" s="23" t="n">
        <x:v>-0.013591252705807414</x:v>
      </x:c>
      <x:c r="D89" s="23" t="n">
        <x:v>0.12060781872224505</x:v>
      </x:c>
      <x:c r="E89" s="23" t="n">
        <x:v>-0.11268964856339474</x:v>
      </x:c>
      <x:c r="F89" s="23" t="n">
        <x:v>0.46509291813159215</x:v>
      </x:c>
      <x:c r="G89" s="23" t="n">
        <x:v>-0.008679520883049276</x:v>
      </x:c>
      <x:c r="H89" s="23" t="n">
        <x:v>-0.08450172789563719</x:v>
      </x:c>
      <x:c r="I89" s="24" t="n">
        <x:v>1991</x:v>
      </x:c>
      <x:c r="J89" s="25" t="n">
        <x:v>46211.21958586806</x:v>
      </x:c>
      <x:c r="K89" s="24" t="n">
        <x:v>8902245</x:v>
      </x:c>
      <x:c r="L89" t="str">
        <x:v>8f7e606554926462248cbcc654181861438ca768a0063f6b317223ede37d16fb</x:v>
      </x:c>
      <x:c r="M89" t="str">
        <x:v>legacy_common_sample_8902245</x:v>
      </x:c>
      <x:c r="N89" t="str">
        <x:v>factor_report/gtja191_batch/gtja_028/ic_summary.csv</x:v>
      </x:c>
    </x:row>
    <x:row r="90">
      <x:c r="A90" t="str">
        <x:v>gtja_028</x:v>
      </x:c>
      <x:c r="B90" s="22" t="n">
        <x:v>20</x:v>
      </x:c>
      <x:c r="C90" s="23" t="n">
        <x:v>-0.016461821597344287</x:v>
      </x:c>
      <x:c r="D90" s="23" t="n">
        <x:v>0.11824980556945991</x:v>
      </x:c>
      <x:c r="E90" s="23" t="n">
        <x:v>-0.1392122508622191</x:v>
      </x:c>
      <x:c r="F90" s="23" t="n">
        <x:v>0.4538112064613831</x:v>
      </x:c>
      <x:c r="G90" s="23" t="n">
        <x:v>-0.011278761986211578</x:v>
      </x:c>
      <x:c r="H90" s="23" t="n">
        <x:v>-0.11245657546711386</x:v>
      </x:c>
      <x:c r="I90" s="24" t="n">
        <x:v>1981</x:v>
      </x:c>
      <x:c r="J90" s="25" t="n">
        <x:v>46211.21958586806</x:v>
      </x:c>
      <x:c r="K90" s="24" t="n">
        <x:v>8902245</x:v>
      </x:c>
      <x:c r="L90" t="str">
        <x:v>8f7e606554926462248cbcc654181861438ca768a0063f6b317223ede37d16fb</x:v>
      </x:c>
      <x:c r="M90" t="str">
        <x:v>legacy_common_sample_8902245</x:v>
      </x:c>
      <x:c r="N90" t="str">
        <x:v>factor_report/gtja191_batch/gtja_028/ic_summary.csv</x:v>
      </x:c>
    </x:row>
    <x:row r="91">
      <x:c r="A91" t="str">
        <x:v>gtja_029</x:v>
      </x:c>
      <x:c r="B91" s="22" t="n">
        <x:v>1</x:v>
      </x:c>
      <x:c r="C91" s="23" t="n">
        <x:v>-0.027130118862266767</x:v>
      </x:c>
      <x:c r="D91" s="23" t="n">
        <x:v>0.1242844145931604</x:v>
      </x:c>
      <x:c r="E91" s="23" t="n">
        <x:v>-0.2182905954143649</x:v>
      </x:c>
      <x:c r="F91" s="23" t="n">
        <x:v>0.412</x:v>
      </x:c>
      <x:c r="G91" s="23" t="n">
        <x:v>-0.016923580052514417</x:v>
      </x:c>
      <x:c r="H91" s="23" t="n">
        <x:v>-0.2197756707613912</x:v>
      </x:c>
      <x:c r="I91" s="24" t="n">
        <x:v>2000</x:v>
      </x:c>
      <x:c r="J91" s="25" t="n">
        <x:v>46210.234402939815</x:v>
      </x:c>
      <x:c r="K91" s="24" t="n">
        <x:v>8902245</x:v>
      </x:c>
      <x:c r="L91" t="str">
        <x:v>40355b29bce094aef0e99358bdfd4011b92e72a54440a67760de4afae4883c33</x:v>
      </x:c>
      <x:c r="M91" t="str">
        <x:v>legacy_common_sample_8902245</x:v>
      </x:c>
      <x:c r="N91" t="str">
        <x:v>factor_report/gtja191_batch/gtja_029/ic_summary.csv</x:v>
      </x:c>
    </x:row>
    <x:row r="92">
      <x:c r="A92" t="str">
        <x:v>gtja_029</x:v>
      </x:c>
      <x:c r="B92" s="22" t="n">
        <x:v>5</x:v>
      </x:c>
      <x:c r="C92" s="23" t="n">
        <x:v>-0.030787904669802236</x:v>
      </x:c>
      <x:c r="D92" s="23" t="n">
        <x:v>0.11363257415051845</x:v>
      </x:c>
      <x:c r="E92" s="23" t="n">
        <x:v>-0.27094259634583634</x:v>
      </x:c>
      <x:c r="F92" s="23" t="n">
        <x:v>0.3927855711422846</x:v>
      </x:c>
      <x:c r="G92" s="23" t="n">
        <x:v>-0.027442891017260232</x:v>
      </x:c>
      <x:c r="H92" s="23" t="n">
        <x:v>-0.39913021681568156</x:v>
      </x:c>
      <x:c r="I92" s="24" t="n">
        <x:v>1996</x:v>
      </x:c>
      <x:c r="J92" s="25" t="n">
        <x:v>46210.234402939815</x:v>
      </x:c>
      <x:c r="K92" s="24" t="n">
        <x:v>8902245</x:v>
      </x:c>
      <x:c r="L92" t="str">
        <x:v>40355b29bce094aef0e99358bdfd4011b92e72a54440a67760de4afae4883c33</x:v>
      </x:c>
      <x:c r="M92" t="str">
        <x:v>legacy_common_sample_8902245</x:v>
      </x:c>
      <x:c r="N92" t="str">
        <x:v>factor_report/gtja191_batch/gtja_029/ic_summary.csv</x:v>
      </x:c>
    </x:row>
    <x:row r="93">
      <x:c r="A93" t="str">
        <x:v>gtja_029</x:v>
      </x:c>
      <x:c r="B93" s="22" t="n">
        <x:v>10</x:v>
      </x:c>
      <x:c r="C93" s="23" t="n">
        <x:v>-0.03161670993285054</x:v>
      </x:c>
      <x:c r="D93" s="23" t="n">
        <x:v>0.10584119237246778</x:v>
      </x:c>
      <x:c r="E93" s="23" t="n">
        <x:v>-0.2987183838744708</x:v>
      </x:c>
      <x:c r="F93" s="23" t="n">
        <x:v>0.3937719738824711</x:v>
      </x:c>
      <x:c r="G93" s="23" t="n">
        <x:v>-0.028740183137501273</x:v>
      </x:c>
      <x:c r="H93" s="23" t="n">
        <x:v>-0.4524841006052018</x:v>
      </x:c>
      <x:c r="I93" s="24" t="n">
        <x:v>1991</x:v>
      </x:c>
      <x:c r="J93" s="25" t="n">
        <x:v>46210.234402939815</x:v>
      </x:c>
      <x:c r="K93" s="24" t="n">
        <x:v>8902245</x:v>
      </x:c>
      <x:c r="L93" t="str">
        <x:v>40355b29bce094aef0e99358bdfd4011b92e72a54440a67760de4afae4883c33</x:v>
      </x:c>
      <x:c r="M93" t="str">
        <x:v>legacy_common_sample_8902245</x:v>
      </x:c>
      <x:c r="N93" t="str">
        <x:v>factor_report/gtja191_batch/gtja_029/ic_summary.csv</x:v>
      </x:c>
    </x:row>
    <x:row r="94">
      <x:c r="A94" t="str">
        <x:v>gtja_029</x:v>
      </x:c>
      <x:c r="B94" s="22" t="n">
        <x:v>20</x:v>
      </x:c>
      <x:c r="C94" s="23" t="n">
        <x:v>-0.03346616278855135</x:v>
      </x:c>
      <x:c r="D94" s="23" t="n">
        <x:v>0.10547796796649117</x:v>
      </x:c>
      <x:c r="E94" s="23" t="n">
        <x:v>-0.31728107237696374</x:v>
      </x:c>
      <x:c r="F94" s="23" t="n">
        <x:v>0.3831398283695103</x:v>
      </x:c>
      <x:c r="G94" s="23" t="n">
        <x:v>-0.03062477735943441</x:v>
      </x:c>
      <x:c r="H94" s="23" t="n">
        <x:v>-0.5284775138016177</x:v>
      </x:c>
      <x:c r="I94" s="24" t="n">
        <x:v>1981</x:v>
      </x:c>
      <x:c r="J94" s="25" t="n">
        <x:v>46210.234402939815</x:v>
      </x:c>
      <x:c r="K94" s="24" t="n">
        <x:v>8902245</x:v>
      </x:c>
      <x:c r="L94" t="str">
        <x:v>40355b29bce094aef0e99358bdfd4011b92e72a54440a67760de4afae4883c33</x:v>
      </x:c>
      <x:c r="M94" t="str">
        <x:v>legacy_common_sample_8902245</x:v>
      </x:c>
      <x:c r="N94" t="str">
        <x:v>factor_report/gtja191_batch/gtja_029/ic_summary.csv</x:v>
      </x:c>
    </x:row>
    <x:row r="95">
      <x:c r="A95" t="str">
        <x:v>gtja_031</x:v>
      </x:c>
      <x:c r="B95" s="22" t="n">
        <x:v>1</x:v>
      </x:c>
      <x:c r="C95" s="23" t="n">
        <x:v>-0.0325941446144204</x:v>
      </x:c>
      <x:c r="D95" s="23" t="n">
        <x:v>0.15404625245363318</x:v>
      </x:c>
      <x:c r="E95" s="23" t="n">
        <x:v>-0.21158674161340604</x:v>
      </x:c>
      <x:c r="F95" s="23" t="n">
        <x:v>0.412</x:v>
      </x:c>
      <x:c r="G95" s="23" t="n">
        <x:v>-0.017912612109799345</x:v>
      </x:c>
      <x:c r="H95" s="23" t="n">
        <x:v>-0.13333214798287799</x:v>
      </x:c>
      <x:c r="I95" s="24" t="n">
        <x:v>2000</x:v>
      </x:c>
      <x:c r="J95" s="25" t="n">
        <x:v>46210.23892871528</x:v>
      </x:c>
      <x:c r="K95" s="24" t="n">
        <x:v>8902245</x:v>
      </x:c>
      <x:c r="L95" t="str">
        <x:v>40355b29bce094aef0e99358bdfd4011b92e72a54440a67760de4afae4883c33</x:v>
      </x:c>
      <x:c r="M95" t="str">
        <x:v>legacy_common_sample_8902245</x:v>
      </x:c>
      <x:c r="N95" t="str">
        <x:v>factor_report/gtja191_batch/gtja_031/ic_summary.csv</x:v>
      </x:c>
    </x:row>
    <x:row r="96">
      <x:c r="A96" t="str">
        <x:v>gtja_031</x:v>
      </x:c>
      <x:c r="B96" s="22" t="n">
        <x:v>5</x:v>
      </x:c>
      <x:c r="C96" s="23" t="n">
        <x:v>-0.036798000064215984</x:v>
      </x:c>
      <x:c r="D96" s="23" t="n">
        <x:v>0.13779258485631646</x:v>
      </x:c>
      <x:c r="E96" s="23" t="n">
        <x:v>-0.26705355808940795</x:v>
      </x:c>
      <x:c r="F96" s="23" t="n">
        <x:v>0.3897795591182365</x:v>
      </x:c>
      <x:c r="G96" s="23" t="n">
        <x:v>-0.03464532959773875</x:v>
      </x:c>
      <x:c r="H96" s="23" t="n">
        <x:v>-0.2912691030650861</x:v>
      </x:c>
      <x:c r="I96" s="24" t="n">
        <x:v>1996</x:v>
      </x:c>
      <x:c r="J96" s="25" t="n">
        <x:v>46210.23892871528</x:v>
      </x:c>
      <x:c r="K96" s="24" t="n">
        <x:v>8902245</x:v>
      </x:c>
      <x:c r="L96" t="str">
        <x:v>40355b29bce094aef0e99358bdfd4011b92e72a54440a67760de4afae4883c33</x:v>
      </x:c>
      <x:c r="M96" t="str">
        <x:v>legacy_common_sample_8902245</x:v>
      </x:c>
      <x:c r="N96" t="str">
        <x:v>factor_report/gtja191_batch/gtja_031/ic_summary.csv</x:v>
      </x:c>
    </x:row>
    <x:row r="97">
      <x:c r="A97" t="str">
        <x:v>gtja_031</x:v>
      </x:c>
      <x:c r="B97" s="22" t="n">
        <x:v>10</x:v>
      </x:c>
      <x:c r="C97" s="23" t="n">
        <x:v>-0.03805880603715265</x:v>
      </x:c>
      <x:c r="D97" s="23" t="n">
        <x:v>0.13268875982438466</x:v>
      </x:c>
      <x:c r="E97" s="23" t="n">
        <x:v>-0.2868276565967154</x:v>
      </x:c>
      <x:c r="F97" s="23" t="n">
        <x:v>0.3987945755901557</x:v>
      </x:c>
      <x:c r="G97" s="23" t="n">
        <x:v>-0.03753859343306854</x:v>
      </x:c>
      <x:c r="H97" s="23" t="n">
        <x:v>-0.3341549314506358</x:v>
      </x:c>
      <x:c r="I97" s="24" t="n">
        <x:v>1991</x:v>
      </x:c>
      <x:c r="J97" s="25" t="n">
        <x:v>46210.23892871528</x:v>
      </x:c>
      <x:c r="K97" s="24" t="n">
        <x:v>8902245</x:v>
      </x:c>
      <x:c r="L97" t="str">
        <x:v>40355b29bce094aef0e99358bdfd4011b92e72a54440a67760de4afae4883c33</x:v>
      </x:c>
      <x:c r="M97" t="str">
        <x:v>legacy_common_sample_8902245</x:v>
      </x:c>
      <x:c r="N97" t="str">
        <x:v>factor_report/gtja191_batch/gtja_031/ic_summary.csv</x:v>
      </x:c>
    </x:row>
    <x:row r="98">
      <x:c r="A98" t="str">
        <x:v>gtja_031</x:v>
      </x:c>
      <x:c r="B98" s="22" t="n">
        <x:v>20</x:v>
      </x:c>
      <x:c r="C98" s="23" t="n">
        <x:v>-0.04388569754062773</x:v>
      </x:c>
      <x:c r="D98" s="23" t="n">
        <x:v>0.12856787073727688</x:v>
      </x:c>
      <x:c r="E98" s="23" t="n">
        <x:v>-0.3413426487423622</x:v>
      </x:c>
      <x:c r="F98" s="23" t="n">
        <x:v>0.37657748611812214</x:v>
      </x:c>
      <x:c r="G98" s="23" t="n">
        <x:v>-0.0410780614295464</x:v>
      </x:c>
      <x:c r="H98" s="23" t="n">
        <x:v>-0.3783281995972305</x:v>
      </x:c>
      <x:c r="I98" s="24" t="n">
        <x:v>1981</x:v>
      </x:c>
      <x:c r="J98" s="25" t="n">
        <x:v>46210.23892871528</x:v>
      </x:c>
      <x:c r="K98" s="24" t="n">
        <x:v>8902245</x:v>
      </x:c>
      <x:c r="L98" t="str">
        <x:v>40355b29bce094aef0e99358bdfd4011b92e72a54440a67760de4afae4883c33</x:v>
      </x:c>
      <x:c r="M98" t="str">
        <x:v>legacy_common_sample_8902245</x:v>
      </x:c>
      <x:c r="N98" t="str">
        <x:v>factor_report/gtja191_batch/gtja_031/ic_summary.csv</x:v>
      </x:c>
    </x:row>
    <x:row r="99">
      <x:c r="A99" t="str">
        <x:v>gtja_032</x:v>
      </x:c>
      <x:c r="B99" s="22" t="n">
        <x:v>10</x:v>
      </x:c>
      <x:c r="C99" s="23" t="n">
        <x:v>0.03607090076309309</x:v>
      </x:c>
      <x:c r="D99" s="23" t="n">
        <x:v>0.052213115253562745</x:v>
      </x:c>
      <x:c r="E99" s="23" t="n">
        <x:v>0.6908398510206074</x:v>
      </x:c>
      <x:c r="F99" s="23" t="n">
        <x:v>0.7649422400803616</x:v>
      </x:c>
      <x:c r="G99" s="23" t="n">
        <x:v>0.015685991226727817</x:v>
      </x:c>
      <x:c r="H99" s="23" t="n">
        <x:v>0.3432704750176013</x:v>
      </x:c>
      <x:c r="I99" s="24" t="n">
        <x:v>1991</x:v>
      </x:c>
      <x:c r="J99" s="25" t="n">
        <x:v>46211.2231158912</x:v>
      </x:c>
      <x:c r="K99" s="24" t="n">
        <x:v>8902245</x:v>
      </x:c>
      <x:c r="L99" t="str">
        <x:v>8f7e606554926462248cbcc654181861438ca768a0063f6b317223ede37d16fb</x:v>
      </x:c>
      <x:c r="M99" t="str">
        <x:v>legacy_common_sample_8902245</x:v>
      </x:c>
      <x:c r="N99" t="str">
        <x:v>factor_report/gtja191_batch/gtja_032/ic_summary.csv</x:v>
      </x:c>
    </x:row>
    <x:row r="100">
      <x:c r="A100" t="str">
        <x:v>gtja_032</x:v>
      </x:c>
      <x:c r="B100" s="22" t="n">
        <x:v>20</x:v>
      </x:c>
      <x:c r="C100" s="23" t="n">
        <x:v>0.03773642741915077</x:v>
      </x:c>
      <x:c r="D100" s="23" t="n">
        <x:v>0.050327468143486626</x:v>
      </x:c>
      <x:c r="E100" s="23" t="n">
        <x:v>0.7498177200482639</x:v>
      </x:c>
      <x:c r="F100" s="23" t="n">
        <x:v>0.7657748611812216</x:v>
      </x:c>
      <x:c r="G100" s="23" t="n">
        <x:v>0.018068366772853468</x:v>
      </x:c>
      <x:c r="H100" s="23" t="n">
        <x:v>0.40960249439930274</x:v>
      </x:c>
      <x:c r="I100" s="24" t="n">
        <x:v>1981</x:v>
      </x:c>
      <x:c r="J100" s="25" t="n">
        <x:v>46211.2231158912</x:v>
      </x:c>
      <x:c r="K100" s="24" t="n">
        <x:v>8902245</x:v>
      </x:c>
      <x:c r="L100" t="str">
        <x:v>8f7e606554926462248cbcc654181861438ca768a0063f6b317223ede37d16fb</x:v>
      </x:c>
      <x:c r="M100" t="str">
        <x:v>legacy_common_sample_8902245</x:v>
      </x:c>
      <x:c r="N100" t="str">
        <x:v>factor_report/gtja191_batch/gtja_032/ic_summary.csv</x:v>
      </x:c>
    </x:row>
    <x:row r="101">
      <x:c r="A101" t="str">
        <x:v>gtja_033</x:v>
      </x:c>
      <x:c r="B101" s="22" t="n">
        <x:v>10</x:v>
      </x:c>
      <x:c r="C101" s="23" t="n">
        <x:v>0.030623947788683107</x:v>
      </x:c>
      <x:c r="D101" s="23" t="n">
        <x:v>0.11567378323717986</x:v>
      </x:c>
      <x:c r="E101" s="23" t="n">
        <x:v>0.26474406673369666</x:v>
      </x:c>
      <x:c r="F101" s="23" t="n">
        <x:v>0.5975677169707021</x:v>
      </x:c>
      <x:c r="G101" s="23" t="n">
        <x:v>0.011926812227976993</x:v>
      </x:c>
      <x:c r="H101" s="23" t="n">
        <x:v>0.18221411123524017</x:v>
      </x:c>
      <x:c r="I101" s="24" t="n">
        <x:v>1809</x:v>
      </x:c>
      <x:c r="J101" s="25" t="n">
        <x:v>46211.22782114583</x:v>
      </x:c>
      <x:c r="K101" s="24" t="n">
        <x:v>8902245</x:v>
      </x:c>
      <x:c r="L101" t="str">
        <x:v>8f7e606554926462248cbcc654181861438ca768a0063f6b317223ede37d16fb</x:v>
      </x:c>
      <x:c r="M101" t="str">
        <x:v>legacy_common_sample_8902245</x:v>
      </x:c>
      <x:c r="N101" t="str">
        <x:v>factor_report/gtja191_batch/gtja_033/ic_summary.csv</x:v>
      </x:c>
    </x:row>
    <x:row r="102">
      <x:c r="A102" t="str">
        <x:v>gtja_033</x:v>
      </x:c>
      <x:c r="B102" s="22" t="n">
        <x:v>20</x:v>
      </x:c>
      <x:c r="C102" s="23" t="n">
        <x:v>0.03213346568996951</x:v>
      </x:c>
      <x:c r="D102" s="23" t="n">
        <x:v>0.11613755386915903</x:v>
      </x:c>
      <x:c r="E102" s="23" t="n">
        <x:v>0.2766845401804414</x:v>
      </x:c>
      <x:c r="F102" s="23" t="n">
        <x:v>0.6147859922178989</x:v>
      </x:c>
      <x:c r="G102" s="23" t="n">
        <x:v>0.01094773363540187</x:v>
      </x:c>
      <x:c r="H102" s="23" t="n">
        <x:v>0.16642255560689762</x:v>
      </x:c>
      <x:c r="I102" s="24" t="n">
        <x:v>1799</x:v>
      </x:c>
      <x:c r="J102" s="25" t="n">
        <x:v>46211.22782114583</x:v>
      </x:c>
      <x:c r="K102" s="24" t="n">
        <x:v>8902245</x:v>
      </x:c>
      <x:c r="L102" t="str">
        <x:v>8f7e606554926462248cbcc654181861438ca768a0063f6b317223ede37d16fb</x:v>
      </x:c>
      <x:c r="M102" t="str">
        <x:v>legacy_common_sample_8902245</x:v>
      </x:c>
      <x:c r="N102" t="str">
        <x:v>factor_report/gtja191_batch/gtja_033/ic_summary.csv</x:v>
      </x:c>
    </x:row>
    <x:row r="103">
      <x:c r="A103" t="str">
        <x:v>gtja_034</x:v>
      </x:c>
      <x:c r="B103" s="22" t="n">
        <x:v>10</x:v>
      </x:c>
      <x:c r="C103" s="23" t="n">
        <x:v>0.03805878762791508</x:v>
      </x:c>
      <x:c r="D103" s="23" t="n">
        <x:v>0.132688738618553</x:v>
      </x:c>
      <x:c r="E103" s="23" t="n">
        <x:v>0.2868275636964535</x:v>
      </x:c>
      <x:c r="F103" s="23" t="n">
        <x:v>0.6012054244098443</x:v>
      </x:c>
      <x:c r="G103" s="23" t="n">
        <x:v>0.0327528515186383</x:v>
      </x:c>
      <x:c r="H103" s="23" t="n">
        <x:v>0.2910644671297059</x:v>
      </x:c>
      <x:c r="I103" s="24" t="n">
        <x:v>1991</x:v>
      </x:c>
      <x:c r="J103" s="25" t="n">
        <x:v>46211.230695833336</x:v>
      </x:c>
      <x:c r="K103" s="24" t="n">
        <x:v>8902245</x:v>
      </x:c>
      <x:c r="L103" t="str">
        <x:v>8f7e606554926462248cbcc654181861438ca768a0063f6b317223ede37d16fb</x:v>
      </x:c>
      <x:c r="M103" t="str">
        <x:v>legacy_common_sample_8902245</x:v>
      </x:c>
      <x:c r="N103" t="str">
        <x:v>factor_report/gtja191_batch/gtja_034/ic_summary.csv</x:v>
      </x:c>
    </x:row>
    <x:row r="104">
      <x:c r="A104" t="str">
        <x:v>gtja_034</x:v>
      </x:c>
      <x:c r="B104" s="22" t="n">
        <x:v>20</x:v>
      </x:c>
      <x:c r="C104" s="23" t="n">
        <x:v>0.04388568023091014</x:v>
      </x:c>
      <x:c r="D104" s="23" t="n">
        <x:v>0.12856784648346237</x:v>
      </x:c>
      <x:c r="E104" s="23" t="n">
        <x:v>0.3413425785004118</x:v>
      </x:c>
      <x:c r="F104" s="23" t="n">
        <x:v>0.6234225138818779</x:v>
      </x:c>
      <x:c r="G104" s="23" t="n">
        <x:v>0.03653057003266553</x:v>
      </x:c>
      <x:c r="H104" s="23" t="n">
        <x:v>0.33539572322136363</x:v>
      </x:c>
      <x:c r="I104" s="24" t="n">
        <x:v>1981</x:v>
      </x:c>
      <x:c r="J104" s="25" t="n">
        <x:v>46211.230695833336</x:v>
      </x:c>
      <x:c r="K104" s="24" t="n">
        <x:v>8902245</x:v>
      </x:c>
      <x:c r="L104" t="str">
        <x:v>8f7e606554926462248cbcc654181861438ca768a0063f6b317223ede37d16fb</x:v>
      </x:c>
      <x:c r="M104" t="str">
        <x:v>legacy_common_sample_8902245</x:v>
      </x:c>
      <x:c r="N104" t="str">
        <x:v>factor_report/gtja191_batch/gtja_034/ic_summary.csv</x:v>
      </x:c>
    </x:row>
    <x:row r="105">
      <x:c r="A105" t="str">
        <x:v>gtja_035</x:v>
      </x:c>
      <x:c r="B105" s="22" t="n">
        <x:v>10</x:v>
      </x:c>
      <x:c r="C105" s="23" t="n">
        <x:v>0.033680898953476535</x:v>
      </x:c>
      <x:c r="D105" s="23" t="n">
        <x:v>0.09795333147615004</x:v>
      </x:c>
      <x:c r="E105" s="23" t="n">
        <x:v>0.34384638527253414</x:v>
      </x:c>
      <x:c r="F105" s="23" t="n">
        <x:v>0.6494224008036162</x:v>
      </x:c>
      <x:c r="G105" s="23" t="n">
        <x:v>0.025416303370882704</x:v>
      </x:c>
      <x:c r="H105" s="23" t="n">
        <x:v>0.29428530777800493</x:v>
      </x:c>
      <x:c r="I105" s="24" t="n">
        <x:v>1991</x:v>
      </x:c>
      <x:c r="J105" s="25" t="n">
        <x:v>46211.2335940162</x:v>
      </x:c>
      <x:c r="K105" s="24" t="n">
        <x:v>8902245</x:v>
      </x:c>
      <x:c r="L105" t="str">
        <x:v>8f7e606554926462248cbcc654181861438ca768a0063f6b317223ede37d16fb</x:v>
      </x:c>
      <x:c r="M105" t="str">
        <x:v>legacy_common_sample_8902245</x:v>
      </x:c>
      <x:c r="N105" t="str">
        <x:v>factor_report/gtja191_batch/gtja_035/ic_summary.csv</x:v>
      </x:c>
    </x:row>
    <x:row r="106">
      <x:c r="A106" t="str">
        <x:v>gtja_035</x:v>
      </x:c>
      <x:c r="B106" s="22" t="n">
        <x:v>20</x:v>
      </x:c>
      <x:c r="C106" s="23" t="n">
        <x:v>0.03934209835890449</x:v>
      </x:c>
      <x:c r="D106" s="23" t="n">
        <x:v>0.09802067572825025</x:v>
      </x:c>
      <x:c r="E106" s="23" t="n">
        <x:v>0.4013653044789796</x:v>
      </x:c>
      <x:c r="F106" s="23" t="n">
        <x:v>0.6567390206966178</x:v>
      </x:c>
      <x:c r="G106" s="23" t="n">
        <x:v>0.029816239824070334</x:v>
      </x:c>
      <x:c r="H106" s="23" t="n">
        <x:v>0.3399153360009977</x:v>
      </x:c>
      <x:c r="I106" s="24" t="n">
        <x:v>1981</x:v>
      </x:c>
      <x:c r="J106" s="25" t="n">
        <x:v>46211.2335940162</x:v>
      </x:c>
      <x:c r="K106" s="24" t="n">
        <x:v>8902245</x:v>
      </x:c>
      <x:c r="L106" t="str">
        <x:v>8f7e606554926462248cbcc654181861438ca768a0063f6b317223ede37d16fb</x:v>
      </x:c>
      <x:c r="M106" t="str">
        <x:v>legacy_common_sample_8902245</x:v>
      </x:c>
      <x:c r="N106" t="str">
        <x:v>factor_report/gtja191_batch/gtja_035/ic_summary.csv</x:v>
      </x:c>
    </x:row>
    <x:row r="107">
      <x:c r="A107" t="str">
        <x:v>gtja_036</x:v>
      </x:c>
      <x:c r="B107" s="22" t="n">
        <x:v>1</x:v>
      </x:c>
      <x:c r="C107" s="23" t="n">
        <x:v>-0.028994801088092843</x:v>
      </x:c>
      <x:c r="D107" s="23" t="n">
        <x:v>0.07107259223332096</x:v>
      </x:c>
      <x:c r="E107" s="23" t="n">
        <x:v>-0.40796037089666204</x:v>
      </x:c>
      <x:c r="F107" s="23" t="n">
        <x:v>0.34</x:v>
      </x:c>
      <x:c r="G107" s="23" t="n">
        <x:v>-0.008689297473139998</x:v>
      </x:c>
      <x:c r="H107" s="23" t="n">
        <x:v>-0.14056983241218765</x:v>
      </x:c>
      <x:c r="I107" s="24" t="n">
        <x:v>2000</x:v>
      </x:c>
      <x:c r="J107" s="25" t="n">
        <x:v>46210.26318543981</x:v>
      </x:c>
      <x:c r="K107" s="24" t="n">
        <x:v>8902245</x:v>
      </x:c>
      <x:c r="L107" t="str">
        <x:v>40355b29bce094aef0e99358bdfd4011b92e72a54440a67760de4afae4883c33</x:v>
      </x:c>
      <x:c r="M107" t="str">
        <x:v>legacy_common_sample_8902245</x:v>
      </x:c>
      <x:c r="N107" t="str">
        <x:v>factor_report/gtja191_batch/gtja_036/ic_summary.csv</x:v>
      </x:c>
    </x:row>
    <x:row r="108">
      <x:c r="A108" t="str">
        <x:v>gtja_036</x:v>
      </x:c>
      <x:c r="B108" s="22" t="n">
        <x:v>5</x:v>
      </x:c>
      <x:c r="C108" s="23" t="n">
        <x:v>-0.03964438279450235</x:v>
      </x:c>
      <x:c r="D108" s="23" t="n">
        <x:v>0.06598612552820726</x:v>
      </x:c>
      <x:c r="E108" s="23" t="n">
        <x:v>-0.600798766061139</x:v>
      </x:c>
      <x:c r="F108" s="23" t="n">
        <x:v>0.26102204408817636</x:v>
      </x:c>
      <x:c r="G108" s="23" t="n">
        <x:v>-0.016290995186504936</x:v>
      </x:c>
      <x:c r="H108" s="23" t="n">
        <x:v>-0.27986013216852995</x:v>
      </x:c>
      <x:c r="I108" s="24" t="n">
        <x:v>1996</x:v>
      </x:c>
      <x:c r="J108" s="25" t="n">
        <x:v>46210.26318543981</x:v>
      </x:c>
      <x:c r="K108" s="24" t="n">
        <x:v>8902245</x:v>
      </x:c>
      <x:c r="L108" t="str">
        <x:v>40355b29bce094aef0e99358bdfd4011b92e72a54440a67760de4afae4883c33</x:v>
      </x:c>
      <x:c r="M108" t="str">
        <x:v>legacy_common_sample_8902245</x:v>
      </x:c>
      <x:c r="N108" t="str">
        <x:v>factor_report/gtja191_batch/gtja_036/ic_summary.csv</x:v>
      </x:c>
    </x:row>
    <x:row r="109">
      <x:c r="A109" t="str">
        <x:v>gtja_036</x:v>
      </x:c>
      <x:c r="B109" s="22" t="n">
        <x:v>10</x:v>
      </x:c>
      <x:c r="C109" s="23" t="n">
        <x:v>-0.044762888764742104</x:v>
      </x:c>
      <x:c r="D109" s="23" t="n">
        <x:v>0.06517786013303334</x:v>
      </x:c>
      <x:c r="E109" s="23" t="n">
        <x:v>-0.6867805827527537</x:v>
      </x:c>
      <x:c r="F109" s="23" t="n">
        <x:v>0.23756906077348067</x:v>
      </x:c>
      <x:c r="G109" s="23" t="n">
        <x:v>-0.020028430395840468</x:v>
      </x:c>
      <x:c r="H109" s="23" t="n">
        <x:v>-0.35025570524958416</x:v>
      </x:c>
      <x:c r="I109" s="24" t="n">
        <x:v>1991</x:v>
      </x:c>
      <x:c r="J109" s="25" t="n">
        <x:v>46210.26318543981</x:v>
      </x:c>
      <x:c r="K109" s="24" t="n">
        <x:v>8902245</x:v>
      </x:c>
      <x:c r="L109" t="str">
        <x:v>40355b29bce094aef0e99358bdfd4011b92e72a54440a67760de4afae4883c33</x:v>
      </x:c>
      <x:c r="M109" t="str">
        <x:v>legacy_common_sample_8902245</x:v>
      </x:c>
      <x:c r="N109" t="str">
        <x:v>factor_report/gtja191_batch/gtja_036/ic_summary.csv</x:v>
      </x:c>
    </x:row>
    <x:row r="110">
      <x:c r="A110" t="str">
        <x:v>gtja_036</x:v>
      </x:c>
      <x:c r="B110" s="22" t="n">
        <x:v>20</x:v>
      </x:c>
      <x:c r="C110" s="23" t="n">
        <x:v>-0.048413869320567675</x:v>
      </x:c>
      <x:c r="D110" s="23" t="n">
        <x:v>0.06214973851821023</x:v>
      </x:c>
      <x:c r="E110" s="23" t="n">
        <x:v>-0.7789874981755899</x:v>
      </x:c>
      <x:c r="F110" s="23" t="n">
        <x:v>0.21807168096920748</x:v>
      </x:c>
      <x:c r="G110" s="23" t="n">
        <x:v>-0.024359467978277344</x:v>
      </x:c>
      <x:c r="H110" s="23" t="n">
        <x:v>-0.44366510958666056</x:v>
      </x:c>
      <x:c r="I110" s="24" t="n">
        <x:v>1981</x:v>
      </x:c>
      <x:c r="J110" s="25" t="n">
        <x:v>46210.26318543981</x:v>
      </x:c>
      <x:c r="K110" s="24" t="n">
        <x:v>8902245</x:v>
      </x:c>
      <x:c r="L110" t="str">
        <x:v>40355b29bce094aef0e99358bdfd4011b92e72a54440a67760de4afae4883c33</x:v>
      </x:c>
      <x:c r="M110" t="str">
        <x:v>legacy_common_sample_8902245</x:v>
      </x:c>
      <x:c r="N110" t="str">
        <x:v>factor_report/gtja191_batch/gtja_036/ic_summary.csv</x:v>
      </x:c>
    </x:row>
    <x:row r="111">
      <x:c r="A111" t="str">
        <x:v>gtja_037</x:v>
      </x:c>
      <x:c r="B111" s="22" t="n">
        <x:v>10</x:v>
      </x:c>
      <x:c r="C111" s="23" t="n">
        <x:v>0.014642357715960992</x:v>
      </x:c>
      <x:c r="D111" s="23" t="n">
        <x:v>0.11433613339229906</x:v>
      </x:c>
      <x:c r="E111" s="23" t="n">
        <x:v>0.12806413232220784</x:v>
      </x:c>
      <x:c r="F111" s="23" t="n">
        <x:v>0.5484681064791562</x:v>
      </x:c>
      <x:c r="G111" s="23" t="n">
        <x:v>0.009969615850861386</x:v>
      </x:c>
      <x:c r="H111" s="23" t="n">
        <x:v>0.10342301216731932</x:v>
      </x:c>
      <x:c r="I111" s="24" t="n">
        <x:v>1991</x:v>
      </x:c>
      <x:c r="J111" s="25" t="n">
        <x:v>46211.237209722225</x:v>
      </x:c>
      <x:c r="K111" s="24" t="n">
        <x:v>8902245</x:v>
      </x:c>
      <x:c r="L111" t="str">
        <x:v>8f7e606554926462248cbcc654181861438ca768a0063f6b317223ede37d16fb</x:v>
      </x:c>
      <x:c r="M111" t="str">
        <x:v>legacy_common_sample_8902245</x:v>
      </x:c>
      <x:c r="N111" t="str">
        <x:v>factor_report/gtja191_batch/gtja_037/ic_summary.csv</x:v>
      </x:c>
    </x:row>
    <x:row r="112">
      <x:c r="A112" t="str">
        <x:v>gtja_037</x:v>
      </x:c>
      <x:c r="B112" s="22" t="n">
        <x:v>20</x:v>
      </x:c>
      <x:c r="C112" s="23" t="n">
        <x:v>0.0168715826501612</x:v>
      </x:c>
      <x:c r="D112" s="23" t="n">
        <x:v>0.11276766820437169</x:v>
      </x:c>
      <x:c r="E112" s="23" t="n">
        <x:v>0.1496136518455308</x:v>
      </x:c>
      <x:c r="F112" s="23" t="n">
        <x:v>0.5593134780413932</x:v>
      </x:c>
      <x:c r="G112" s="23" t="n">
        <x:v>0.012148422109670043</x:v>
      </x:c>
      <x:c r="H112" s="23" t="n">
        <x:v>0.12744610519562308</x:v>
      </x:c>
      <x:c r="I112" s="24" t="n">
        <x:v>1981</x:v>
      </x:c>
      <x:c r="J112" s="25" t="n">
        <x:v>46211.237209722225</x:v>
      </x:c>
      <x:c r="K112" s="24" t="n">
        <x:v>8902245</x:v>
      </x:c>
      <x:c r="L112" t="str">
        <x:v>8f7e606554926462248cbcc654181861438ca768a0063f6b317223ede37d16fb</x:v>
      </x:c>
      <x:c r="M112" t="str">
        <x:v>legacy_common_sample_8902245</x:v>
      </x:c>
      <x:c r="N112" t="str">
        <x:v>factor_report/gtja191_batch/gtja_037/ic_summary.csv</x:v>
      </x:c>
    </x:row>
    <x:row r="113">
      <x:c r="A113" t="str">
        <x:v>gtja_038</x:v>
      </x:c>
      <x:c r="B113" s="22" t="n">
        <x:v>10</x:v>
      </x:c>
      <x:c r="C113" s="23" t="n">
        <x:v>0.022366618714618012</x:v>
      </x:c>
      <x:c r="D113" s="23" t="n">
        <x:v>0.07811720635842967</x:v>
      </x:c>
      <x:c r="E113" s="23" t="n">
        <x:v>0.2863212825608736</x:v>
      </x:c>
      <x:c r="F113" s="23" t="n">
        <x:v>0.6212958312405826</x:v>
      </x:c>
      <x:c r="G113" s="23" t="n">
        <x:v>0.01734247186048436</x:v>
      </x:c>
      <x:c r="H113" s="23" t="n">
        <x:v>0.28778502182195476</x:v>
      </x:c>
      <x:c r="I113" s="24" t="n">
        <x:v>1991</x:v>
      </x:c>
      <x:c r="J113" s="25" t="n">
        <x:v>46211.24138539352</x:v>
      </x:c>
      <x:c r="K113" s="24" t="n">
        <x:v>8902245</x:v>
      </x:c>
      <x:c r="L113" t="str">
        <x:v>8f7e606554926462248cbcc654181861438ca768a0063f6b317223ede37d16fb</x:v>
      </x:c>
      <x:c r="M113" t="str">
        <x:v>legacy_common_sample_8902245</x:v>
      </x:c>
      <x:c r="N113" t="str">
        <x:v>factor_report/gtja191_batch/gtja_038/ic_summary.csv</x:v>
      </x:c>
    </x:row>
    <x:row r="114">
      <x:c r="A114" t="str">
        <x:v>gtja_038</x:v>
      </x:c>
      <x:c r="B114" s="22" t="n">
        <x:v>20</x:v>
      </x:c>
      <x:c r="C114" s="23" t="n">
        <x:v>0.024956186800785343</x:v>
      </x:c>
      <x:c r="D114" s="23" t="n">
        <x:v>0.07624253048381201</x:v>
      </x:c>
      <x:c r="E114" s="23" t="n">
        <x:v>0.327326318295326</x:v>
      </x:c>
      <x:c r="F114" s="23" t="n">
        <x:v>0.6375567895002524</x:v>
      </x:c>
      <x:c r="G114" s="23" t="n">
        <x:v>0.019081759383054137</x:v>
      </x:c>
      <x:c r="H114" s="23" t="n">
        <x:v>0.31014150768173215</x:v>
      </x:c>
      <x:c r="I114" s="24" t="n">
        <x:v>1981</x:v>
      </x:c>
      <x:c r="J114" s="25" t="n">
        <x:v>46211.24138539352</x:v>
      </x:c>
      <x:c r="K114" s="24" t="n">
        <x:v>8902245</x:v>
      </x:c>
      <x:c r="L114" t="str">
        <x:v>8f7e606554926462248cbcc654181861438ca768a0063f6b317223ede37d16fb</x:v>
      </x:c>
      <x:c r="M114" t="str">
        <x:v>legacy_common_sample_8902245</x:v>
      </x:c>
      <x:c r="N114" t="str">
        <x:v>factor_report/gtja191_batch/gtja_038/ic_summary.csv</x:v>
      </x:c>
    </x:row>
    <x:row r="115">
      <x:c r="A115" t="str">
        <x:v>gtja_039</x:v>
      </x:c>
      <x:c r="B115" s="22" t="n">
        <x:v>10</x:v>
      </x:c>
      <x:c r="C115" s="23" t="n">
        <x:v>0.012210149620699561</x:v>
      </x:c>
      <x:c r="D115" s="23" t="n">
        <x:v>0.09738862275595522</x:v>
      </x:c>
      <x:c r="E115" s="23" t="n">
        <x:v>0.125375524113292</x:v>
      </x:c>
      <x:c r="F115" s="23" t="n">
        <x:v>0.5524861878453039</x:v>
      </x:c>
      <x:c r="G115" s="23" t="n">
        <x:v>0.004573957166691885</x:v>
      </x:c>
      <x:c r="H115" s="23" t="n">
        <x:v>0.0561879913849787</x:v>
      </x:c>
      <x:c r="I115" s="24" t="n">
        <x:v>1810</x:v>
      </x:c>
      <x:c r="J115" s="25" t="n">
        <x:v>46211.24500390046</x:v>
      </x:c>
      <x:c r="K115" s="24" t="n">
        <x:v>8902245</x:v>
      </x:c>
      <x:c r="L115" t="str">
        <x:v>8f7e606554926462248cbcc654181861438ca768a0063f6b317223ede37d16fb</x:v>
      </x:c>
      <x:c r="M115" t="str">
        <x:v>legacy_common_sample_8902245</x:v>
      </x:c>
      <x:c r="N115" t="str">
        <x:v>factor_report/gtja191_batch/gtja_039/ic_summary.csv</x:v>
      </x:c>
    </x:row>
    <x:row r="116">
      <x:c r="A116" t="str">
        <x:v>gtja_039</x:v>
      </x:c>
      <x:c r="B116" s="22" t="n">
        <x:v>20</x:v>
      </x:c>
      <x:c r="C116" s="23" t="n">
        <x:v>0.013172002972081018</x:v>
      </x:c>
      <x:c r="D116" s="23" t="n">
        <x:v>0.09479783289928263</x:v>
      </x:c>
      <x:c r="E116" s="23" t="n">
        <x:v>0.13894835534980562</x:v>
      </x:c>
      <x:c r="F116" s="23" t="n">
        <x:v>0.545</x:v>
      </x:c>
      <x:c r="G116" s="23" t="n">
        <x:v>0.005345582597590549</x:v>
      </x:c>
      <x:c r="H116" s="23" t="n">
        <x:v>0.0669769799482206</x:v>
      </x:c>
      <x:c r="I116" s="24" t="n">
        <x:v>1800</x:v>
      </x:c>
      <x:c r="J116" s="25" t="n">
        <x:v>46211.24500390046</x:v>
      </x:c>
      <x:c r="K116" s="24" t="n">
        <x:v>8902245</x:v>
      </x:c>
      <x:c r="L116" t="str">
        <x:v>8f7e606554926462248cbcc654181861438ca768a0063f6b317223ede37d16fb</x:v>
      </x:c>
      <x:c r="M116" t="str">
        <x:v>legacy_common_sample_8902245</x:v>
      </x:c>
      <x:c r="N116" t="str">
        <x:v>factor_report/gtja191_batch/gtja_039/ic_summary.csv</x:v>
      </x:c>
    </x:row>
    <x:row r="117">
      <x:c r="A117" t="str">
        <x:v>gtja_040</x:v>
      </x:c>
      <x:c r="B117" s="22" t="n">
        <x:v>1</x:v>
      </x:c>
      <x:c r="C117" s="23" t="n">
        <x:v>-0.02654794058961285</x:v>
      </x:c>
      <x:c r="D117" s="23" t="n">
        <x:v>0.11509597492556027</x:v>
      </x:c>
      <x:c r="E117" s="23" t="n">
        <x:v>-0.23065915734049827</x:v>
      </x:c>
      <x:c r="F117" s="23" t="n">
        <x:v>0.4045</x:v>
      </x:c>
      <x:c r="G117" s="23" t="n">
        <x:v>-0.010494424652590978</x:v>
      </x:c>
      <x:c r="H117" s="23" t="n">
        <x:v>-0.10273108969202392</x:v>
      </x:c>
      <x:c r="I117" s="24" t="n">
        <x:v>2000</x:v>
      </x:c>
      <x:c r="J117" s="25" t="n">
        <x:v>46210.279919872686</x:v>
      </x:c>
      <x:c r="K117" s="24" t="n">
        <x:v>8902245</x:v>
      </x:c>
      <x:c r="L117" t="str">
        <x:v>40355b29bce094aef0e99358bdfd4011b92e72a54440a67760de4afae4883c33</x:v>
      </x:c>
      <x:c r="M117" t="str">
        <x:v>legacy_common_sample_8902245</x:v>
      </x:c>
      <x:c r="N117" t="str">
        <x:v>factor_report/gtja191_batch/gtja_040/ic_summary.csv</x:v>
      </x:c>
    </x:row>
    <x:row r="118">
      <x:c r="A118" t="str">
        <x:v>gtja_040</x:v>
      </x:c>
      <x:c r="B118" s="22" t="n">
        <x:v>5</x:v>
      </x:c>
      <x:c r="C118" s="23" t="n">
        <x:v>-0.03642274414130226</x:v>
      </x:c>
      <x:c r="D118" s="23" t="n">
        <x:v>0.10560166620648556</x:v>
      </x:c>
      <x:c r="E118" s="23" t="n">
        <x:v>-0.3449069077194669</x:v>
      </x:c>
      <x:c r="F118" s="23" t="n">
        <x:v>0.3717434869739479</x:v>
      </x:c>
      <x:c r="G118" s="23" t="n">
        <x:v>-0.020198525613578315</x:v>
      </x:c>
      <x:c r="H118" s="23" t="n">
        <x:v>-0.21382530960940924</x:v>
      </x:c>
      <x:c r="I118" s="24" t="n">
        <x:v>1996</x:v>
      </x:c>
      <x:c r="J118" s="25" t="n">
        <x:v>46210.279919872686</x:v>
      </x:c>
      <x:c r="K118" s="24" t="n">
        <x:v>8902245</x:v>
      </x:c>
      <x:c r="L118" t="str">
        <x:v>40355b29bce094aef0e99358bdfd4011b92e72a54440a67760de4afae4883c33</x:v>
      </x:c>
      <x:c r="M118" t="str">
        <x:v>legacy_common_sample_8902245</x:v>
      </x:c>
      <x:c r="N118" t="str">
        <x:v>factor_report/gtja191_batch/gtja_040/ic_summary.csv</x:v>
      </x:c>
    </x:row>
    <x:row r="119">
      <x:c r="A119" t="str">
        <x:v>gtja_040</x:v>
      </x:c>
      <x:c r="B119" s="22" t="n">
        <x:v>10</x:v>
      </x:c>
      <x:c r="C119" s="23" t="n">
        <x:v>-0.04229069341419118</x:v>
      </x:c>
      <x:c r="D119" s="23" t="n">
        <x:v>0.10258293408074737</x:v>
      </x:c>
      <x:c r="E119" s="23" t="n">
        <x:v>-0.41225856711119596</x:v>
      </x:c>
      <x:c r="F119" s="23" t="n">
        <x:v>0.34555499748869917</x:v>
      </x:c>
      <x:c r="G119" s="23" t="n">
        <x:v>-0.024001199448682814</x:v>
      </x:c>
      <x:c r="H119" s="23" t="n">
        <x:v>-0.26178095079103714</x:v>
      </x:c>
      <x:c r="I119" s="24" t="n">
        <x:v>1991</x:v>
      </x:c>
      <x:c r="J119" s="25" t="n">
        <x:v>46210.279919872686</x:v>
      </x:c>
      <x:c r="K119" s="24" t="n">
        <x:v>8902245</x:v>
      </x:c>
      <x:c r="L119" t="str">
        <x:v>40355b29bce094aef0e99358bdfd4011b92e72a54440a67760de4afae4883c33</x:v>
      </x:c>
      <x:c r="M119" t="str">
        <x:v>legacy_common_sample_8902245</x:v>
      </x:c>
      <x:c r="N119" t="str">
        <x:v>factor_report/gtja191_batch/gtja_040/ic_summary.csv</x:v>
      </x:c>
    </x:row>
    <x:row r="120">
      <x:c r="A120" t="str">
        <x:v>gtja_040</x:v>
      </x:c>
      <x:c r="B120" s="22" t="n">
        <x:v>20</x:v>
      </x:c>
      <x:c r="C120" s="23" t="n">
        <x:v>-0.05245285807447165</x:v>
      </x:c>
      <x:c r="D120" s="23" t="n">
        <x:v>0.10780712886785893</x:v>
      </x:c>
      <x:c r="E120" s="23" t="n">
        <x:v>-0.48654350250588746</x:v>
      </x:c>
      <x:c r="F120" s="23" t="n">
        <x:v>0.3392226148409894</x:v>
      </x:c>
      <x:c r="G120" s="23" t="n">
        <x:v>-0.02946455039592815</x:v>
      </x:c>
      <x:c r="H120" s="23" t="n">
        <x:v>-0.31554195759174863</x:v>
      </x:c>
      <x:c r="I120" s="24" t="n">
        <x:v>1981</x:v>
      </x:c>
      <x:c r="J120" s="25" t="n">
        <x:v>46210.279919872686</x:v>
      </x:c>
      <x:c r="K120" s="24" t="n">
        <x:v>8902245</x:v>
      </x:c>
      <x:c r="L120" t="str">
        <x:v>40355b29bce094aef0e99358bdfd4011b92e72a54440a67760de4afae4883c33</x:v>
      </x:c>
      <x:c r="M120" t="str">
        <x:v>legacy_common_sample_8902245</x:v>
      </x:c>
      <x:c r="N120" t="str">
        <x:v>factor_report/gtja191_batch/gtja_040/ic_summary.csv</x:v>
      </x:c>
    </x:row>
    <x:row r="121">
      <x:c r="A121" t="str">
        <x:v>gtja_041</x:v>
      </x:c>
      <x:c r="B121" s="22" t="n">
        <x:v>10</x:v>
      </x:c>
      <x:c r="C121" s="23" t="n">
        <x:v>0.06323420874741587</x:v>
      </x:c>
      <x:c r="D121" s="23" t="n">
        <x:v>0.13706596470219592</x:v>
      </x:c>
      <x:c r="E121" s="23" t="n">
        <x:v>0.4613414342853474</x:v>
      </x:c>
      <x:c r="F121" s="23" t="n">
        <x:v>0.676544450025113</x:v>
      </x:c>
      <x:c r="G121" s="23" t="n">
        <x:v>0.031138918476144552</x:v>
      </x:c>
      <x:c r="H121" s="23" t="n">
        <x:v>0.2580175727291201</x:v>
      </x:c>
      <x:c r="I121" s="24" t="n">
        <x:v>1991</x:v>
      </x:c>
      <x:c r="J121" s="25" t="n">
        <x:v>46211.24883207176</x:v>
      </x:c>
      <x:c r="K121" s="24" t="n">
        <x:v>8902245</x:v>
      </x:c>
      <x:c r="L121" t="str">
        <x:v>8f7e606554926462248cbcc654181861438ca768a0063f6b317223ede37d16fb</x:v>
      </x:c>
      <x:c r="M121" t="str">
        <x:v>legacy_common_sample_8902245</x:v>
      </x:c>
      <x:c r="N121" t="str">
        <x:v>factor_report/gtja191_batch/gtja_041/ic_summary.csv</x:v>
      </x:c>
    </x:row>
    <x:row r="122">
      <x:c r="A122" t="str">
        <x:v>gtja_041</x:v>
      </x:c>
      <x:c r="B122" s="22" t="n">
        <x:v>20</x:v>
      </x:c>
      <x:c r="C122" s="23" t="n">
        <x:v>0.07454857927237946</x:v>
      </x:c>
      <x:c r="D122" s="23" t="n">
        <x:v>0.14327787214005627</x:v>
      </x:c>
      <x:c r="E122" s="23" t="n">
        <x:v>0.5203076941253504</x:v>
      </x:c>
      <x:c r="F122" s="23" t="n">
        <x:v>0.6956082786471479</x:v>
      </x:c>
      <x:c r="G122" s="23" t="n">
        <x:v>0.040161665025499886</x:v>
      </x:c>
      <x:c r="H122" s="23" t="n">
        <x:v>0.3120378745150196</x:v>
      </x:c>
      <x:c r="I122" s="24" t="n">
        <x:v>1981</x:v>
      </x:c>
      <x:c r="J122" s="25" t="n">
        <x:v>46211.24883207176</x:v>
      </x:c>
      <x:c r="K122" s="24" t="n">
        <x:v>8902245</x:v>
      </x:c>
      <x:c r="L122" t="str">
        <x:v>8f7e606554926462248cbcc654181861438ca768a0063f6b317223ede37d16fb</x:v>
      </x:c>
      <x:c r="M122" t="str">
        <x:v>legacy_common_sample_8902245</x:v>
      </x:c>
      <x:c r="N122" t="str">
        <x:v>factor_report/gtja191_batch/gtja_041/ic_summary.csv</x:v>
      </x:c>
    </x:row>
    <x:row r="123">
      <x:c r="A123" t="str">
        <x:v>gtja_042</x:v>
      </x:c>
      <x:c r="B123" s="22" t="n">
        <x:v>10</x:v>
      </x:c>
      <x:c r="C123" s="23" t="n">
        <x:v>0.07709133095133304</x:v>
      </x:c>
      <x:c r="D123" s="23" t="n">
        <x:v>0.12015691389450874</x:v>
      </x:c>
      <x:c r="E123" s="23" t="n">
        <x:v>0.6415888062755595</x:v>
      </x:c>
      <x:c r="F123" s="23" t="n">
        <x:v>0.7363134103465595</x:v>
      </x:c>
      <x:c r="G123" s="23" t="n">
        <x:v>0.04060270690263696</x:v>
      </x:c>
      <x:c r="H123" s="23" t="n">
        <x:v>0.3976808790319093</x:v>
      </x:c>
      <x:c r="I123" s="24" t="n">
        <x:v>1991</x:v>
      </x:c>
      <x:c r="J123" s="25" t="n">
        <x:v>46211.25270762732</x:v>
      </x:c>
      <x:c r="K123" s="24" t="n">
        <x:v>8902245</x:v>
      </x:c>
      <x:c r="L123" t="str">
        <x:v>8f7e606554926462248cbcc654181861438ca768a0063f6b317223ede37d16fb</x:v>
      </x:c>
      <x:c r="M123" t="str">
        <x:v>legacy_common_sample_8902245</x:v>
      </x:c>
      <x:c r="N123" t="str">
        <x:v>factor_report/gtja191_batch/gtja_042/ic_summary.csv</x:v>
      </x:c>
    </x:row>
    <x:row r="124">
      <x:c r="A124" t="str">
        <x:v>gtja_042</x:v>
      </x:c>
      <x:c r="B124" s="22" t="n">
        <x:v>20</x:v>
      </x:c>
      <x:c r="C124" s="23" t="n">
        <x:v>0.08864795979424941</x:v>
      </x:c>
      <x:c r="D124" s="23" t="n">
        <x:v>0.124498312567154</x:v>
      </x:c>
      <x:c r="E124" s="23" t="n">
        <x:v>0.7120414563565508</x:v>
      </x:c>
      <x:c r="F124" s="23" t="n">
        <x:v>0.7491166077738516</x:v>
      </x:c>
      <x:c r="G124" s="23" t="n">
        <x:v>0.049373657319128746</x:v>
      </x:c>
      <x:c r="H124" s="23" t="n">
        <x:v>0.46697943503637335</x:v>
      </x:c>
      <x:c r="I124" s="24" t="n">
        <x:v>1981</x:v>
      </x:c>
      <x:c r="J124" s="25" t="n">
        <x:v>46211.25270762732</x:v>
      </x:c>
      <x:c r="K124" s="24" t="n">
        <x:v>8902245</x:v>
      </x:c>
      <x:c r="L124" t="str">
        <x:v>8f7e606554926462248cbcc654181861438ca768a0063f6b317223ede37d16fb</x:v>
      </x:c>
      <x:c r="M124" t="str">
        <x:v>legacy_common_sample_8902245</x:v>
      </x:c>
      <x:c r="N124" t="str">
        <x:v>factor_report/gtja191_batch/gtja_042/ic_summary.csv</x:v>
      </x:c>
    </x:row>
    <x:row r="125">
      <x:c r="A125" t="str">
        <x:v>gtja_043</x:v>
      </x:c>
      <x:c r="B125" s="22" t="n">
        <x:v>1</x:v>
      </x:c>
      <x:c r="C125" s="23" t="n">
        <x:v>-0.02166618342519954</x:v>
      </x:c>
      <x:c r="D125" s="23" t="n">
        <x:v>0.10211711171542187</x:v>
      </x:c>
      <x:c r="E125" s="23" t="n">
        <x:v>-0.21216995918939102</x:v>
      </x:c>
      <x:c r="F125" s="23" t="n">
        <x:v>0.3975</x:v>
      </x:c>
      <x:c r="G125" s="23" t="n">
        <x:v>-0.007031632168815888</x:v>
      </x:c>
      <x:c r="H125" s="23" t="n">
        <x:v>-0.10648645438843025</x:v>
      </x:c>
      <x:c r="I125" s="24" t="n">
        <x:v>2000</x:v>
      </x:c>
      <x:c r="J125" s="25" t="n">
        <x:v>46210.29250166666</x:v>
      </x:c>
      <x:c r="K125" s="24" t="n">
        <x:v>8902245</x:v>
      </x:c>
      <x:c r="L125" t="str">
        <x:v>40355b29bce094aef0e99358bdfd4011b92e72a54440a67760de4afae4883c33</x:v>
      </x:c>
      <x:c r="M125" t="str">
        <x:v>legacy_common_sample_8902245</x:v>
      </x:c>
      <x:c r="N125" t="str">
        <x:v>factor_report/gtja191_batch/gtja_043/ic_summary.csv</x:v>
      </x:c>
    </x:row>
    <x:row r="126">
      <x:c r="A126" t="str">
        <x:v>gtja_043</x:v>
      </x:c>
      <x:c r="B126" s="22" t="n">
        <x:v>5</x:v>
      </x:c>
      <x:c r="C126" s="23" t="n">
        <x:v>-0.024491701496502382</x:v>
      </x:c>
      <x:c r="D126" s="23" t="n">
        <x:v>0.09367134727069783</x:v>
      </x:c>
      <x:c r="E126" s="23" t="n">
        <x:v>-0.2614641745861154</x:v>
      </x:c>
      <x:c r="F126" s="23" t="n">
        <x:v>0.39028056112224446</x:v>
      </x:c>
      <x:c r="G126" s="23" t="n">
        <x:v>-0.012012497847316988</x:v>
      </x:c>
      <x:c r="H126" s="23" t="n">
        <x:v>-0.20170076527719505</x:v>
      </x:c>
      <x:c r="I126" s="24" t="n">
        <x:v>1996</x:v>
      </x:c>
      <x:c r="J126" s="25" t="n">
        <x:v>46210.29250166666</x:v>
      </x:c>
      <x:c r="K126" s="24" t="n">
        <x:v>8902245</x:v>
      </x:c>
      <x:c r="L126" t="str">
        <x:v>40355b29bce094aef0e99358bdfd4011b92e72a54440a67760de4afae4883c33</x:v>
      </x:c>
      <x:c r="M126" t="str">
        <x:v>legacy_common_sample_8902245</x:v>
      </x:c>
      <x:c r="N126" t="str">
        <x:v>factor_report/gtja191_batch/gtja_043/ic_summary.csv</x:v>
      </x:c>
    </x:row>
    <x:row r="127">
      <x:c r="A127" t="str">
        <x:v>gtja_043</x:v>
      </x:c>
      <x:c r="B127" s="22" t="n">
        <x:v>10</x:v>
      </x:c>
      <x:c r="C127" s="23" t="n">
        <x:v>-0.02657135519980472</x:v>
      </x:c>
      <x:c r="D127" s="23" t="n">
        <x:v>0.08854096997230874</x:v>
      </x:c>
      <x:c r="E127" s="23" t="n">
        <x:v>-0.3001023730383226</x:v>
      </x:c>
      <x:c r="F127" s="23" t="n">
        <x:v>0.3807132094424912</x:v>
      </x:c>
      <x:c r="G127" s="23" t="n">
        <x:v>-0.01390558776035445</x:v>
      </x:c>
      <x:c r="H127" s="23" t="n">
        <x:v>-0.24880850811603059</x:v>
      </x:c>
      <x:c r="I127" s="24" t="n">
        <x:v>1991</x:v>
      </x:c>
      <x:c r="J127" s="25" t="n">
        <x:v>46210.29250166666</x:v>
      </x:c>
      <x:c r="K127" s="24" t="n">
        <x:v>8902245</x:v>
      </x:c>
      <x:c r="L127" t="str">
        <x:v>40355b29bce094aef0e99358bdfd4011b92e72a54440a67760de4afae4883c33</x:v>
      </x:c>
      <x:c r="M127" t="str">
        <x:v>legacy_common_sample_8902245</x:v>
      </x:c>
      <x:c r="N127" t="str">
        <x:v>factor_report/gtja191_batch/gtja_043/ic_summary.csv</x:v>
      </x:c>
    </x:row>
    <x:row r="128">
      <x:c r="A128" t="str">
        <x:v>gtja_043</x:v>
      </x:c>
      <x:c r="B128" s="22" t="n">
        <x:v>20</x:v>
      </x:c>
      <x:c r="C128" s="23" t="n">
        <x:v>-0.030147416050492905</x:v>
      </x:c>
      <x:c r="D128" s="23" t="n">
        <x:v>0.08908464092320842</x:v>
      </x:c>
      <x:c r="E128" s="23" t="n">
        <x:v>-0.3384131735624347</x:v>
      </x:c>
      <x:c r="F128" s="23" t="n">
        <x:v>0.3558808682483594</x:v>
      </x:c>
      <x:c r="G128" s="23" t="n">
        <x:v>-0.01651515444735533</x:v>
      </x:c>
      <x:c r="H128" s="23" t="n">
        <x:v>-0.3014476744104645</x:v>
      </x:c>
      <x:c r="I128" s="24" t="n">
        <x:v>1981</x:v>
      </x:c>
      <x:c r="J128" s="25" t="n">
        <x:v>46210.29250166666</x:v>
      </x:c>
      <x:c r="K128" s="24" t="n">
        <x:v>8902245</x:v>
      </x:c>
      <x:c r="L128" t="str">
        <x:v>40355b29bce094aef0e99358bdfd4011b92e72a54440a67760de4afae4883c33</x:v>
      </x:c>
      <x:c r="M128" t="str">
        <x:v>legacy_common_sample_8902245</x:v>
      </x:c>
      <x:c r="N128" t="str">
        <x:v>factor_report/gtja191_batch/gtja_043/ic_summary.csv</x:v>
      </x:c>
    </x:row>
    <x:row r="129">
      <x:c r="A129" t="str">
        <x:v>gtja_044</x:v>
      </x:c>
      <x:c r="B129" s="22" t="n">
        <x:v>10</x:v>
      </x:c>
      <x:c r="C129" s="23" t="n">
        <x:v>-0.015621451984378426</x:v>
      </x:c>
      <x:c r="D129" s="23" t="n">
        <x:v>0.0787371537606166</x:v>
      </x:c>
      <x:c r="E129" s="23" t="n">
        <x:v>-0.19840000861438417</x:v>
      </x:c>
      <x:c r="F129" s="23" t="n">
        <x:v>0.42340532395781016</x:v>
      </x:c>
      <x:c r="G129" s="23" t="n">
        <x:v>-0.010949035796900458</x:v>
      </x:c>
      <x:c r="H129" s="23" t="n">
        <x:v>-0.16571051535127693</x:v>
      </x:c>
      <x:c r="I129" s="24" t="n">
        <x:v>1991</x:v>
      </x:c>
      <x:c r="J129" s="25" t="n">
        <x:v>46211.262911157406</x:v>
      </x:c>
      <x:c r="K129" s="24" t="n">
        <x:v>8902245</x:v>
      </x:c>
      <x:c r="L129" t="str">
        <x:v>8f7e606554926462248cbcc654181861438ca768a0063f6b317223ede37d16fb</x:v>
      </x:c>
      <x:c r="M129" t="str">
        <x:v>legacy_common_sample_8902245</x:v>
      </x:c>
      <x:c r="N129" t="str">
        <x:v>factor_report/gtja191_batch/gtja_044/ic_summary.csv</x:v>
      </x:c>
    </x:row>
    <x:row r="130">
      <x:c r="A130" t="str">
        <x:v>gtja_044</x:v>
      </x:c>
      <x:c r="B130" s="22" t="n">
        <x:v>20</x:v>
      </x:c>
      <x:c r="C130" s="23" t="n">
        <x:v>-0.015000810899272576</x:v>
      </x:c>
      <x:c r="D130" s="23" t="n">
        <x:v>0.07836058647670587</x:v>
      </x:c>
      <x:c r="E130" s="23" t="n">
        <x:v>-0.1914331116412949</x:v>
      </x:c>
      <x:c r="F130" s="23" t="n">
        <x:v>0.41898031297324584</x:v>
      </x:c>
      <x:c r="G130" s="23" t="n">
        <x:v>-0.011231177464904978</x:v>
      </x:c>
      <x:c r="H130" s="23" t="n">
        <x:v>-0.1717604135964522</x:v>
      </x:c>
      <x:c r="I130" s="24" t="n">
        <x:v>1981</x:v>
      </x:c>
      <x:c r="J130" s="25" t="n">
        <x:v>46211.262911157406</x:v>
      </x:c>
      <x:c r="K130" s="24" t="n">
        <x:v>8902245</x:v>
      </x:c>
      <x:c r="L130" t="str">
        <x:v>8f7e606554926462248cbcc654181861438ca768a0063f6b317223ede37d16fb</x:v>
      </x:c>
      <x:c r="M130" t="str">
        <x:v>legacy_common_sample_8902245</x:v>
      </x:c>
      <x:c r="N130" t="str">
        <x:v>factor_report/gtja191_batch/gtja_044/ic_summary.csv</x:v>
      </x:c>
    </x:row>
    <x:row r="131">
      <x:c r="A131" t="str">
        <x:v>gtja_045</x:v>
      </x:c>
      <x:c r="B131" s="22" t="n">
        <x:v>10</x:v>
      </x:c>
      <x:c r="C131" s="23" t="n">
        <x:v>-0.015929620972991176</x:v>
      </x:c>
      <x:c r="D131" s="23" t="n">
        <x:v>0.09703041636299428</x:v>
      </x:c>
      <x:c r="E131" s="23" t="n">
        <x:v>-0.16417141727391843</x:v>
      </x:c>
      <x:c r="F131" s="23" t="n">
        <x:v>0.4369034994697773</x:v>
      </x:c>
      <x:c r="G131" s="23" t="n">
        <x:v>-0.019829653872596262</x:v>
      </x:c>
      <x:c r="H131" s="23" t="n">
        <x:v>-0.24019587181038715</x:v>
      </x:c>
      <x:c r="I131" s="24" t="n">
        <x:v>1886</x:v>
      </x:c>
      <x:c r="J131" s="25" t="n">
        <x:v>46211.26636591435</x:v>
      </x:c>
      <x:c r="K131" s="24" t="n">
        <x:v>8902245</x:v>
      </x:c>
      <x:c r="L131" t="str">
        <x:v>8f7e606554926462248cbcc654181861438ca768a0063f6b317223ede37d16fb</x:v>
      </x:c>
      <x:c r="M131" t="str">
        <x:v>legacy_common_sample_8902245</x:v>
      </x:c>
      <x:c r="N131" t="str">
        <x:v>factor_report/gtja191_batch/gtja_045/ic_summary.csv</x:v>
      </x:c>
    </x:row>
    <x:row r="132">
      <x:c r="A132" t="str">
        <x:v>gtja_045</x:v>
      </x:c>
      <x:c r="B132" s="22" t="n">
        <x:v>20</x:v>
      </x:c>
      <x:c r="C132" s="23" t="n">
        <x:v>-0.017380649409067202</x:v>
      </x:c>
      <x:c r="D132" s="23" t="n">
        <x:v>0.09407688648154605</x:v>
      </x:c>
      <x:c r="E132" s="23" t="n">
        <x:v>-0.1847494114558793</x:v>
      </x:c>
      <x:c r="F132" s="23" t="n">
        <x:v>0.4349680170575693</x:v>
      </x:c>
      <x:c r="G132" s="23" t="n">
        <x:v>-0.021087466652125558</x:v>
      </x:c>
      <x:c r="H132" s="23" t="n">
        <x:v>-0.2651833893982244</x:v>
      </x:c>
      <x:c r="I132" s="24" t="n">
        <x:v>1876</x:v>
      </x:c>
      <x:c r="J132" s="25" t="n">
        <x:v>46211.26636591435</x:v>
      </x:c>
      <x:c r="K132" s="24" t="n">
        <x:v>8902245</x:v>
      </x:c>
      <x:c r="L132" t="str">
        <x:v>8f7e606554926462248cbcc654181861438ca768a0063f6b317223ede37d16fb</x:v>
      </x:c>
      <x:c r="M132" t="str">
        <x:v>legacy_common_sample_8902245</x:v>
      </x:c>
      <x:c r="N132" t="str">
        <x:v>factor_report/gtja191_batch/gtja_045/ic_summary.csv</x:v>
      </x:c>
    </x:row>
    <x:row r="133">
      <x:c r="A133" t="str">
        <x:v>gtja_046</x:v>
      </x:c>
      <x:c r="B133" s="22" t="n">
        <x:v>10</x:v>
      </x:c>
      <x:c r="C133" s="23" t="n">
        <x:v>0.04280589597514839</x:v>
      </x:c>
      <x:c r="D133" s="23" t="n">
        <x:v>0.13582111413615888</x:v>
      </x:c>
      <x:c r="E133" s="23" t="n">
        <x:v>0.3151637817683931</x:v>
      </x:c>
      <x:c r="F133" s="23" t="n">
        <x:v>0.6122551481667504</x:v>
      </x:c>
      <x:c r="G133" s="23" t="n">
        <x:v>0.03662436844716769</x:v>
      </x:c>
      <x:c r="H133" s="23" t="n">
        <x:v>0.3139471464993922</x:v>
      </x:c>
      <x:c r="I133" s="24" t="n">
        <x:v>1991</x:v>
      </x:c>
      <x:c r="J133" s="25" t="n">
        <x:v>46211.26878402778</x:v>
      </x:c>
      <x:c r="K133" s="24" t="n">
        <x:v>8902245</x:v>
      </x:c>
      <x:c r="L133" t="str">
        <x:v>8f7e606554926462248cbcc654181861438ca768a0063f6b317223ede37d16fb</x:v>
      </x:c>
      <x:c r="M133" t="str">
        <x:v>legacy_common_sample_8902245</x:v>
      </x:c>
      <x:c r="N133" t="str">
        <x:v>factor_report/gtja191_batch/gtja_046/ic_summary.csv</x:v>
      </x:c>
    </x:row>
    <x:row r="134">
      <x:c r="A134" t="str">
        <x:v>gtja_046</x:v>
      </x:c>
      <x:c r="B134" s="22" t="n">
        <x:v>20</x:v>
      </x:c>
      <x:c r="C134" s="23" t="n">
        <x:v>0.04895945324656493</x:v>
      </x:c>
      <x:c r="D134" s="23" t="n">
        <x:v>0.13112112927469824</x:v>
      </x:c>
      <x:c r="E134" s="23" t="n">
        <x:v>0.37339102795549506</x:v>
      </x:c>
      <x:c r="F134" s="23" t="n">
        <x:v>0.6304896516910651</x:v>
      </x:c>
      <x:c r="G134" s="23" t="n">
        <x:v>0.04034314725965842</x:v>
      </x:c>
      <x:c r="H134" s="23" t="n">
        <x:v>0.35716144048213394</x:v>
      </x:c>
      <x:c r="I134" s="24" t="n">
        <x:v>1981</x:v>
      </x:c>
      <x:c r="J134" s="25" t="n">
        <x:v>46211.26878402778</x:v>
      </x:c>
      <x:c r="K134" s="24" t="n">
        <x:v>8902245</x:v>
      </x:c>
      <x:c r="L134" t="str">
        <x:v>8f7e606554926462248cbcc654181861438ca768a0063f6b317223ede37d16fb</x:v>
      </x:c>
      <x:c r="M134" t="str">
        <x:v>legacy_common_sample_8902245</x:v>
      </x:c>
      <x:c r="N134" t="str">
        <x:v>factor_report/gtja191_batch/gtja_046/ic_summary.csv</x:v>
      </x:c>
    </x:row>
    <x:row r="135">
      <x:c r="A135" t="str">
        <x:v>gtja_047</x:v>
      </x:c>
      <x:c r="B135" s="22" t="n">
        <x:v>10</x:v>
      </x:c>
      <x:c r="C135" s="23" t="n">
        <x:v>0.01954156887494311</x:v>
      </x:c>
      <x:c r="D135" s="23" t="n">
        <x:v>0.12771917807536412</x:v>
      </x:c>
      <x:c r="E135" s="23" t="n">
        <x:v>0.1530041859759862</x:v>
      </x:c>
      <x:c r="F135" s="23" t="n">
        <x:v>0.532898041185334</x:v>
      </x:c>
      <x:c r="G135" s="23" t="n">
        <x:v>0.009425735143902462</x:v>
      </x:c>
      <x:c r="H135" s="23" t="n">
        <x:v>0.08571432013152248</x:v>
      </x:c>
      <x:c r="I135" s="24" t="n">
        <x:v>1991</x:v>
      </x:c>
      <x:c r="J135" s="25" t="n">
        <x:v>46211.27178611111</x:v>
      </x:c>
      <x:c r="K135" s="24" t="n">
        <x:v>8902245</x:v>
      </x:c>
      <x:c r="L135" t="str">
        <x:v>8f7e606554926462248cbcc654181861438ca768a0063f6b317223ede37d16fb</x:v>
      </x:c>
      <x:c r="M135" t="str">
        <x:v>legacy_common_sample_8902245</x:v>
      </x:c>
      <x:c r="N135" t="str">
        <x:v>factor_report/gtja191_batch/gtja_047/ic_summary.csv</x:v>
      </x:c>
    </x:row>
    <x:row r="136">
      <x:c r="A136" t="str">
        <x:v>gtja_047</x:v>
      </x:c>
      <x:c r="B136" s="22" t="n">
        <x:v>20</x:v>
      </x:c>
      <x:c r="C136" s="23" t="n">
        <x:v>0.024927053410138605</x:v>
      </x:c>
      <x:c r="D136" s="23" t="n">
        <x:v>0.12964249137038794</x:v>
      </x:c>
      <x:c r="E136" s="23" t="n">
        <x:v>0.1922753346271489</x:v>
      </x:c>
      <x:c r="F136" s="23" t="n">
        <x:v>0.547198384654215</x:v>
      </x:c>
      <x:c r="G136" s="23" t="n">
        <x:v>0.012795591607391684</x:v>
      </x:c>
      <x:c r="H136" s="23" t="n">
        <x:v>0.1145115040371046</x:v>
      </x:c>
      <x:c r="I136" s="24" t="n">
        <x:v>1981</x:v>
      </x:c>
      <x:c r="J136" s="25" t="n">
        <x:v>46211.27178611111</x:v>
      </x:c>
      <x:c r="K136" s="24" t="n">
        <x:v>8902245</x:v>
      </x:c>
      <x:c r="L136" t="str">
        <x:v>8f7e606554926462248cbcc654181861438ca768a0063f6b317223ede37d16fb</x:v>
      </x:c>
      <x:c r="M136" t="str">
        <x:v>legacy_common_sample_8902245</x:v>
      </x:c>
      <x:c r="N136" t="str">
        <x:v>factor_report/gtja191_batch/gtja_047/ic_summary.csv</x:v>
      </x:c>
    </x:row>
    <x:row r="137">
      <x:c r="A137" t="str">
        <x:v>gtja_048</x:v>
      </x:c>
      <x:c r="B137" s="22" t="n">
        <x:v>10</x:v>
      </x:c>
      <x:c r="C137" s="23" t="n">
        <x:v>0.022741292802513278</x:v>
      </x:c>
      <x:c r="D137" s="23" t="n">
        <x:v>0.09853818497318383</x:v>
      </x:c>
      <x:c r="E137" s="23" t="n">
        <x:v>0.23078660124196615</x:v>
      </x:c>
      <x:c r="F137" s="23" t="n">
        <x:v>0.5926670015067805</x:v>
      </x:c>
      <x:c r="G137" s="23" t="n">
        <x:v>0.022359262159129728</x:v>
      </x:c>
      <x:c r="H137" s="23" t="n">
        <x:v>0.26292579911602065</x:v>
      </x:c>
      <x:c r="I137" s="24" t="n">
        <x:v>1991</x:v>
      </x:c>
      <x:c r="J137" s="25" t="n">
        <x:v>46211.27421923611</x:v>
      </x:c>
      <x:c r="K137" s="24" t="n">
        <x:v>8902245</x:v>
      </x:c>
      <x:c r="L137" t="str">
        <x:v>8f7e606554926462248cbcc654181861438ca768a0063f6b317223ede37d16fb</x:v>
      </x:c>
      <x:c r="M137" t="str">
        <x:v>legacy_common_sample_8902245</x:v>
      </x:c>
      <x:c r="N137" t="str">
        <x:v>factor_report/gtja191_batch/gtja_048/ic_summary.csv</x:v>
      </x:c>
    </x:row>
    <x:row r="138">
      <x:c r="A138" t="str">
        <x:v>gtja_048</x:v>
      </x:c>
      <x:c r="B138" s="22" t="n">
        <x:v>20</x:v>
      </x:c>
      <x:c r="C138" s="23" t="n">
        <x:v>0.024154346270597194</x:v>
      </x:c>
      <x:c r="D138" s="23" t="n">
        <x:v>0.09718098100648785</x:v>
      </x:c>
      <x:c r="E138" s="23" t="n">
        <x:v>0.2485501383134282</x:v>
      </x:c>
      <x:c r="F138" s="23" t="n">
        <x:v>0.6032306915699142</x:v>
      </x:c>
      <x:c r="G138" s="23" t="n">
        <x:v>0.022733401066824567</x:v>
      </x:c>
      <x:c r="H138" s="23" t="n">
        <x:v>0.2763735299335428</x:v>
      </x:c>
      <x:c r="I138" s="24" t="n">
        <x:v>1981</x:v>
      </x:c>
      <x:c r="J138" s="25" t="n">
        <x:v>46211.27421923611</x:v>
      </x:c>
      <x:c r="K138" s="24" t="n">
        <x:v>8902245</x:v>
      </x:c>
      <x:c r="L138" t="str">
        <x:v>8f7e606554926462248cbcc654181861438ca768a0063f6b317223ede37d16fb</x:v>
      </x:c>
      <x:c r="M138" t="str">
        <x:v>legacy_common_sample_8902245</x:v>
      </x:c>
      <x:c r="N138" t="str">
        <x:v>factor_report/gtja191_batch/gtja_048/ic_summary.csv</x:v>
      </x:c>
    </x:row>
    <x:row r="139">
      <x:c r="A139" t="str">
        <x:v>gtja_049</x:v>
      </x:c>
      <x:c r="B139" s="22" t="n">
        <x:v>10</x:v>
      </x:c>
      <x:c r="C139" s="23" t="n">
        <x:v>0.03477123378486243</x:v>
      </x:c>
      <x:c r="D139" s="23" t="n">
        <x:v>0.11981679299964852</x:v>
      </x:c>
      <x:c r="E139" s="23" t="n">
        <x:v>0.29020334223905014</x:v>
      </x:c>
      <x:c r="F139" s="23" t="n">
        <x:v>0.6162732295328981</x:v>
      </x:c>
      <x:c r="G139" s="23" t="n">
        <x:v>0.01504067206057546</x:v>
      </x:c>
      <x:c r="H139" s="23" t="n">
        <x:v>0.14604967771600813</x:v>
      </x:c>
      <x:c r="I139" s="24" t="n">
        <x:v>1991</x:v>
      </x:c>
      <x:c r="J139" s="25" t="n">
        <x:v>46211.27667114583</x:v>
      </x:c>
      <x:c r="K139" s="24" t="n">
        <x:v>8902245</x:v>
      </x:c>
      <x:c r="L139" t="str">
        <x:v>8f7e606554926462248cbcc654181861438ca768a0063f6b317223ede37d16fb</x:v>
      </x:c>
      <x:c r="M139" t="str">
        <x:v>legacy_common_sample_8902245</x:v>
      </x:c>
      <x:c r="N139" t="str">
        <x:v>factor_report/gtja191_batch/gtja_049/ic_summary.csv</x:v>
      </x:c>
    </x:row>
    <x:row r="140">
      <x:c r="A140" t="str">
        <x:v>gtja_049</x:v>
      </x:c>
      <x:c r="B140" s="22" t="n">
        <x:v>20</x:v>
      </x:c>
      <x:c r="C140" s="23" t="n">
        <x:v>0.04048704282719138</x:v>
      </x:c>
      <x:c r="D140" s="23" t="n">
        <x:v>0.12070709891165099</x:v>
      </x:c>
      <x:c r="E140" s="23" t="n">
        <x:v>0.3354155902365362</x:v>
      </x:c>
      <x:c r="F140" s="23" t="n">
        <x:v>0.6249369005552751</x:v>
      </x:c>
      <x:c r="G140" s="23" t="n">
        <x:v>0.019469537966310825</x:v>
      </x:c>
      <x:c r="H140" s="23" t="n">
        <x:v>0.18602282269880818</x:v>
      </x:c>
      <x:c r="I140" s="24" t="n">
        <x:v>1981</x:v>
      </x:c>
      <x:c r="J140" s="25" t="n">
        <x:v>46211.27667114583</x:v>
      </x:c>
      <x:c r="K140" s="24" t="n">
        <x:v>8902245</x:v>
      </x:c>
      <x:c r="L140" t="str">
        <x:v>8f7e606554926462248cbcc654181861438ca768a0063f6b317223ede37d16fb</x:v>
      </x:c>
      <x:c r="M140" t="str">
        <x:v>legacy_common_sample_8902245</x:v>
      </x:c>
      <x:c r="N140" t="str">
        <x:v>factor_report/gtja191_batch/gtja_049/ic_summary.csv</x:v>
      </x:c>
    </x:row>
    <x:row r="141">
      <x:c r="A141" t="str">
        <x:v>gtja_050</x:v>
      </x:c>
      <x:c r="B141" s="22" t="n">
        <x:v>1</x:v>
      </x:c>
      <x:c r="C141" s="23" t="n">
        <x:v>-0.02803707925402884</x:v>
      </x:c>
      <x:c r="D141" s="23" t="n">
        <x:v>0.1316053935240275</x:v>
      </x:c>
      <x:c r="E141" s="23" t="n">
        <x:v>-0.2130389834586076</x:v>
      </x:c>
      <x:c r="F141" s="23" t="n">
        <x:v>0.413</x:v>
      </x:c>
      <x:c r="G141" s="23" t="n">
        <x:v>-0.008180587749831275</x:v>
      </x:c>
      <x:c r="H141" s="23" t="n">
        <x:v>-0.0705062809936102</x:v>
      </x:c>
      <x:c r="I141" s="24" t="n">
        <x:v>2000</x:v>
      </x:c>
      <x:c r="J141" s="25" t="n">
        <x:v>46210.32673208333</x:v>
      </x:c>
      <x:c r="K141" s="24" t="n">
        <x:v>8902245</x:v>
      </x:c>
      <x:c r="L141" t="str">
        <x:v>40355b29bce094aef0e99358bdfd4011b92e72a54440a67760de4afae4883c33</x:v>
      </x:c>
      <x:c r="M141" t="str">
        <x:v>legacy_common_sample_8902245</x:v>
      </x:c>
      <x:c r="N141" t="str">
        <x:v>factor_report/gtja191_batch/gtja_050/ic_summary.csv</x:v>
      </x:c>
    </x:row>
    <x:row r="142">
      <x:c r="A142" t="str">
        <x:v>gtja_050</x:v>
      </x:c>
      <x:c r="B142" s="22" t="n">
        <x:v>5</x:v>
      </x:c>
      <x:c r="C142" s="23" t="n">
        <x:v>-0.0330490573207341</x:v>
      </x:c>
      <x:c r="D142" s="23" t="n">
        <x:v>0.1237697017647765</x:v>
      </x:c>
      <x:c r="E142" s="23" t="n">
        <x:v>-0.2670205781342482</x:v>
      </x:c>
      <x:c r="F142" s="23" t="n">
        <x:v>0.3877755511022044</x:v>
      </x:c>
      <x:c r="G142" s="23" t="n">
        <x:v>-0.01383949519679582</x:v>
      </x:c>
      <x:c r="H142" s="23" t="n">
        <x:v>-0.1301366989537495</x:v>
      </x:c>
      <x:c r="I142" s="24" t="n">
        <x:v>1996</x:v>
      </x:c>
      <x:c r="J142" s="25" t="n">
        <x:v>46210.32673208333</x:v>
      </x:c>
      <x:c r="K142" s="24" t="n">
        <x:v>8902245</x:v>
      </x:c>
      <x:c r="L142" t="str">
        <x:v>40355b29bce094aef0e99358bdfd4011b92e72a54440a67760de4afae4883c33</x:v>
      </x:c>
      <x:c r="M142" t="str">
        <x:v>legacy_common_sample_8902245</x:v>
      </x:c>
      <x:c r="N142" t="str">
        <x:v>factor_report/gtja191_batch/gtja_050/ic_summary.csv</x:v>
      </x:c>
    </x:row>
    <x:row r="143">
      <x:c r="A143" t="str">
        <x:v>gtja_050</x:v>
      </x:c>
      <x:c r="B143" s="22" t="n">
        <x:v>10</x:v>
      </x:c>
      <x:c r="C143" s="23" t="n">
        <x:v>-0.03477122181071436</x:v>
      </x:c>
      <x:c r="D143" s="23" t="n">
        <x:v>0.11981674532954434</x:v>
      </x:c>
      <x:c r="E143" s="23" t="n">
        <x:v>-0.2902033577617176</x:v>
      </x:c>
      <x:c r="F143" s="23" t="n">
        <x:v>0.38372677046710196</x:v>
      </x:c>
      <x:c r="G143" s="23" t="n">
        <x:v>-0.015040672060575456</x:v>
      </x:c>
      <x:c r="H143" s="23" t="n">
        <x:v>-0.1460496777160081</x:v>
      </x:c>
      <x:c r="I143" s="24" t="n">
        <x:v>1991</x:v>
      </x:c>
      <x:c r="J143" s="25" t="n">
        <x:v>46210.32673208333</x:v>
      </x:c>
      <x:c r="K143" s="24" t="n">
        <x:v>8902245</x:v>
      </x:c>
      <x:c r="L143" t="str">
        <x:v>40355b29bce094aef0e99358bdfd4011b92e72a54440a67760de4afae4883c33</x:v>
      </x:c>
      <x:c r="M143" t="str">
        <x:v>legacy_common_sample_8902245</x:v>
      </x:c>
      <x:c r="N143" t="str">
        <x:v>factor_report/gtja191_batch/gtja_050/ic_summary.csv</x:v>
      </x:c>
    </x:row>
    <x:row r="144">
      <x:c r="A144" t="str">
        <x:v>gtja_050</x:v>
      </x:c>
      <x:c r="B144" s="22" t="n">
        <x:v>20</x:v>
      </x:c>
      <x:c r="C144" s="23" t="n">
        <x:v>-0.04048703310051595</x:v>
      </x:c>
      <x:c r="D144" s="23" t="n">
        <x:v>0.12070708202468723</x:v>
      </x:c>
      <x:c r="E144" s="23" t="n">
        <x:v>-0.33541555658047856</x:v>
      </x:c>
      <x:c r="F144" s="23" t="n">
        <x:v>0.3750630994447249</x:v>
      </x:c>
      <x:c r="G144" s="23" t="n">
        <x:v>-0.019469537966310825</x:v>
      </x:c>
      <x:c r="H144" s="23" t="n">
        <x:v>-0.18602282269880818</x:v>
      </x:c>
      <x:c r="I144" s="24" t="n">
        <x:v>1981</x:v>
      </x:c>
      <x:c r="J144" s="25" t="n">
        <x:v>46210.32673208333</x:v>
      </x:c>
      <x:c r="K144" s="24" t="n">
        <x:v>8902245</x:v>
      </x:c>
      <x:c r="L144" t="str">
        <x:v>40355b29bce094aef0e99358bdfd4011b92e72a54440a67760de4afae4883c33</x:v>
      </x:c>
      <x:c r="M144" t="str">
        <x:v>legacy_common_sample_8902245</x:v>
      </x:c>
      <x:c r="N144" t="str">
        <x:v>factor_report/gtja191_batch/gtja_050/ic_summary.csv</x:v>
      </x:c>
    </x:row>
    <x:row r="145">
      <x:c r="A145" t="str">
        <x:v>gtja_051</x:v>
      </x:c>
      <x:c r="B145" s="22" t="n">
        <x:v>1</x:v>
      </x:c>
      <x:c r="C145" s="23" t="n">
        <x:v>-0.028037087515120757</x:v>
      </x:c>
      <x:c r="D145" s="23" t="n">
        <x:v>0.13160540462285888</x:v>
      </x:c>
      <x:c r="E145" s="23" t="n">
        <x:v>-0.21303902826382043</x:v>
      </x:c>
      <x:c r="F145" s="23" t="n">
        <x:v>0.413</x:v>
      </x:c>
      <x:c r="G145" s="23" t="n">
        <x:v>-0.008180587749831277</x:v>
      </x:c>
      <x:c r="H145" s="23" t="n">
        <x:v>-0.07050628099361021</x:v>
      </x:c>
      <x:c r="I145" s="24" t="n">
        <x:v>2000</x:v>
      </x:c>
      <x:c r="J145" s="25" t="n">
        <x:v>46210.33137918982</x:v>
      </x:c>
      <x:c r="K145" s="24" t="n">
        <x:v>8902245</x:v>
      </x:c>
      <x:c r="L145" t="str">
        <x:v>40355b29bce094aef0e99358bdfd4011b92e72a54440a67760de4afae4883c33</x:v>
      </x:c>
      <x:c r="M145" t="str">
        <x:v>legacy_common_sample_8902245</x:v>
      </x:c>
      <x:c r="N145" t="str">
        <x:v>factor_report/gtja191_batch/gtja_051/ic_summary.csv</x:v>
      </x:c>
    </x:row>
    <x:row r="146">
      <x:c r="A146" t="str">
        <x:v>gtja_051</x:v>
      </x:c>
      <x:c r="B146" s="22" t="n">
        <x:v>5</x:v>
      </x:c>
      <x:c r="C146" s="23" t="n">
        <x:v>-0.03304907547879243</x:v>
      </x:c>
      <x:c r="D146" s="23" t="n">
        <x:v>0.12376971467721183</x:v>
      </x:c>
      <x:c r="E146" s="23" t="n">
        <x:v>-0.2670206969853938</x:v>
      </x:c>
      <x:c r="F146" s="23" t="n">
        <x:v>0.3877755511022044</x:v>
      </x:c>
      <x:c r="G146" s="23" t="n">
        <x:v>-0.01383949519679582</x:v>
      </x:c>
      <x:c r="H146" s="23" t="n">
        <x:v>-0.1301366989537495</x:v>
      </x:c>
      <x:c r="I146" s="24" t="n">
        <x:v>1996</x:v>
      </x:c>
      <x:c r="J146" s="25" t="n">
        <x:v>46210.33137918982</x:v>
      </x:c>
      <x:c r="K146" s="24" t="n">
        <x:v>8902245</x:v>
      </x:c>
      <x:c r="L146" t="str">
        <x:v>40355b29bce094aef0e99358bdfd4011b92e72a54440a67760de4afae4883c33</x:v>
      </x:c>
      <x:c r="M146" t="str">
        <x:v>legacy_common_sample_8902245</x:v>
      </x:c>
      <x:c r="N146" t="str">
        <x:v>factor_report/gtja191_batch/gtja_051/ic_summary.csv</x:v>
      </x:c>
    </x:row>
    <x:row r="147">
      <x:c r="A147" t="str">
        <x:v>gtja_051</x:v>
      </x:c>
      <x:c r="B147" s="22" t="n">
        <x:v>10</x:v>
      </x:c>
      <x:c r="C147" s="23" t="n">
        <x:v>-0.03477125480346933</x:v>
      </x:c>
      <x:c r="D147" s="23" t="n">
        <x:v>0.11981678207975749</x:v>
      </x:c>
      <x:c r="E147" s="23" t="n">
        <x:v>-0.2902035441105689</x:v>
      </x:c>
      <x:c r="F147" s="23" t="n">
        <x:v>0.3842290306378704</x:v>
      </x:c>
      <x:c r="G147" s="23" t="n">
        <x:v>-0.015040672060575458</x:v>
      </x:c>
      <x:c r="H147" s="23" t="n">
        <x:v>-0.1460496777160081</x:v>
      </x:c>
      <x:c r="I147" s="24" t="n">
        <x:v>1991</x:v>
      </x:c>
      <x:c r="J147" s="25" t="n">
        <x:v>46210.33137918982</x:v>
      </x:c>
      <x:c r="K147" s="24" t="n">
        <x:v>8902245</x:v>
      </x:c>
      <x:c r="L147" t="str">
        <x:v>40355b29bce094aef0e99358bdfd4011b92e72a54440a67760de4afae4883c33</x:v>
      </x:c>
      <x:c r="M147" t="str">
        <x:v>legacy_common_sample_8902245</x:v>
      </x:c>
      <x:c r="N147" t="str">
        <x:v>factor_report/gtja191_batch/gtja_051/ic_summary.csv</x:v>
      </x:c>
    </x:row>
    <x:row r="148">
      <x:c r="A148" t="str">
        <x:v>gtja_051</x:v>
      </x:c>
      <x:c r="B148" s="22" t="n">
        <x:v>20</x:v>
      </x:c>
      <x:c r="C148" s="23" t="n">
        <x:v>-0.040487045047700426</x:v>
      </x:c>
      <x:c r="D148" s="23" t="n">
        <x:v>0.12070707097991402</x:v>
      </x:c>
      <x:c r="E148" s="23" t="n">
        <x:v>-0.3354156862478883</x:v>
      </x:c>
      <x:c r="F148" s="23" t="n">
        <x:v>0.3750630994447249</x:v>
      </x:c>
      <x:c r="G148" s="23" t="n">
        <x:v>-0.019469537966310825</x:v>
      </x:c>
      <x:c r="H148" s="23" t="n">
        <x:v>-0.18602282269880818</x:v>
      </x:c>
      <x:c r="I148" s="24" t="n">
        <x:v>1981</x:v>
      </x:c>
      <x:c r="J148" s="25" t="n">
        <x:v>46210.33137918982</x:v>
      </x:c>
      <x:c r="K148" s="24" t="n">
        <x:v>8902245</x:v>
      </x:c>
      <x:c r="L148" t="str">
        <x:v>40355b29bce094aef0e99358bdfd4011b92e72a54440a67760de4afae4883c33</x:v>
      </x:c>
      <x:c r="M148" t="str">
        <x:v>legacy_common_sample_8902245</x:v>
      </x:c>
      <x:c r="N148" t="str">
        <x:v>factor_report/gtja191_batch/gtja_051/ic_summary.csv</x:v>
      </x:c>
    </x:row>
    <x:row r="149">
      <x:c r="A149" t="str">
        <x:v>gtja_052</x:v>
      </x:c>
      <x:c r="B149" s="22" t="n">
        <x:v>1</x:v>
      </x:c>
      <x:c r="C149" s="23" t="n">
        <x:v>-0.034557619492661715</x:v>
      </x:c>
      <x:c r="D149" s="23" t="n">
        <x:v>0.14582751862192847</x:v>
      </x:c>
      <x:c r="E149" s="23" t="n">
        <x:v>-0.2369759824430366</x:v>
      </x:c>
      <x:c r="F149" s="23" t="n">
        <x:v>0.3965</x:v>
      </x:c>
      <x:c r="G149" s="23" t="n">
        <x:v>-0.011970176895169264</x:v>
      </x:c>
      <x:c r="H149" s="23" t="n">
        <x:v>-0.09017301220491196</x:v>
      </x:c>
      <x:c r="I149" s="24" t="n">
        <x:v>2000</x:v>
      </x:c>
      <x:c r="J149" s="25" t="n">
        <x:v>46210.3353965162</x:v>
      </x:c>
      <x:c r="K149" s="24" t="n">
        <x:v>8902245</x:v>
      </x:c>
      <x:c r="L149" t="str">
        <x:v>40355b29bce094aef0e99358bdfd4011b92e72a54440a67760de4afae4883c33</x:v>
      </x:c>
      <x:c r="M149" t="str">
        <x:v>legacy_common_sample_8902245</x:v>
      </x:c>
      <x:c r="N149" t="str">
        <x:v>factor_report/gtja191_batch/gtja_052/ic_summary.csv</x:v>
      </x:c>
    </x:row>
    <x:row r="150">
      <x:c r="A150" t="str">
        <x:v>gtja_052</x:v>
      </x:c>
      <x:c r="B150" s="22" t="n">
        <x:v>5</x:v>
      </x:c>
      <x:c r="C150" s="23" t="n">
        <x:v>-0.04605223865343787</x:v>
      </x:c>
      <x:c r="D150" s="23" t="n">
        <x:v>0.1346785739853705</x:v>
      </x:c>
      <x:c r="E150" s="23" t="n">
        <x:v>-0.3419418344779943</x:v>
      </x:c>
      <x:c r="F150" s="23" t="n">
        <x:v>0.37324649298597196</x:v>
      </x:c>
      <x:c r="G150" s="23" t="n">
        <x:v>-0.02253951337386516</x:v>
      </x:c>
      <x:c r="H150" s="23" t="n">
        <x:v>-0.18475675263763533</x:v>
      </x:c>
      <x:c r="I150" s="24" t="n">
        <x:v>1996</x:v>
      </x:c>
      <x:c r="J150" s="25" t="n">
        <x:v>46210.3353965162</x:v>
      </x:c>
      <x:c r="K150" s="24" t="n">
        <x:v>8902245</x:v>
      </x:c>
      <x:c r="L150" t="str">
        <x:v>40355b29bce094aef0e99358bdfd4011b92e72a54440a67760de4afae4883c33</x:v>
      </x:c>
      <x:c r="M150" t="str">
        <x:v>legacy_common_sample_8902245</x:v>
      </x:c>
      <x:c r="N150" t="str">
        <x:v>factor_report/gtja191_batch/gtja_052/ic_summary.csv</x:v>
      </x:c>
    </x:row>
    <x:row r="151">
      <x:c r="A151" t="str">
        <x:v>gtja_052</x:v>
      </x:c>
      <x:c r="B151" s="22" t="n">
        <x:v>10</x:v>
      </x:c>
      <x:c r="C151" s="23" t="n">
        <x:v>-0.050813754781149335</x:v>
      </x:c>
      <x:c r="D151" s="23" t="n">
        <x:v>0.13049459380513437</x:v>
      </x:c>
      <x:c r="E151" s="23" t="n">
        <x:v>-0.3893935625948517</x:v>
      </x:c>
      <x:c r="F151" s="23" t="n">
        <x:v>0.34806629834254144</x:v>
      </x:c>
      <x:c r="G151" s="23" t="n">
        <x:v>-0.024715131502511947</x:v>
      </x:c>
      <x:c r="H151" s="23" t="n">
        <x:v>-0.2093159318397252</x:v>
      </x:c>
      <x:c r="I151" s="24" t="n">
        <x:v>1991</x:v>
      </x:c>
      <x:c r="J151" s="25" t="n">
        <x:v>46210.3353965162</x:v>
      </x:c>
      <x:c r="K151" s="24" t="n">
        <x:v>8902245</x:v>
      </x:c>
      <x:c r="L151" t="str">
        <x:v>40355b29bce094aef0e99358bdfd4011b92e72a54440a67760de4afae4883c33</x:v>
      </x:c>
      <x:c r="M151" t="str">
        <x:v>legacy_common_sample_8902245</x:v>
      </x:c>
      <x:c r="N151" t="str">
        <x:v>factor_report/gtja191_batch/gtja_052/ic_summary.csv</x:v>
      </x:c>
    </x:row>
    <x:row r="152">
      <x:c r="A152" t="str">
        <x:v>gtja_052</x:v>
      </x:c>
      <x:c r="B152" s="22" t="n">
        <x:v>20</x:v>
      </x:c>
      <x:c r="C152" s="23" t="n">
        <x:v>-0.05688399120856618</x:v>
      </x:c>
      <x:c r="D152" s="23" t="n">
        <x:v>0.1338864946040737</x:v>
      </x:c>
      <x:c r="E152" s="23" t="n">
        <x:v>-0.4248672831175565</x:v>
      </x:c>
      <x:c r="F152" s="23" t="n">
        <x:v>0.3442705704189803</x:v>
      </x:c>
      <x:c r="G152" s="23" t="n">
        <x:v>-0.02630236368686134</x:v>
      </x:c>
      <x:c r="H152" s="23" t="n">
        <x:v>-0.21872500545111467</x:v>
      </x:c>
      <x:c r="I152" s="24" t="n">
        <x:v>1981</x:v>
      </x:c>
      <x:c r="J152" s="25" t="n">
        <x:v>46210.3353965162</x:v>
      </x:c>
      <x:c r="K152" s="24" t="n">
        <x:v>8902245</x:v>
      </x:c>
      <x:c r="L152" t="str">
        <x:v>40355b29bce094aef0e99358bdfd4011b92e72a54440a67760de4afae4883c33</x:v>
      </x:c>
      <x:c r="M152" t="str">
        <x:v>legacy_common_sample_8902245</x:v>
      </x:c>
      <x:c r="N152" t="str">
        <x:v>factor_report/gtja191_batch/gtja_052/ic_summary.csv</x:v>
      </x:c>
    </x:row>
    <x:row r="153">
      <x:c r="A153" t="str">
        <x:v>gtja_053</x:v>
      </x:c>
      <x:c r="B153" s="22" t="n">
        <x:v>1</x:v>
      </x:c>
      <x:c r="C153" s="23" t="n">
        <x:v>-0.016102839965405964</x:v>
      </x:c>
      <x:c r="D153" s="23" t="n">
        <x:v>0.10446396850624658</x:v>
      </x:c>
      <x:c r="E153" s="23" t="n">
        <x:v>-0.1541473121849001</x:v>
      </x:c>
      <x:c r="F153" s="23" t="n">
        <x:v>0.4415</x:v>
      </x:c>
      <x:c r="G153" s="23" t="n">
        <x:v>-0.00401454304394823</x:v>
      </x:c>
      <x:c r="H153" s="23" t="n">
        <x:v>-0.043151924713635055</x:v>
      </x:c>
      <x:c r="I153" s="24" t="n">
        <x:v>2000</x:v>
      </x:c>
      <x:c r="J153" s="25" t="n">
        <x:v>46210.33939799768</x:v>
      </x:c>
      <x:c r="K153" s="24" t="n">
        <x:v>8902245</x:v>
      </x:c>
      <x:c r="L153" t="str">
        <x:v>40355b29bce094aef0e99358bdfd4011b92e72a54440a67760de4afae4883c33</x:v>
      </x:c>
      <x:c r="M153" t="str">
        <x:v>legacy_common_sample_8902245</x:v>
      </x:c>
      <x:c r="N153" t="str">
        <x:v>factor_report/gtja191_batch/gtja_053/ic_summary.csv</x:v>
      </x:c>
    </x:row>
    <x:row r="154">
      <x:c r="A154" t="str">
        <x:v>gtja_053</x:v>
      </x:c>
      <x:c r="B154" s="22" t="n">
        <x:v>5</x:v>
      </x:c>
      <x:c r="C154" s="23" t="n">
        <x:v>-0.019807683124837255</x:v>
      </x:c>
      <x:c r="D154" s="23" t="n">
        <x:v>0.09811284201034182</x:v>
      </x:c>
      <x:c r="E154" s="23" t="n">
        <x:v>-0.2018867532422451</x:v>
      </x:c>
      <x:c r="F154" s="23" t="n">
        <x:v>0.4123246492985972</x:v>
      </x:c>
      <x:c r="G154" s="23" t="n">
        <x:v>-0.00781606769170123</x:v>
      </x:c>
      <x:c r="H154" s="23" t="n">
        <x:v>-0.09028475495373624</x:v>
      </x:c>
      <x:c r="I154" s="24" t="n">
        <x:v>1996</x:v>
      </x:c>
      <x:c r="J154" s="25" t="n">
        <x:v>46210.33939799768</x:v>
      </x:c>
      <x:c r="K154" s="24" t="n">
        <x:v>8902245</x:v>
      </x:c>
      <x:c r="L154" t="str">
        <x:v>40355b29bce094aef0e99358bdfd4011b92e72a54440a67760de4afae4883c33</x:v>
      </x:c>
      <x:c r="M154" t="str">
        <x:v>legacy_common_sample_8902245</x:v>
      </x:c>
      <x:c r="N154" t="str">
        <x:v>factor_report/gtja191_batch/gtja_053/ic_summary.csv</x:v>
      </x:c>
    </x:row>
    <x:row r="155">
      <x:c r="A155" t="str">
        <x:v>gtja_053</x:v>
      </x:c>
      <x:c r="B155" s="22" t="n">
        <x:v>10</x:v>
      </x:c>
      <x:c r="C155" s="23" t="n">
        <x:v>-0.021981401750478545</x:v>
      </x:c>
      <x:c r="D155" s="23" t="n">
        <x:v>0.09762994919688875</x:v>
      </x:c>
      <x:c r="E155" s="23" t="n">
        <x:v>-0.2251501914248568</x:v>
      </x:c>
      <x:c r="F155" s="23" t="n">
        <x:v>0.41637368156705173</x:v>
      </x:c>
      <x:c r="G155" s="23" t="n">
        <x:v>-0.008607414012613357</x:v>
      </x:c>
      <x:c r="H155" s="23" t="n">
        <x:v>-0.1011932747755348</x:v>
      </x:c>
      <x:c r="I155" s="24" t="n">
        <x:v>1991</x:v>
      </x:c>
      <x:c r="J155" s="25" t="n">
        <x:v>46210.33939799768</x:v>
      </x:c>
      <x:c r="K155" s="24" t="n">
        <x:v>8902245</x:v>
      </x:c>
      <x:c r="L155" t="str">
        <x:v>40355b29bce094aef0e99358bdfd4011b92e72a54440a67760de4afae4883c33</x:v>
      </x:c>
      <x:c r="M155" t="str">
        <x:v>legacy_common_sample_8902245</x:v>
      </x:c>
      <x:c r="N155" t="str">
        <x:v>factor_report/gtja191_batch/gtja_053/ic_summary.csv</x:v>
      </x:c>
    </x:row>
    <x:row r="156">
      <x:c r="A156" t="str">
        <x:v>gtja_053</x:v>
      </x:c>
      <x:c r="B156" s="22" t="n">
        <x:v>20</x:v>
      </x:c>
      <x:c r="C156" s="23" t="n">
        <x:v>-0.028910114969108554</x:v>
      </x:c>
      <x:c r="D156" s="23" t="n">
        <x:v>0.0986342592933982</x:v>
      </x:c>
      <x:c r="E156" s="23" t="n">
        <x:v>-0.29310419296719525</x:v>
      </x:c>
      <x:c r="F156" s="23" t="n">
        <x:v>0.40686521958606764</x:v>
      </x:c>
      <x:c r="G156" s="23" t="n">
        <x:v>-0.013327397454991178</x:v>
      </x:c>
      <x:c r="H156" s="23" t="n">
        <x:v>-0.15373112969182773</x:v>
      </x:c>
      <x:c r="I156" s="24" t="n">
        <x:v>1981</x:v>
      </x:c>
      <x:c r="J156" s="25" t="n">
        <x:v>46210.33939799768</x:v>
      </x:c>
      <x:c r="K156" s="24" t="n">
        <x:v>8902245</x:v>
      </x:c>
      <x:c r="L156" t="str">
        <x:v>40355b29bce094aef0e99358bdfd4011b92e72a54440a67760de4afae4883c33</x:v>
      </x:c>
      <x:c r="M156" t="str">
        <x:v>legacy_common_sample_8902245</x:v>
      </x:c>
      <x:c r="N156" t="str">
        <x:v>factor_report/gtja191_batch/gtja_053/ic_summary.csv</x:v>
      </x:c>
    </x:row>
    <x:row r="157">
      <x:c r="A157" t="str">
        <x:v>gtja_054</x:v>
      </x:c>
      <x:c r="B157" s="22" t="n">
        <x:v>10</x:v>
      </x:c>
      <x:c r="C157" s="23" t="n">
        <x:v>0.030596478125827956</x:v>
      </x:c>
      <x:c r="D157" s="23" t="n">
        <x:v>0.11460406788306993</x:v>
      </x:c>
      <x:c r="E157" s="23" t="n">
        <x:v>0.26697549826106887</x:v>
      </x:c>
      <x:c r="F157" s="23" t="n">
        <x:v>0.6012054244098443</x:v>
      </x:c>
      <x:c r="G157" s="23" t="n">
        <x:v>0.015139462484562929</x:v>
      </x:c>
      <x:c r="H157" s="23" t="n">
        <x:v>0.1541752660383803</x:v>
      </x:c>
      <x:c r="I157" s="24" t="n">
        <x:v>1991</x:v>
      </x:c>
      <x:c r="J157" s="25" t="n">
        <x:v>46211.27909778935</x:v>
      </x:c>
      <x:c r="K157" s="24" t="n">
        <x:v>8902245</x:v>
      </x:c>
      <x:c r="L157" t="str">
        <x:v>8f7e606554926462248cbcc654181861438ca768a0063f6b317223ede37d16fb</x:v>
      </x:c>
      <x:c r="M157" t="str">
        <x:v>legacy_common_sample_8902245</x:v>
      </x:c>
      <x:c r="N157" t="str">
        <x:v>factor_report/gtja191_batch/gtja_054/ic_summary.csv</x:v>
      </x:c>
    </x:row>
    <x:row r="158">
      <x:c r="A158" t="str">
        <x:v>gtja_054</x:v>
      </x:c>
      <x:c r="B158" s="22" t="n">
        <x:v>20</x:v>
      </x:c>
      <x:c r="C158" s="23" t="n">
        <x:v>0.038602647215080194</x:v>
      </x:c>
      <x:c r="D158" s="23" t="n">
        <x:v>0.11603224447110118</x:v>
      </x:c>
      <x:c r="E158" s="23" t="n">
        <x:v>0.33268896409820387</x:v>
      </x:c>
      <x:c r="F158" s="23" t="n">
        <x:v>0.6249369005552751</x:v>
      </x:c>
      <x:c r="G158" s="23" t="n">
        <x:v>0.0199915398765741</x:v>
      </x:c>
      <x:c r="H158" s="23" t="n">
        <x:v>0.19893344948858097</x:v>
      </x:c>
      <x:c r="I158" s="24" t="n">
        <x:v>1981</x:v>
      </x:c>
      <x:c r="J158" s="25" t="n">
        <x:v>46211.27909778935</x:v>
      </x:c>
      <x:c r="K158" s="24" t="n">
        <x:v>8902245</x:v>
      </x:c>
      <x:c r="L158" t="str">
        <x:v>8f7e606554926462248cbcc654181861438ca768a0063f6b317223ede37d16fb</x:v>
      </x:c>
      <x:c r="M158" t="str">
        <x:v>legacy_common_sample_8902245</x:v>
      </x:c>
      <x:c r="N158" t="str">
        <x:v>factor_report/gtja191_batch/gtja_054/ic_summary.csv</x:v>
      </x:c>
    </x:row>
    <x:row r="159">
      <x:c r="A159" t="str">
        <x:v>gtja_055</x:v>
      </x:c>
      <x:c r="B159" s="22" t="n">
        <x:v>1</x:v>
      </x:c>
      <x:c r="C159" s="23" t="n">
        <x:v>-0.031998616247062475</x:v>
      </x:c>
      <x:c r="D159" s="23" t="n">
        <x:v>0.14638556683580708</x:v>
      </x:c>
      <x:c r="E159" s="23" t="n">
        <x:v>-0.21859133341303807</x:v>
      </x:c>
      <x:c r="F159" s="23" t="n">
        <x:v>0.4005</x:v>
      </x:c>
      <x:c r="G159" s="23" t="n">
        <x:v>-0.00948599926807126</x:v>
      </x:c>
      <x:c r="H159" s="23" t="n">
        <x:v>-0.09918056912942684</x:v>
      </x:c>
      <x:c r="I159" s="24" t="n">
        <x:v>2000</x:v>
      </x:c>
      <x:c r="J159" s="25" t="n">
        <x:v>46210.34754746528</x:v>
      </x:c>
      <x:c r="K159" s="24" t="n">
        <x:v>8902245</x:v>
      </x:c>
      <x:c r="L159" t="str">
        <x:v>40355b29bce094aef0e99358bdfd4011b92e72a54440a67760de4afae4883c33</x:v>
      </x:c>
      <x:c r="M159" t="str">
        <x:v>legacy_common_sample_8902245</x:v>
      </x:c>
      <x:c r="N159" t="str">
        <x:v>factor_report/gtja191_batch/gtja_055/ic_summary.csv</x:v>
      </x:c>
    </x:row>
    <x:row r="160">
      <x:c r="A160" t="str">
        <x:v>gtja_055</x:v>
      </x:c>
      <x:c r="B160" s="22" t="n">
        <x:v>5</x:v>
      </x:c>
      <x:c r="C160" s="23" t="n">
        <x:v>-0.04728572378762499</x:v>
      </x:c>
      <x:c r="D160" s="23" t="n">
        <x:v>0.13826884605174547</x:v>
      </x:c>
      <x:c r="E160" s="23" t="n">
        <x:v>-0.3419839330251506</x:v>
      </x:c>
      <x:c r="F160" s="23" t="n">
        <x:v>0.35470941883767537</x:v>
      </x:c>
      <x:c r="G160" s="23" t="n">
        <x:v>-0.01715798585399391</x:v>
      </x:c>
      <x:c r="H160" s="23" t="n">
        <x:v>-0.19528867425013205</x:v>
      </x:c>
      <x:c r="I160" s="24" t="n">
        <x:v>1996</x:v>
      </x:c>
      <x:c r="J160" s="25" t="n">
        <x:v>46210.34754746528</x:v>
      </x:c>
      <x:c r="K160" s="24" t="n">
        <x:v>8902245</x:v>
      </x:c>
      <x:c r="L160" t="str">
        <x:v>40355b29bce094aef0e99358bdfd4011b92e72a54440a67760de4afae4883c33</x:v>
      </x:c>
      <x:c r="M160" t="str">
        <x:v>legacy_common_sample_8902245</x:v>
      </x:c>
      <x:c r="N160" t="str">
        <x:v>factor_report/gtja191_batch/gtja_055/ic_summary.csv</x:v>
      </x:c>
    </x:row>
    <x:row r="161">
      <x:c r="A161" t="str">
        <x:v>gtja_055</x:v>
      </x:c>
      <x:c r="B161" s="22" t="n">
        <x:v>10</x:v>
      </x:c>
      <x:c r="C161" s="23" t="n">
        <x:v>-0.0544410013552593</x:v>
      </x:c>
      <x:c r="D161" s="23" t="n">
        <x:v>0.1334333382876157</x:v>
      </x:c>
      <x:c r="E161" s="23" t="n">
        <x:v>-0.4080014938838723</x:v>
      </x:c>
      <x:c r="F161" s="23" t="n">
        <x:v>0.3214465092918132</x:v>
      </x:c>
      <x:c r="G161" s="23" t="n">
        <x:v>-0.020264489615112173</x:v>
      </x:c>
      <x:c r="H161" s="23" t="n">
        <x:v>-0.2420698906713931</x:v>
      </x:c>
      <x:c r="I161" s="24" t="n">
        <x:v>1991</x:v>
      </x:c>
      <x:c r="J161" s="25" t="n">
        <x:v>46210.34754746528</x:v>
      </x:c>
      <x:c r="K161" s="24" t="n">
        <x:v>8902245</x:v>
      </x:c>
      <x:c r="L161" t="str">
        <x:v>40355b29bce094aef0e99358bdfd4011b92e72a54440a67760de4afae4883c33</x:v>
      </x:c>
      <x:c r="M161" t="str">
        <x:v>legacy_common_sample_8902245</x:v>
      </x:c>
      <x:c r="N161" t="str">
        <x:v>factor_report/gtja191_batch/gtja_055/ic_summary.csv</x:v>
      </x:c>
    </x:row>
    <x:row r="162">
      <x:c r="A162" t="str">
        <x:v>gtja_055</x:v>
      </x:c>
      <x:c r="B162" s="22" t="n">
        <x:v>20</x:v>
      </x:c>
      <x:c r="C162" s="23" t="n">
        <x:v>-0.059452727447306446</x:v>
      </x:c>
      <x:c r="D162" s="23" t="n">
        <x:v>0.1300688575858728</x:v>
      </x:c>
      <x:c r="E162" s="23" t="n">
        <x:v>-0.45708656592186286</x:v>
      </x:c>
      <x:c r="F162" s="23" t="n">
        <x:v>0.3250883392226148</x:v>
      </x:c>
      <x:c r="G162" s="23" t="n">
        <x:v>-0.020635377202574336</x:v>
      </x:c>
      <x:c r="H162" s="23" t="n">
        <x:v>-0.24901899909469655</x:v>
      </x:c>
      <x:c r="I162" s="24" t="n">
        <x:v>1981</x:v>
      </x:c>
      <x:c r="J162" s="25" t="n">
        <x:v>46210.34754746528</x:v>
      </x:c>
      <x:c r="K162" s="24" t="n">
        <x:v>8902245</x:v>
      </x:c>
      <x:c r="L162" t="str">
        <x:v>40355b29bce094aef0e99358bdfd4011b92e72a54440a67760de4afae4883c33</x:v>
      </x:c>
      <x:c r="M162" t="str">
        <x:v>legacy_common_sample_8902245</x:v>
      </x:c>
      <x:c r="N162" t="str">
        <x:v>factor_report/gtja191_batch/gtja_055/ic_summary.csv</x:v>
      </x:c>
    </x:row>
    <x:row r="163">
      <x:c r="A163" t="str">
        <x:v>gtja_056</x:v>
      </x:c>
      <x:c r="B163" s="22" t="n">
        <x:v>10</x:v>
      </x:c>
      <x:c r="C163" s="23" t="n">
        <x:v>0.024696541184129516</x:v>
      </x:c>
      <x:c r="D163" s="23" t="n">
        <x:v>0.08441852211642062</x:v>
      </x:c>
      <x:c r="E163" s="23" t="n">
        <x:v>0.2925488455018295</x:v>
      </x:c>
      <x:c r="F163" s="23" t="n">
        <x:v>0.6045454545454545</x:v>
      </x:c>
      <x:c r="G163" s="23" t="n">
        <x:v>0.010996001451732415</x:v>
      </x:c>
      <x:c r="H163" s="23" t="n">
        <x:v>0.1506663569712983</x:v>
      </x:c>
      <x:c r="I163" s="24" t="n">
        <x:v>1980</x:v>
      </x:c>
      <x:c r="J163" s="25" t="n">
        <x:v>46211.28159711805</x:v>
      </x:c>
      <x:c r="K163" s="24" t="n">
        <x:v>8902245</x:v>
      </x:c>
      <x:c r="L163" t="str">
        <x:v>8f7e606554926462248cbcc654181861438ca768a0063f6b317223ede37d16fb</x:v>
      </x:c>
      <x:c r="M163" t="str">
        <x:v>legacy_common_sample_8902245</x:v>
      </x:c>
      <x:c r="N163" t="str">
        <x:v>factor_report/gtja191_batch/gtja_056/ic_summary.csv</x:v>
      </x:c>
    </x:row>
    <x:row r="164">
      <x:c r="A164" t="str">
        <x:v>gtja_056</x:v>
      </x:c>
      <x:c r="B164" s="22" t="n">
        <x:v>20</x:v>
      </x:c>
      <x:c r="C164" s="23" t="n">
        <x:v>0.03241313674768896</x:v>
      </x:c>
      <x:c r="D164" s="23" t="n">
        <x:v>0.08848711684236264</x:v>
      </x:c>
      <x:c r="E164" s="23" t="n">
        <x:v>0.3663034564165094</x:v>
      </x:c>
      <x:c r="F164" s="23" t="n">
        <x:v>0.6263959390862944</x:v>
      </x:c>
      <x:c r="G164" s="23" t="n">
        <x:v>0.016734842262765923</x:v>
      </x:c>
      <x:c r="H164" s="23" t="n">
        <x:v>0.21540907203463364</x:v>
      </x:c>
      <x:c r="I164" s="24" t="n">
        <x:v>1970</x:v>
      </x:c>
      <x:c r="J164" s="25" t="n">
        <x:v>46211.28159711805</x:v>
      </x:c>
      <x:c r="K164" s="24" t="n">
        <x:v>8902245</x:v>
      </x:c>
      <x:c r="L164" t="str">
        <x:v>8f7e606554926462248cbcc654181861438ca768a0063f6b317223ede37d16fb</x:v>
      </x:c>
      <x:c r="M164" t="str">
        <x:v>legacy_common_sample_8902245</x:v>
      </x:c>
      <x:c r="N164" t="str">
        <x:v>factor_report/gtja191_batch/gtja_056/ic_summary.csv</x:v>
      </x:c>
    </x:row>
    <x:row r="165">
      <x:c r="A165" t="str">
        <x:v>gtja_057</x:v>
      </x:c>
      <x:c r="B165" s="22" t="n">
        <x:v>10</x:v>
      </x:c>
      <x:c r="C165" s="23" t="n">
        <x:v>-0.018479898515854735</x:v>
      </x:c>
      <x:c r="D165" s="23" t="n">
        <x:v>0.12573196055618183</x:v>
      </x:c>
      <x:c r="E165" s="23" t="n">
        <x:v>-0.1469785282445923</x:v>
      </x:c>
      <x:c r="F165" s="23" t="n">
        <x:v>0.4480160723254646</x:v>
      </x:c>
      <x:c r="G165" s="23" t="n">
        <x:v>-0.009437973277801052</x:v>
      </x:c>
      <x:c r="H165" s="23" t="n">
        <x:v>-0.08838081527134682</x:v>
      </x:c>
      <x:c r="I165" s="24" t="n">
        <x:v>1991</x:v>
      </x:c>
      <x:c r="J165" s="25" t="n">
        <x:v>46211.28466986111</x:v>
      </x:c>
      <x:c r="K165" s="24" t="n">
        <x:v>8902245</x:v>
      </x:c>
      <x:c r="L165" t="str">
        <x:v>8f7e606554926462248cbcc654181861438ca768a0063f6b317223ede37d16fb</x:v>
      </x:c>
      <x:c r="M165" t="str">
        <x:v>legacy_common_sample_8902245</x:v>
      </x:c>
      <x:c r="N165" t="str">
        <x:v>factor_report/gtja191_batch/gtja_057/ic_summary.csv</x:v>
      </x:c>
    </x:row>
    <x:row r="166">
      <x:c r="A166" t="str">
        <x:v>gtja_057</x:v>
      </x:c>
      <x:c r="B166" s="22" t="n">
        <x:v>20</x:v>
      </x:c>
      <x:c r="C166" s="23" t="n">
        <x:v>-0.023146052466604495</x:v>
      </x:c>
      <x:c r="D166" s="23" t="n">
        <x:v>0.12507826248836443</x:v>
      </x:c>
      <x:c r="E166" s="23" t="n">
        <x:v>-0.18505255834328277</x:v>
      </x:c>
      <x:c r="F166" s="23" t="n">
        <x:v>0.4548207975769813</x:v>
      </x:c>
      <x:c r="G166" s="23" t="n">
        <x:v>-0.01356410918189636</x:v>
      </x:c>
      <x:c r="H166" s="23" t="n">
        <x:v>-0.12719219428592607</x:v>
      </x:c>
      <x:c r="I166" s="24" t="n">
        <x:v>1981</x:v>
      </x:c>
      <x:c r="J166" s="25" t="n">
        <x:v>46211.28466986111</x:v>
      </x:c>
      <x:c r="K166" s="24" t="n">
        <x:v>8902245</x:v>
      </x:c>
      <x:c r="L166" t="str">
        <x:v>8f7e606554926462248cbcc654181861438ca768a0063f6b317223ede37d16fb</x:v>
      </x:c>
      <x:c r="M166" t="str">
        <x:v>legacy_common_sample_8902245</x:v>
      </x:c>
      <x:c r="N166" t="str">
        <x:v>factor_report/gtja191_batch/gtja_057/ic_summary.csv</x:v>
      </x:c>
    </x:row>
    <x:row r="167">
      <x:c r="A167" t="str">
        <x:v>gtja_058</x:v>
      </x:c>
      <x:c r="B167" s="22" t="n">
        <x:v>1</x:v>
      </x:c>
      <x:c r="C167" s="23" t="n">
        <x:v>-0.016845757410535775</x:v>
      </x:c>
      <x:c r="D167" s="23" t="n">
        <x:v>0.10993387354475967</x:v>
      </x:c>
      <x:c r="E167" s="23" t="n">
        <x:v>-0.153235366564947</x:v>
      </x:c>
      <x:c r="F167" s="23" t="n">
        <x:v>0.4385</x:v>
      </x:c>
      <x:c r="G167" s="23" t="n">
        <x:v>-0.0040216071350172985</x:v>
      </x:c>
      <x:c r="H167" s="23" t="n">
        <x:v>-0.04094377765641749</x:v>
      </x:c>
      <x:c r="I167" s="24" t="n">
        <x:v>2000</x:v>
      </x:c>
      <x:c r="J167" s="25" t="n">
        <x:v>46210.36385592593</x:v>
      </x:c>
      <x:c r="K167" s="24" t="n">
        <x:v>8902245</x:v>
      </x:c>
      <x:c r="L167" t="str">
        <x:v>40355b29bce094aef0e99358bdfd4011b92e72a54440a67760de4afae4883c33</x:v>
      </x:c>
      <x:c r="M167" t="str">
        <x:v>legacy_common_sample_8902245</x:v>
      </x:c>
      <x:c r="N167" t="str">
        <x:v>factor_report/gtja191_batch/gtja_058/ic_summary.csv</x:v>
      </x:c>
    </x:row>
    <x:row r="168">
      <x:c r="A168" t="str">
        <x:v>gtja_058</x:v>
      </x:c>
      <x:c r="B168" s="22" t="n">
        <x:v>5</x:v>
      </x:c>
      <x:c r="C168" s="23" t="n">
        <x:v>-0.022578085737218086</x:v>
      </x:c>
      <x:c r="D168" s="23" t="n">
        <x:v>0.10219846366877074</x:v>
      </x:c>
      <x:c r="E168" s="23" t="n">
        <x:v>-0.22092392514230502</x:v>
      </x:c>
      <x:c r="F168" s="23" t="n">
        <x:v>0.41583166332665333</x:v>
      </x:c>
      <x:c r="G168" s="23" t="n">
        <x:v>-0.008415631215240976</x:v>
      </x:c>
      <x:c r="H168" s="23" t="n">
        <x:v>-0.09190677471912896</x:v>
      </x:c>
      <x:c r="I168" s="24" t="n">
        <x:v>1996</x:v>
      </x:c>
      <x:c r="J168" s="25" t="n">
        <x:v>46210.36385592593</x:v>
      </x:c>
      <x:c r="K168" s="24" t="n">
        <x:v>8902245</x:v>
      </x:c>
      <x:c r="L168" t="str">
        <x:v>40355b29bce094aef0e99358bdfd4011b92e72a54440a67760de4afae4883c33</x:v>
      </x:c>
      <x:c r="M168" t="str">
        <x:v>legacy_common_sample_8902245</x:v>
      </x:c>
      <x:c r="N168" t="str">
        <x:v>factor_report/gtja191_batch/gtja_058/ic_summary.csv</x:v>
      </x:c>
    </x:row>
    <x:row r="169">
      <x:c r="A169" t="str">
        <x:v>gtja_058</x:v>
      </x:c>
      <x:c r="B169" s="22" t="n">
        <x:v>10</x:v>
      </x:c>
      <x:c r="C169" s="23" t="n">
        <x:v>-0.027364265891806076</x:v>
      </x:c>
      <x:c r="D169" s="23" t="n">
        <x:v>0.10033307426134769</x:v>
      </x:c>
      <x:c r="E169" s="23" t="n">
        <x:v>-0.27273425132501783</x:v>
      </x:c>
      <x:c r="F169" s="23" t="n">
        <x:v>0.41587142139628325</x:v>
      </x:c>
      <x:c r="G169" s="23" t="n">
        <x:v>-0.011066097293152184</x:v>
      </x:c>
      <x:c r="H169" s="23" t="n">
        <x:v>-0.12320854866680127</x:v>
      </x:c>
      <x:c r="I169" s="24" t="n">
        <x:v>1991</x:v>
      </x:c>
      <x:c r="J169" s="25" t="n">
        <x:v>46210.36385592593</x:v>
      </x:c>
      <x:c r="K169" s="24" t="n">
        <x:v>8902245</x:v>
      </x:c>
      <x:c r="L169" t="str">
        <x:v>40355b29bce094aef0e99358bdfd4011b92e72a54440a67760de4afae4883c33</x:v>
      </x:c>
      <x:c r="M169" t="str">
        <x:v>legacy_common_sample_8902245</x:v>
      </x:c>
      <x:c r="N169" t="str">
        <x:v>factor_report/gtja191_batch/gtja_058/ic_summary.csv</x:v>
      </x:c>
    </x:row>
    <x:row r="170">
      <x:c r="A170" t="str">
        <x:v>gtja_058</x:v>
      </x:c>
      <x:c r="B170" s="22" t="n">
        <x:v>20</x:v>
      </x:c>
      <x:c r="C170" s="23" t="n">
        <x:v>-0.035209552716903916</x:v>
      </x:c>
      <x:c r="D170" s="23" t="n">
        <x:v>0.10314637761879196</x:v>
      </x:c>
      <x:c r="E170" s="23" t="n">
        <x:v>-0.3413552034471949</x:v>
      </x:c>
      <x:c r="F170" s="23" t="n">
        <x:v>0.39374053508329127</x:v>
      </x:c>
      <x:c r="G170" s="23" t="n">
        <x:v>-0.015909565993262417</x:v>
      </x:c>
      <x:c r="H170" s="23" t="n">
        <x:v>-0.17212783238914925</x:v>
      </x:c>
      <x:c r="I170" s="24" t="n">
        <x:v>1981</x:v>
      </x:c>
      <x:c r="J170" s="25" t="n">
        <x:v>46210.36385592593</x:v>
      </x:c>
      <x:c r="K170" s="24" t="n">
        <x:v>8902245</x:v>
      </x:c>
      <x:c r="L170" t="str">
        <x:v>40355b29bce094aef0e99358bdfd4011b92e72a54440a67760de4afae4883c33</x:v>
      </x:c>
      <x:c r="M170" t="str">
        <x:v>legacy_common_sample_8902245</x:v>
      </x:c>
      <x:c r="N170" t="str">
        <x:v>factor_report/gtja191_batch/gtja_058/ic_summary.csv</x:v>
      </x:c>
    </x:row>
    <x:row r="171">
      <x:c r="A171" t="str">
        <x:v>gtja_059</x:v>
      </x:c>
      <x:c r="B171" s="22" t="n">
        <x:v>1</x:v>
      </x:c>
      <x:c r="C171" s="23" t="n">
        <x:v>-0.03241157048272622</x:v>
      </x:c>
      <x:c r="D171" s="23" t="n">
        <x:v>0.13972536845984782</x:v>
      </x:c>
      <x:c r="E171" s="23" t="n">
        <x:v>-0.2319662552333163</x:v>
      </x:c>
      <x:c r="F171" s="23" t="n">
        <x:v>0.39</x:v>
      </x:c>
      <x:c r="G171" s="23" t="n">
        <x:v>-0.011624692160520268</x:v>
      </x:c>
      <x:c r="H171" s="23" t="n">
        <x:v>-0.12421116458467438</x:v>
      </x:c>
      <x:c r="I171" s="24" t="n">
        <x:v>2000</x:v>
      </x:c>
      <x:c r="J171" s="25" t="n">
        <x:v>46210.36786096065</x:v>
      </x:c>
      <x:c r="K171" s="24" t="n">
        <x:v>8902245</x:v>
      </x:c>
      <x:c r="L171" t="str">
        <x:v>40355b29bce094aef0e99358bdfd4011b92e72a54440a67760de4afae4883c33</x:v>
      </x:c>
      <x:c r="M171" t="str">
        <x:v>legacy_common_sample_8902245</x:v>
      </x:c>
      <x:c r="N171" t="str">
        <x:v>factor_report/gtja191_batch/gtja_059/ic_summary.csv</x:v>
      </x:c>
    </x:row>
    <x:row r="172">
      <x:c r="A172" t="str">
        <x:v>gtja_059</x:v>
      </x:c>
      <x:c r="B172" s="22" t="n">
        <x:v>5</x:v>
      </x:c>
      <x:c r="C172" s="23" t="n">
        <x:v>-0.04765092063494312</x:v>
      </x:c>
      <x:c r="D172" s="23" t="n">
        <x:v>0.13113632070671788</x:v>
      </x:c>
      <x:c r="E172" s="23" t="n">
        <x:v>-0.3633693577655946</x:v>
      </x:c>
      <x:c r="F172" s="23" t="n">
        <x:v>0.3486973947895792</x:v>
      </x:c>
      <x:c r="G172" s="23" t="n">
        <x:v>-0.02078227807110975</x:v>
      </x:c>
      <x:c r="H172" s="23" t="n">
        <x:v>-0.24110579516042083</x:v>
      </x:c>
      <x:c r="I172" s="24" t="n">
        <x:v>1996</x:v>
      </x:c>
      <x:c r="J172" s="25" t="n">
        <x:v>46210.36786096065</x:v>
      </x:c>
      <x:c r="K172" s="24" t="n">
        <x:v>8902245</x:v>
      </x:c>
      <x:c r="L172" t="str">
        <x:v>40355b29bce094aef0e99358bdfd4011b92e72a54440a67760de4afae4883c33</x:v>
      </x:c>
      <x:c r="M172" t="str">
        <x:v>legacy_common_sample_8902245</x:v>
      </x:c>
      <x:c r="N172" t="str">
        <x:v>factor_report/gtja191_batch/gtja_059/ic_summary.csv</x:v>
      </x:c>
    </x:row>
    <x:row r="173">
      <x:c r="A173" t="str">
        <x:v>gtja_059</x:v>
      </x:c>
      <x:c r="B173" s="22" t="n">
        <x:v>10</x:v>
      </x:c>
      <x:c r="C173" s="23" t="n">
        <x:v>-0.05652192099592995</x:v>
      </x:c>
      <x:c r="D173" s="23" t="n">
        <x:v>0.12629519790066987</x:v>
      </x:c>
      <x:c r="E173" s="23" t="n">
        <x:v>-0.4475381640431331</x:v>
      </x:c>
      <x:c r="F173" s="23" t="n">
        <x:v>0.32847815168257155</x:v>
      </x:c>
      <x:c r="G173" s="23" t="n">
        <x:v>-0.024980424792102687</x:v>
      </x:c>
      <x:c r="H173" s="23" t="n">
        <x:v>-0.30081828238145747</x:v>
      </x:c>
      <x:c r="I173" s="24" t="n">
        <x:v>1991</x:v>
      </x:c>
      <x:c r="J173" s="25" t="n">
        <x:v>46210.36786096065</x:v>
      </x:c>
      <x:c r="K173" s="24" t="n">
        <x:v>8902245</x:v>
      </x:c>
      <x:c r="L173" t="str">
        <x:v>40355b29bce094aef0e99358bdfd4011b92e72a54440a67760de4afae4883c33</x:v>
      </x:c>
      <x:c r="M173" t="str">
        <x:v>legacy_common_sample_8902245</x:v>
      </x:c>
      <x:c r="N173" t="str">
        <x:v>factor_report/gtja191_batch/gtja_059/ic_summary.csv</x:v>
      </x:c>
    </x:row>
    <x:row r="174">
      <x:c r="A174" t="str">
        <x:v>gtja_059</x:v>
      </x:c>
      <x:c r="B174" s="22" t="n">
        <x:v>20</x:v>
      </x:c>
      <x:c r="C174" s="23" t="n">
        <x:v>-0.06446362844496573</x:v>
      </x:c>
      <x:c r="D174" s="23" t="n">
        <x:v>0.1271750999895543</x:v>
      </x:c>
      <x:c r="E174" s="23" t="n">
        <x:v>-0.5068887577069766</x:v>
      </x:c>
      <x:c r="F174" s="23" t="n">
        <x:v>0.30792529025744575</x:v>
      </x:c>
      <x:c r="G174" s="23" t="n">
        <x:v>-0.026513978588463143</x:v>
      </x:c>
      <x:c r="H174" s="23" t="n">
        <x:v>-0.3093983922628764</x:v>
      </x:c>
      <x:c r="I174" s="24" t="n">
        <x:v>1981</x:v>
      </x:c>
      <x:c r="J174" s="25" t="n">
        <x:v>46210.36786096065</x:v>
      </x:c>
      <x:c r="K174" s="24" t="n">
        <x:v>8902245</x:v>
      </x:c>
      <x:c r="L174" t="str">
        <x:v>40355b29bce094aef0e99358bdfd4011b92e72a54440a67760de4afae4883c33</x:v>
      </x:c>
      <x:c r="M174" t="str">
        <x:v>legacy_common_sample_8902245</x:v>
      </x:c>
      <x:c r="N174" t="str">
        <x:v>factor_report/gtja191_batch/gtja_059/ic_summary.csv</x:v>
      </x:c>
    </x:row>
    <x:row r="175">
      <x:c r="A175" t="str">
        <x:v>gtja_060</x:v>
      </x:c>
      <x:c r="B175" s="22" t="n">
        <x:v>1</x:v>
      </x:c>
      <x:c r="C175" s="23" t="n">
        <x:v>-0.011815777105240049</x:v>
      </x:c>
      <x:c r="D175" s="23" t="n">
        <x:v>0.10228609687148074</x:v>
      </x:c>
      <x:c r="E175" s="23" t="n">
        <x:v>-0.11551694185854212</x:v>
      </x:c>
      <x:c r="F175" s="23" t="n">
        <x:v>0.4545</x:v>
      </x:c>
      <x:c r="G175" s="23" t="n">
        <x:v>-0.005138306780341017</x:v>
      </x:c>
      <x:c r="H175" s="23" t="n">
        <x:v>-0.0827402968221404</x:v>
      </x:c>
      <x:c r="I175" s="24" t="n">
        <x:v>2000</x:v>
      </x:c>
      <x:c r="J175" s="25" t="n">
        <x:v>46210.37184259259</x:v>
      </x:c>
      <x:c r="K175" s="24" t="n">
        <x:v>8902245</x:v>
      </x:c>
      <x:c r="L175" t="str">
        <x:v>40355b29bce094aef0e99358bdfd4011b92e72a54440a67760de4afae4883c33</x:v>
      </x:c>
      <x:c r="M175" t="str">
        <x:v>legacy_common_sample_8902245</x:v>
      </x:c>
      <x:c r="N175" t="str">
        <x:v>factor_report/gtja191_batch/gtja_060/ic_summary.csv</x:v>
      </x:c>
    </x:row>
    <x:row r="176">
      <x:c r="A176" t="str">
        <x:v>gtja_060</x:v>
      </x:c>
      <x:c r="B176" s="22" t="n">
        <x:v>5</x:v>
      </x:c>
      <x:c r="C176" s="23" t="n">
        <x:v>-0.015488033351198223</x:v>
      </x:c>
      <x:c r="D176" s="23" t="n">
        <x:v>0.0957444504327126</x:v>
      </x:c>
      <x:c r="E176" s="23" t="n">
        <x:v>-0.1617642931908928</x:v>
      </x:c>
      <x:c r="F176" s="23" t="n">
        <x:v>0.42935871743486975</x:v>
      </x:c>
      <x:c r="G176" s="23" t="n">
        <x:v>-0.009395251418753036</x:v>
      </x:c>
      <x:c r="H176" s="23" t="n">
        <x:v>-0.16277937049647756</x:v>
      </x:c>
      <x:c r="I176" s="24" t="n">
        <x:v>1996</x:v>
      </x:c>
      <x:c r="J176" s="25" t="n">
        <x:v>46210.37184259259</x:v>
      </x:c>
      <x:c r="K176" s="24" t="n">
        <x:v>8902245</x:v>
      </x:c>
      <x:c r="L176" t="str">
        <x:v>40355b29bce094aef0e99358bdfd4011b92e72a54440a67760de4afae4883c33</x:v>
      </x:c>
      <x:c r="M176" t="str">
        <x:v>legacy_common_sample_8902245</x:v>
      </x:c>
      <x:c r="N176" t="str">
        <x:v>factor_report/gtja191_batch/gtja_060/ic_summary.csv</x:v>
      </x:c>
    </x:row>
    <x:row r="177">
      <x:c r="A177" t="str">
        <x:v>gtja_060</x:v>
      </x:c>
      <x:c r="B177" s="22" t="n">
        <x:v>10</x:v>
      </x:c>
      <x:c r="C177" s="23" t="n">
        <x:v>-0.02001290122792241</x:v>
      </x:c>
      <x:c r="D177" s="23" t="n">
        <x:v>0.09228894636118828</x:v>
      </x:c>
      <x:c r="E177" s="23" t="n">
        <x:v>-0.21685046819798506</x:v>
      </x:c>
      <x:c r="F177" s="23" t="n">
        <x:v>0.4178804620793571</x:v>
      </x:c>
      <x:c r="G177" s="23" t="n">
        <x:v>-0.012458570156869525</x:v>
      </x:c>
      <x:c r="H177" s="23" t="n">
        <x:v>-0.22501181432349449</x:v>
      </x:c>
      <x:c r="I177" s="24" t="n">
        <x:v>1991</x:v>
      </x:c>
      <x:c r="J177" s="25" t="n">
        <x:v>46210.37184259259</x:v>
      </x:c>
      <x:c r="K177" s="24" t="n">
        <x:v>8902245</x:v>
      </x:c>
      <x:c r="L177" t="str">
        <x:v>40355b29bce094aef0e99358bdfd4011b92e72a54440a67760de4afae4883c33</x:v>
      </x:c>
      <x:c r="M177" t="str">
        <x:v>legacy_common_sample_8902245</x:v>
      </x:c>
      <x:c r="N177" t="str">
        <x:v>factor_report/gtja191_batch/gtja_060/ic_summary.csv</x:v>
      </x:c>
    </x:row>
    <x:row r="178">
      <x:c r="A178" t="str">
        <x:v>gtja_060</x:v>
      </x:c>
      <x:c r="B178" s="22" t="n">
        <x:v>20</x:v>
      </x:c>
      <x:c r="C178" s="23" t="n">
        <x:v>-0.027584066159598453</x:v>
      </x:c>
      <x:c r="D178" s="23" t="n">
        <x:v>0.09365968639086392</x:v>
      </x:c>
      <x:c r="E178" s="23" t="n">
        <x:v>-0.2945137574397127</x:v>
      </x:c>
      <x:c r="F178" s="23" t="n">
        <x:v>0.39979808177688037</x:v>
      </x:c>
      <x:c r="G178" s="23" t="n">
        <x:v>-0.016329541257783086</x:v>
      </x:c>
      <x:c r="H178" s="23" t="n">
        <x:v>-0.29803379073907715</x:v>
      </x:c>
      <x:c r="I178" s="24" t="n">
        <x:v>1981</x:v>
      </x:c>
      <x:c r="J178" s="25" t="n">
        <x:v>46210.37184259259</x:v>
      </x:c>
      <x:c r="K178" s="24" t="n">
        <x:v>8902245</x:v>
      </x:c>
      <x:c r="L178" t="str">
        <x:v>40355b29bce094aef0e99358bdfd4011b92e72a54440a67760de4afae4883c33</x:v>
      </x:c>
      <x:c r="M178" t="str">
        <x:v>legacy_common_sample_8902245</x:v>
      </x:c>
      <x:c r="N178" t="str">
        <x:v>factor_report/gtja191_batch/gtja_060/ic_summary.csv</x:v>
      </x:c>
    </x:row>
    <x:row r="179">
      <x:c r="A179" t="str">
        <x:v>gtja_061</x:v>
      </x:c>
      <x:c r="B179" s="22" t="n">
        <x:v>10</x:v>
      </x:c>
      <x:c r="C179" s="23" t="n">
        <x:v>0.0476882830147672</x:v>
      </x:c>
      <x:c r="D179" s="23" t="n">
        <x:v>0.0920964784862326</x:v>
      </x:c>
      <x:c r="E179" s="23" t="n">
        <x:v>0.5178078879736543</x:v>
      </x:c>
      <x:c r="F179" s="23" t="n">
        <x:v>0.7087827426810478</x:v>
      </x:c>
      <x:c r="G179" s="23" t="n">
        <x:v>0.02281897648035449</x:v>
      </x:c>
      <x:c r="H179" s="23" t="n">
        <x:v>0.2882731512751033</x:v>
      </x:c>
      <x:c r="I179" s="24" t="n">
        <x:v>1947</x:v>
      </x:c>
      <x:c r="J179" s="25" t="n">
        <x:v>46211.287648680554</x:v>
      </x:c>
      <x:c r="K179" s="24" t="n">
        <x:v>8902245</x:v>
      </x:c>
      <x:c r="L179" t="str">
        <x:v>8f7e606554926462248cbcc654181861438ca768a0063f6b317223ede37d16fb</x:v>
      </x:c>
      <x:c r="M179" t="str">
        <x:v>legacy_common_sample_8902245</x:v>
      </x:c>
      <x:c r="N179" t="str">
        <x:v>factor_report/gtja191_batch/gtja_061/ic_summary.csv</x:v>
      </x:c>
    </x:row>
    <x:row r="180">
      <x:c r="A180" t="str">
        <x:v>gtja_061</x:v>
      </x:c>
      <x:c r="B180" s="22" t="n">
        <x:v>20</x:v>
      </x:c>
      <x:c r="C180" s="23" t="n">
        <x:v>0.0524166661641735</x:v>
      </x:c>
      <x:c r="D180" s="23" t="n">
        <x:v>0.09336431784432507</x:v>
      </x:c>
      <x:c r="E180" s="23" t="n">
        <x:v>0.5614207587482473</x:v>
      </x:c>
      <x:c r="F180" s="23" t="n">
        <x:v>0.7243159525038719</x:v>
      </x:c>
      <x:c r="G180" s="23" t="n">
        <x:v>0.024912745428397262</x:v>
      </x:c>
      <x:c r="H180" s="23" t="n">
        <x:v>0.31285466815506774</x:v>
      </x:c>
      <x:c r="I180" s="24" t="n">
        <x:v>1937</x:v>
      </x:c>
      <x:c r="J180" s="25" t="n">
        <x:v>46211.287648680554</x:v>
      </x:c>
      <x:c r="K180" s="24" t="n">
        <x:v>8902245</x:v>
      </x:c>
      <x:c r="L180" t="str">
        <x:v>8f7e606554926462248cbcc654181861438ca768a0063f6b317223ede37d16fb</x:v>
      </x:c>
      <x:c r="M180" t="str">
        <x:v>legacy_common_sample_8902245</x:v>
      </x:c>
      <x:c r="N180" t="str">
        <x:v>factor_report/gtja191_batch/gtja_061/ic_summary.csv</x:v>
      </x:c>
    </x:row>
    <x:row r="181">
      <x:c r="A181" t="str">
        <x:v>gtja_062</x:v>
      </x:c>
      <x:c r="B181" s="22" t="n">
        <x:v>10</x:v>
      </x:c>
      <x:c r="C181" s="23" t="n">
        <x:v>0.045392270522241325</x:v>
      </x:c>
      <x:c r="D181" s="23" t="n">
        <x:v>0.06397345193807814</x:v>
      </x:c>
      <x:c r="E181" s="23" t="n">
        <x:v>0.7095485572074162</x:v>
      </x:c>
      <x:c r="F181" s="23" t="n">
        <x:v>0.7709693621295831</x:v>
      </x:c>
      <x:c r="G181" s="23" t="n">
        <x:v>0.020164188112098073</x:v>
      </x:c>
      <x:c r="H181" s="23" t="n">
        <x:v>0.37567901802942794</x:v>
      </x:c>
      <x:c r="I181" s="24" t="n">
        <x:v>1991</x:v>
      </x:c>
      <x:c r="J181" s="25" t="n">
        <x:v>46211.290294004626</x:v>
      </x:c>
      <x:c r="K181" s="24" t="n">
        <x:v>8902245</x:v>
      </x:c>
      <x:c r="L181" t="str">
        <x:v>8f7e606554926462248cbcc654181861438ca768a0063f6b317223ede37d16fb</x:v>
      </x:c>
      <x:c r="M181" t="str">
        <x:v>legacy_common_sample_8902245</x:v>
      </x:c>
      <x:c r="N181" t="str">
        <x:v>factor_report/gtja191_batch/gtja_062/ic_summary.csv</x:v>
      </x:c>
    </x:row>
    <x:row r="182">
      <x:c r="A182" t="str">
        <x:v>gtja_062</x:v>
      </x:c>
      <x:c r="B182" s="22" t="n">
        <x:v>20</x:v>
      </x:c>
      <x:c r="C182" s="23" t="n">
        <x:v>0.04954705953979472</x:v>
      </x:c>
      <x:c r="D182" s="23" t="n">
        <x:v>0.05959154420453773</x:v>
      </x:c>
      <x:c r="E182" s="23" t="n">
        <x:v>0.8314444641631195</x:v>
      </x:c>
      <x:c r="F182" s="23" t="n">
        <x:v>0.8101968702675416</x:v>
      </x:c>
      <x:c r="G182" s="23" t="n">
        <x:v>0.024972285268116227</x:v>
      </x:c>
      <x:c r="H182" s="23" t="n">
        <x:v>0.4952365332058697</x:v>
      </x:c>
      <x:c r="I182" s="24" t="n">
        <x:v>1981</x:v>
      </x:c>
      <x:c r="J182" s="25" t="n">
        <x:v>46211.290294004626</x:v>
      </x:c>
      <x:c r="K182" s="24" t="n">
        <x:v>8902245</x:v>
      </x:c>
      <x:c r="L182" t="str">
        <x:v>8f7e606554926462248cbcc654181861438ca768a0063f6b317223ede37d16fb</x:v>
      </x:c>
      <x:c r="M182" t="str">
        <x:v>legacy_common_sample_8902245</x:v>
      </x:c>
      <x:c r="N182" t="str">
        <x:v>factor_report/gtja191_batch/gtja_062/ic_summary.csv</x:v>
      </x:c>
    </x:row>
    <x:row r="183">
      <x:c r="A183" t="str">
        <x:v>gtja_063</x:v>
      </x:c>
      <x:c r="B183" s="22" t="n">
        <x:v>1</x:v>
      </x:c>
      <x:c r="C183" s="23" t="n">
        <x:v>-0.029626434173609568</x:v>
      </x:c>
      <x:c r="D183" s="23" t="n">
        <x:v>0.14490637499146805</x:v>
      </x:c>
      <x:c r="E183" s="23" t="n">
        <x:v>-0.2044522483938608</x:v>
      </x:c>
      <x:c r="F183" s="23" t="n">
        <x:v>0.417</x:v>
      </x:c>
      <x:c r="G183" s="23" t="n">
        <x:v>-0.009435163934570688</x:v>
      </x:c>
      <x:c r="H183" s="23" t="n">
        <x:v>-0.07527760779004716</x:v>
      </x:c>
      <x:c r="I183" s="24" t="n">
        <x:v>2000</x:v>
      </x:c>
      <x:c r="J183" s="25" t="n">
        <x:v>46210.385858483794</x:v>
      </x:c>
      <x:c r="K183" s="24" t="n">
        <x:v>8902245</x:v>
      </x:c>
      <x:c r="L183" t="str">
        <x:v>40355b29bce094aef0e99358bdfd4011b92e72a54440a67760de4afae4883c33</x:v>
      </x:c>
      <x:c r="M183" t="str">
        <x:v>legacy_common_sample_8902245</x:v>
      </x:c>
      <x:c r="N183" t="str">
        <x:v>factor_report/gtja191_batch/gtja_063/ic_summary.csv</x:v>
      </x:c>
    </x:row>
    <x:row r="184">
      <x:c r="A184" t="str">
        <x:v>gtja_063</x:v>
      </x:c>
      <x:c r="B184" s="22" t="n">
        <x:v>5</x:v>
      </x:c>
      <x:c r="C184" s="23" t="n">
        <x:v>-0.03165498417135638</x:v>
      </x:c>
      <x:c r="D184" s="23" t="n">
        <x:v>0.13122461240273733</x:v>
      </x:c>
      <x:c r="E184" s="23" t="n">
        <x:v>-0.2412274922497394</x:v>
      </x:c>
      <x:c r="F184" s="23" t="n">
        <x:v>0.39929859719438876</x:v>
      </x:c>
      <x:c r="G184" s="23" t="n">
        <x:v>-0.01573562574316474</x:v>
      </x:c>
      <x:c r="H184" s="23" t="n">
        <x:v>-0.13953774257341106</x:v>
      </x:c>
      <x:c r="I184" s="24" t="n">
        <x:v>1996</x:v>
      </x:c>
      <x:c r="J184" s="25" t="n">
        <x:v>46210.385858483794</x:v>
      </x:c>
      <x:c r="K184" s="24" t="n">
        <x:v>8902245</x:v>
      </x:c>
      <x:c r="L184" t="str">
        <x:v>40355b29bce094aef0e99358bdfd4011b92e72a54440a67760de4afae4883c33</x:v>
      </x:c>
      <x:c r="M184" t="str">
        <x:v>legacy_common_sample_8902245</x:v>
      </x:c>
      <x:c r="N184" t="str">
        <x:v>factor_report/gtja191_batch/gtja_063/ic_summary.csv</x:v>
      </x:c>
    </x:row>
    <x:row r="185">
      <x:c r="A185" t="str">
        <x:v>gtja_063</x:v>
      </x:c>
      <x:c r="B185" s="22" t="n">
        <x:v>10</x:v>
      </x:c>
      <x:c r="C185" s="23" t="n">
        <x:v>-0.03214577550026036</x:v>
      </x:c>
      <x:c r="D185" s="23" t="n">
        <x:v>0.127850657984467</x:v>
      </x:c>
      <x:c r="E185" s="23" t="n">
        <x:v>-0.25143222574705765</x:v>
      </x:c>
      <x:c r="F185" s="23" t="n">
        <x:v>0.40733299849321947</x:v>
      </x:c>
      <x:c r="G185" s="23" t="n">
        <x:v>-0.015548512248533087</x:v>
      </x:c>
      <x:c r="H185" s="23" t="n">
        <x:v>-0.1423407382215584</x:v>
      </x:c>
      <x:c r="I185" s="24" t="n">
        <x:v>1991</x:v>
      </x:c>
      <x:c r="J185" s="25" t="n">
        <x:v>46210.385858483794</x:v>
      </x:c>
      <x:c r="K185" s="24" t="n">
        <x:v>8902245</x:v>
      </x:c>
      <x:c r="L185" t="str">
        <x:v>40355b29bce094aef0e99358bdfd4011b92e72a54440a67760de4afae4883c33</x:v>
      </x:c>
      <x:c r="M185" t="str">
        <x:v>legacy_common_sample_8902245</x:v>
      </x:c>
      <x:c r="N185" t="str">
        <x:v>factor_report/gtja191_batch/gtja_063/ic_summary.csv</x:v>
      </x:c>
    </x:row>
    <x:row r="186">
      <x:c r="A186" t="str">
        <x:v>gtja_063</x:v>
      </x:c>
      <x:c r="B186" s="22" t="n">
        <x:v>20</x:v>
      </x:c>
      <x:c r="C186" s="23" t="n">
        <x:v>-0.03637963851538203</x:v>
      </x:c>
      <x:c r="D186" s="23" t="n">
        <x:v>0.12510748148979678</x:v>
      </x:c>
      <x:c r="E186" s="23" t="n">
        <x:v>-0.29078707429938144</x:v>
      </x:c>
      <x:c r="F186" s="23" t="n">
        <x:v>0.39121655729429583</x:v>
      </x:c>
      <x:c r="G186" s="23" t="n">
        <x:v>-0.01891576978835062</x:v>
      </x:c>
      <x:c r="H186" s="23" t="n">
        <x:v>-0.17614220430451488</x:v>
      </x:c>
      <x:c r="I186" s="24" t="n">
        <x:v>1981</x:v>
      </x:c>
      <x:c r="J186" s="25" t="n">
        <x:v>46210.385858483794</x:v>
      </x:c>
      <x:c r="K186" s="24" t="n">
        <x:v>8902245</x:v>
      </x:c>
      <x:c r="L186" t="str">
        <x:v>40355b29bce094aef0e99358bdfd4011b92e72a54440a67760de4afae4883c33</x:v>
      </x:c>
      <x:c r="M186" t="str">
        <x:v>legacy_common_sample_8902245</x:v>
      </x:c>
      <x:c r="N186" t="str">
        <x:v>factor_report/gtja191_batch/gtja_063/ic_summary.csv</x:v>
      </x:c>
    </x:row>
    <x:row r="187">
      <x:c r="A187" t="str">
        <x:v>gtja_064</x:v>
      </x:c>
      <x:c r="B187" s="22" t="n">
        <x:v>10</x:v>
      </x:c>
      <x:c r="C187" s="23" t="n">
        <x:v>0.035302286603448786</x:v>
      </x:c>
      <x:c r="D187" s="23" t="n">
        <x:v>0.05048674595371734</x:v>
      </x:c>
      <x:c r="E187" s="23" t="n">
        <x:v>0.699238699911684</x:v>
      </x:c>
      <x:c r="F187" s="23" t="n">
        <x:v>0.7660550458715596</x:v>
      </x:c>
      <x:c r="G187" s="23" t="n">
        <x:v>0.014668652507403995</x:v>
      </x:c>
      <x:c r="H187" s="23" t="n">
        <x:v>0.3186863577925454</x:v>
      </x:c>
      <x:c r="I187" s="24" t="n">
        <x:v>1962</x:v>
      </x:c>
      <x:c r="J187" s="25" t="n">
        <x:v>46211.2933559838</x:v>
      </x:c>
      <x:c r="K187" s="24" t="n">
        <x:v>8902245</x:v>
      </x:c>
      <x:c r="L187" t="str">
        <x:v>8f7e606554926462248cbcc654181861438ca768a0063f6b317223ede37d16fb</x:v>
      </x:c>
      <x:c r="M187" t="str">
        <x:v>legacy_common_sample_8902245</x:v>
      </x:c>
      <x:c r="N187" t="str">
        <x:v>factor_report/gtja191_batch/gtja_064/ic_summary.csv</x:v>
      </x:c>
    </x:row>
    <x:row r="188">
      <x:c r="A188" t="str">
        <x:v>gtja_064</x:v>
      </x:c>
      <x:c r="B188" s="22" t="n">
        <x:v>20</x:v>
      </x:c>
      <x:c r="C188" s="23" t="n">
        <x:v>0.03708133958236362</x:v>
      </x:c>
      <x:c r="D188" s="23" t="n">
        <x:v>0.049170969307831436</x:v>
      </x:c>
      <x:c r="E188" s="23" t="n">
        <x:v>0.7541307422723045</x:v>
      </x:c>
      <x:c r="F188" s="23" t="n">
        <x:v>0.7745901639344263</x:v>
      </x:c>
      <x:c r="G188" s="23" t="n">
        <x:v>0.016671270189241895</x:v>
      </x:c>
      <x:c r="H188" s="23" t="n">
        <x:v>0.3717581564451766</x:v>
      </x:c>
      <x:c r="I188" s="24" t="n">
        <x:v>1952</x:v>
      </x:c>
      <x:c r="J188" s="25" t="n">
        <x:v>46211.2933559838</x:v>
      </x:c>
      <x:c r="K188" s="24" t="n">
        <x:v>8902245</x:v>
      </x:c>
      <x:c r="L188" t="str">
        <x:v>8f7e606554926462248cbcc654181861438ca768a0063f6b317223ede37d16fb</x:v>
      </x:c>
      <x:c r="M188" t="str">
        <x:v>legacy_common_sample_8902245</x:v>
      </x:c>
      <x:c r="N188" t="str">
        <x:v>factor_report/gtja191_batch/gtja_064/ic_summary.csv</x:v>
      </x:c>
    </x:row>
    <x:row r="189">
      <x:c r="A189" t="str">
        <x:v>gtja_065</x:v>
      </x:c>
      <x:c r="B189" s="22" t="n">
        <x:v>10</x:v>
      </x:c>
      <x:c r="C189" s="23" t="n">
        <x:v>0.025976389900272553</x:v>
      </x:c>
      <x:c r="D189" s="23" t="n">
        <x:v>0.12824361310834087</x:v>
      </x:c>
      <x:c r="E189" s="23" t="n">
        <x:v>0.2025550377961323</x:v>
      </x:c>
      <x:c r="F189" s="23" t="n">
        <x:v>0.5735811150175791</x:v>
      </x:c>
      <x:c r="G189" s="23" t="n">
        <x:v>0.026098821070297987</x:v>
      </x:c>
      <x:c r="H189" s="23" t="n">
        <x:v>0.24603441552178293</x:v>
      </x:c>
      <x:c r="I189" s="24" t="n">
        <x:v>1991</x:v>
      </x:c>
      <x:c r="J189" s="25" t="n">
        <x:v>46211.29584099537</x:v>
      </x:c>
      <x:c r="K189" s="24" t="n">
        <x:v>8902245</x:v>
      </x:c>
      <x:c r="L189" t="str">
        <x:v>8f7e606554926462248cbcc654181861438ca768a0063f6b317223ede37d16fb</x:v>
      </x:c>
      <x:c r="M189" t="str">
        <x:v>legacy_common_sample_8902245</x:v>
      </x:c>
      <x:c r="N189" t="str">
        <x:v>factor_report/gtja191_batch/gtja_065/ic_summary.csv</x:v>
      </x:c>
    </x:row>
    <x:row r="190">
      <x:c r="A190" t="str">
        <x:v>gtja_065</x:v>
      </x:c>
      <x:c r="B190" s="22" t="n">
        <x:v>20</x:v>
      </x:c>
      <x:c r="C190" s="23" t="n">
        <x:v>0.028293083254012495</x:v>
      </x:c>
      <x:c r="D190" s="23" t="n">
        <x:v>0.12588998121335337</x:v>
      </x:c>
      <x:c r="E190" s="23" t="n">
        <x:v>0.22474451883555766</x:v>
      </x:c>
      <x:c r="F190" s="23" t="n">
        <x:v>0.5901060070671378</x:v>
      </x:c>
      <x:c r="G190" s="23" t="n">
        <x:v>0.02795981854984866</x:v>
      </x:c>
      <x:c r="H190" s="23" t="n">
        <x:v>0.2708701176037059</x:v>
      </x:c>
      <x:c r="I190" s="24" t="n">
        <x:v>1981</x:v>
      </x:c>
      <x:c r="J190" s="25" t="n">
        <x:v>46211.29584099537</x:v>
      </x:c>
      <x:c r="K190" s="24" t="n">
        <x:v>8902245</x:v>
      </x:c>
      <x:c r="L190" t="str">
        <x:v>8f7e606554926462248cbcc654181861438ca768a0063f6b317223ede37d16fb</x:v>
      </x:c>
      <x:c r="M190" t="str">
        <x:v>legacy_common_sample_8902245</x:v>
      </x:c>
      <x:c r="N190" t="str">
        <x:v>factor_report/gtja191_batch/gtja_065/ic_summary.csv</x:v>
      </x:c>
    </x:row>
    <x:row r="191">
      <x:c r="A191" t="str">
        <x:v>gtja_066</x:v>
      </x:c>
      <x:c r="B191" s="22" t="n">
        <x:v>1</x:v>
      </x:c>
      <x:c r="C191" s="23" t="n">
        <x:v>-0.026107823787031158</x:v>
      </x:c>
      <x:c r="D191" s="23" t="n">
        <x:v>0.1500755418417888</x:v>
      </x:c>
      <x:c r="E191" s="23" t="n">
        <x:v>-0.17396454789784666</x:v>
      </x:c>
      <x:c r="F191" s="23" t="n">
        <x:v>0.4245</x:v>
      </x:c>
      <x:c r="G191" s="23" t="n">
        <x:v>-0.013059498833943809</x:v>
      </x:c>
      <x:c r="H191" s="23" t="n">
        <x:v>-0.10277764428995602</x:v>
      </x:c>
      <x:c r="I191" s="24" t="n">
        <x:v>2000</x:v>
      </x:c>
      <x:c r="J191" s="25" t="n">
        <x:v>46210.39822400463</x:v>
      </x:c>
      <x:c r="K191" s="24" t="n">
        <x:v>8902245</x:v>
      </x:c>
      <x:c r="L191" t="str">
        <x:v>40355b29bce094aef0e99358bdfd4011b92e72a54440a67760de4afae4883c33</x:v>
      </x:c>
      <x:c r="M191" t="str">
        <x:v>legacy_common_sample_8902245</x:v>
      </x:c>
      <x:c r="N191" t="str">
        <x:v>factor_report/gtja191_batch/gtja_066/ic_summary.csv</x:v>
      </x:c>
    </x:row>
    <x:row r="192">
      <x:c r="A192" t="str">
        <x:v>gtja_066</x:v>
      </x:c>
      <x:c r="B192" s="22" t="n">
        <x:v>5</x:v>
      </x:c>
      <x:c r="C192" s="23" t="n">
        <x:v>-0.02789052771250005</x:v>
      </x:c>
      <x:c r="D192" s="23" t="n">
        <x:v>0.1338052820023897</x:v>
      </x:c>
      <x:c r="E192" s="23" t="n">
        <x:v>-0.20844115639621716</x:v>
      </x:c>
      <x:c r="F192" s="23" t="n">
        <x:v>0.4288577154308617</x:v>
      </x:c>
      <x:c r="G192" s="23" t="n">
        <x:v>-0.02866433514459878</x:v>
      </x:c>
      <x:c r="H192" s="23" t="n">
        <x:v>-0.25543204880740933</x:v>
      </x:c>
      <x:c r="I192" s="24" t="n">
        <x:v>1996</x:v>
      </x:c>
      <x:c r="J192" s="25" t="n">
        <x:v>46210.39822400463</x:v>
      </x:c>
      <x:c r="K192" s="24" t="n">
        <x:v>8902245</x:v>
      </x:c>
      <x:c r="L192" t="str">
        <x:v>40355b29bce094aef0e99358bdfd4011b92e72a54440a67760de4afae4883c33</x:v>
      </x:c>
      <x:c r="M192" t="str">
        <x:v>legacy_common_sample_8902245</x:v>
      </x:c>
      <x:c r="N192" t="str">
        <x:v>factor_report/gtja191_batch/gtja_066/ic_summary.csv</x:v>
      </x:c>
    </x:row>
    <x:row r="193">
      <x:c r="A193" t="str">
        <x:v>gtja_066</x:v>
      </x:c>
      <x:c r="B193" s="22" t="n">
        <x:v>10</x:v>
      </x:c>
      <x:c r="C193" s="23" t="n">
        <x:v>-0.025976368214410687</x:v>
      </x:c>
      <x:c r="D193" s="23" t="n">
        <x:v>0.1282435887952384</x:v>
      </x:c>
      <x:c r="E193" s="23" t="n">
        <x:v>-0.20255490709860088</x:v>
      </x:c>
      <x:c r="F193" s="23" t="n">
        <x:v>0.4264188849824209</x:v>
      </x:c>
      <x:c r="G193" s="23" t="n">
        <x:v>-0.029477626836718486</x:v>
      </x:c>
      <x:c r="H193" s="23" t="n">
        <x:v>-0.27840588627751306</x:v>
      </x:c>
      <x:c r="I193" s="24" t="n">
        <x:v>1991</x:v>
      </x:c>
      <x:c r="J193" s="25" t="n">
        <x:v>46210.39822400463</x:v>
      </x:c>
      <x:c r="K193" s="24" t="n">
        <x:v>8902245</x:v>
      </x:c>
      <x:c r="L193" t="str">
        <x:v>40355b29bce094aef0e99358bdfd4011b92e72a54440a67760de4afae4883c33</x:v>
      </x:c>
      <x:c r="M193" t="str">
        <x:v>legacy_common_sample_8902245</x:v>
      </x:c>
      <x:c r="N193" t="str">
        <x:v>factor_report/gtja191_batch/gtja_066/ic_summary.csv</x:v>
      </x:c>
    </x:row>
    <x:row r="194">
      <x:c r="A194" t="str">
        <x:v>gtja_066</x:v>
      </x:c>
      <x:c r="B194" s="22" t="n">
        <x:v>20</x:v>
      </x:c>
      <x:c r="C194" s="23" t="n">
        <x:v>-0.028293036013445596</x:v>
      </x:c>
      <x:c r="D194" s="23" t="n">
        <x:v>0.12588995471110107</x:v>
      </x:c>
      <x:c r="E194" s="23" t="n">
        <x:v>-0.2247441908957228</x:v>
      </x:c>
      <x:c r="F194" s="23" t="n">
        <x:v>0.4098939929328622</x:v>
      </x:c>
      <x:c r="G194" s="23" t="n">
        <x:v>-0.03136988320470684</x:v>
      </x:c>
      <x:c r="H194" s="23" t="n">
        <x:v>-0.3053087880366344</x:v>
      </x:c>
      <x:c r="I194" s="24" t="n">
        <x:v>1981</x:v>
      </x:c>
      <x:c r="J194" s="25" t="n">
        <x:v>46210.39822400463</x:v>
      </x:c>
      <x:c r="K194" s="24" t="n">
        <x:v>8902245</x:v>
      </x:c>
      <x:c r="L194" t="str">
        <x:v>40355b29bce094aef0e99358bdfd4011b92e72a54440a67760de4afae4883c33</x:v>
      </x:c>
      <x:c r="M194" t="str">
        <x:v>legacy_common_sample_8902245</x:v>
      </x:c>
      <x:c r="N194" t="str">
        <x:v>factor_report/gtja191_batch/gtja_066/ic_summary.csv</x:v>
      </x:c>
    </x:row>
    <x:row r="195">
      <x:c r="A195" t="str">
        <x:v>gtja_067</x:v>
      </x:c>
      <x:c r="B195" s="22" t="n">
        <x:v>1</x:v>
      </x:c>
      <x:c r="C195" s="23" t="n">
        <x:v>-0.035647739055671576</x:v>
      </x:c>
      <x:c r="D195" s="23" t="n">
        <x:v>0.14958333458616965</x:v>
      </x:c>
      <x:c r="E195" s="23" t="n">
        <x:v>-0.23831357386364574</x:v>
      </x:c>
      <x:c r="F195" s="23" t="n">
        <x:v>0.3945</x:v>
      </x:c>
      <x:c r="G195" s="23" t="n">
        <x:v>-0.009099926710409718</x:v>
      </x:c>
      <x:c r="H195" s="23" t="n">
        <x:v>-0.07241519305103059</x:v>
      </x:c>
      <x:c r="I195" s="24" t="n">
        <x:v>2000</x:v>
      </x:c>
      <x:c r="J195" s="25" t="n">
        <x:v>46210.40343721065</x:v>
      </x:c>
      <x:c r="K195" s="24" t="n">
        <x:v>8902245</x:v>
      </x:c>
      <x:c r="L195" t="str">
        <x:v>40355b29bce094aef0e99358bdfd4011b92e72a54440a67760de4afae4883c33</x:v>
      </x:c>
      <x:c r="M195" t="str">
        <x:v>legacy_common_sample_8902245</x:v>
      </x:c>
      <x:c r="N195" t="str">
        <x:v>factor_report/gtja191_batch/gtja_067/ic_summary.csv</x:v>
      </x:c>
    </x:row>
    <x:row r="196">
      <x:c r="A196" t="str">
        <x:v>gtja_067</x:v>
      </x:c>
      <x:c r="B196" s="22" t="n">
        <x:v>5</x:v>
      </x:c>
      <x:c r="C196" s="23" t="n">
        <x:v>-0.04705781725656033</x:v>
      </x:c>
      <x:c r="D196" s="23" t="n">
        <x:v>0.13790718960376744</x:v>
      </x:c>
      <x:c r="E196" s="23" t="n">
        <x:v>-0.34122816505626746</x:v>
      </x:c>
      <x:c r="F196" s="23" t="n">
        <x:v>0.36472945891783565</x:v>
      </x:c>
      <x:c r="G196" s="23" t="n">
        <x:v>-0.019188153260497744</x:v>
      </x:c>
      <x:c r="H196" s="23" t="n">
        <x:v>-0.16619166577186997</x:v>
      </x:c>
      <x:c r="I196" s="24" t="n">
        <x:v>1996</x:v>
      </x:c>
      <x:c r="J196" s="25" t="n">
        <x:v>46210.40343721065</x:v>
      </x:c>
      <x:c r="K196" s="24" t="n">
        <x:v>8902245</x:v>
      </x:c>
      <x:c r="L196" t="str">
        <x:v>40355b29bce094aef0e99358bdfd4011b92e72a54440a67760de4afae4883c33</x:v>
      </x:c>
      <x:c r="M196" t="str">
        <x:v>legacy_common_sample_8902245</x:v>
      </x:c>
      <x:c r="N196" t="str">
        <x:v>factor_report/gtja191_batch/gtja_067/ic_summary.csv</x:v>
      </x:c>
    </x:row>
    <x:row r="197">
      <x:c r="A197" t="str">
        <x:v>gtja_067</x:v>
      </x:c>
      <x:c r="B197" s="22" t="n">
        <x:v>10</x:v>
      </x:c>
      <x:c r="C197" s="23" t="n">
        <x:v>-0.05255950591082112</x:v>
      </x:c>
      <x:c r="D197" s="23" t="n">
        <x:v>0.13232449388155</x:v>
      </x:c>
      <x:c r="E197" s="23" t="n">
        <x:v>-0.3972016394626807</x:v>
      </x:c>
      <x:c r="F197" s="23" t="n">
        <x:v>0.3460572576594676</x:v>
      </x:c>
      <x:c r="G197" s="23" t="n">
        <x:v>-0.021921576768299488</x:v>
      </x:c>
      <x:c r="H197" s="23" t="n">
        <x:v>-0.1972590068464023</x:v>
      </x:c>
      <x:c r="I197" s="24" t="n">
        <x:v>1991</x:v>
      </x:c>
      <x:c r="J197" s="25" t="n">
        <x:v>46210.40343721065</x:v>
      </x:c>
      <x:c r="K197" s="24" t="n">
        <x:v>8902245</x:v>
      </x:c>
      <x:c r="L197" t="str">
        <x:v>40355b29bce094aef0e99358bdfd4011b92e72a54440a67760de4afae4883c33</x:v>
      </x:c>
      <x:c r="M197" t="str">
        <x:v>legacy_common_sample_8902245</x:v>
      </x:c>
      <x:c r="N197" t="str">
        <x:v>factor_report/gtja191_batch/gtja_067/ic_summary.csv</x:v>
      </x:c>
    </x:row>
    <x:row r="198">
      <x:c r="A198" t="str">
        <x:v>gtja_067</x:v>
      </x:c>
      <x:c r="B198" s="22" t="n">
        <x:v>20</x:v>
      </x:c>
      <x:c r="C198" s="23" t="n">
        <x:v>-0.059236911325706305</x:v>
      </x:c>
      <x:c r="D198" s="23" t="n">
        <x:v>0.13472224165511823</x:v>
      </x:c>
      <x:c r="E198" s="23" t="n">
        <x:v>-0.43969659796301225</x:v>
      </x:c>
      <x:c r="F198" s="23" t="n">
        <x:v>0.33568904593639576</x:v>
      </x:c>
      <x:c r="G198" s="23" t="n">
        <x:v>-0.02584965149307855</x:v>
      </x:c>
      <x:c r="H198" s="23" t="n">
        <x:v>-0.22854767012303837</x:v>
      </x:c>
      <x:c r="I198" s="24" t="n">
        <x:v>1981</x:v>
      </x:c>
      <x:c r="J198" s="25" t="n">
        <x:v>46210.40343721065</x:v>
      </x:c>
      <x:c r="K198" s="24" t="n">
        <x:v>8902245</x:v>
      </x:c>
      <x:c r="L198" t="str">
        <x:v>40355b29bce094aef0e99358bdfd4011b92e72a54440a67760de4afae4883c33</x:v>
      </x:c>
      <x:c r="M198" t="str">
        <x:v>legacy_common_sample_8902245</x:v>
      </x:c>
      <x:c r="N198" t="str">
        <x:v>factor_report/gtja191_batch/gtja_067/ic_summary.csv</x:v>
      </x:c>
    </x:row>
    <x:row r="199">
      <x:c r="A199" t="str">
        <x:v>gtja_068</x:v>
      </x:c>
      <x:c r="B199" s="22" t="n">
        <x:v>1</x:v>
      </x:c>
      <x:c r="C199" s="23" t="n">
        <x:v>-0.027386691033633535</x:v>
      </x:c>
      <x:c r="D199" s="23" t="n">
        <x:v>0.13534298374103762</x:v>
      </x:c>
      <x:c r="E199" s="23" t="n">
        <x:v>-0.20235028278994238</x:v>
      </x:c>
      <x:c r="F199" s="23" t="n">
        <x:v>0.4095</x:v>
      </x:c>
      <x:c r="G199" s="23" t="n">
        <x:v>-0.002217208791808858</x:v>
      </x:c>
      <x:c r="H199" s="23" t="n">
        <x:v>-0.06848174984706264</x:v>
      </x:c>
      <x:c r="I199" s="24" t="n">
        <x:v>2000</x:v>
      </x:c>
      <x:c r="J199" s="25" t="n">
        <x:v>46210.407986018516</x:v>
      </x:c>
      <x:c r="K199" s="24" t="n">
        <x:v>8902245</x:v>
      </x:c>
      <x:c r="L199" t="str">
        <x:v>40355b29bce094aef0e99358bdfd4011b92e72a54440a67760de4afae4883c33</x:v>
      </x:c>
      <x:c r="M199" t="str">
        <x:v>legacy_common_sample_8902245</x:v>
      </x:c>
      <x:c r="N199" t="str">
        <x:v>factor_report/gtja191_batch/gtja_068/ic_summary.csv</x:v>
      </x:c>
    </x:row>
    <x:row r="200">
      <x:c r="A200" t="str">
        <x:v>gtja_068</x:v>
      </x:c>
      <x:c r="B200" s="22" t="n">
        <x:v>5</x:v>
      </x:c>
      <x:c r="C200" s="23" t="n">
        <x:v>-0.03204459119223425</x:v>
      </x:c>
      <x:c r="D200" s="23" t="n">
        <x:v>0.12882212497196566</x:v>
      </x:c>
      <x:c r="E200" s="23" t="n">
        <x:v>-0.24875068004978035</x:v>
      </x:c>
      <x:c r="F200" s="23" t="n">
        <x:v>0.39529058116232463</x:v>
      </x:c>
      <x:c r="G200" s="23" t="n">
        <x:v>-0.0032553915390374686</x:v>
      </x:c>
      <x:c r="H200" s="23" t="n">
        <x:v>-0.1081194301593705</x:v>
      </x:c>
      <x:c r="I200" s="24" t="n">
        <x:v>1996</x:v>
      </x:c>
      <x:c r="J200" s="25" t="n">
        <x:v>46210.407986018516</x:v>
      </x:c>
      <x:c r="K200" s="24" t="n">
        <x:v>8902245</x:v>
      </x:c>
      <x:c r="L200" t="str">
        <x:v>40355b29bce094aef0e99358bdfd4011b92e72a54440a67760de4afae4883c33</x:v>
      </x:c>
      <x:c r="M200" t="str">
        <x:v>legacy_common_sample_8902245</x:v>
      </x:c>
      <x:c r="N200" t="str">
        <x:v>factor_report/gtja191_batch/gtja_068/ic_summary.csv</x:v>
      </x:c>
    </x:row>
    <x:row r="201">
      <x:c r="A201" t="str">
        <x:v>gtja_068</x:v>
      </x:c>
      <x:c r="B201" s="22" t="n">
        <x:v>10</x:v>
      </x:c>
      <x:c r="C201" s="23" t="n">
        <x:v>-0.034587875926085955</x:v>
      </x:c>
      <x:c r="D201" s="23" t="n">
        <x:v>0.12286666440775093</x:v>
      </x:c>
      <x:c r="E201" s="23" t="n">
        <x:v>-0.2815074055506305</x:v>
      </x:c>
      <x:c r="F201" s="23" t="n">
        <x:v>0.39578101456554493</x:v>
      </x:c>
      <x:c r="G201" s="23" t="n">
        <x:v>-0.0030821408368721065</x:v>
      </x:c>
      <x:c r="H201" s="23" t="n">
        <x:v>-0.10673399982339912</x:v>
      </x:c>
      <x:c r="I201" s="24" t="n">
        <x:v>1991</x:v>
      </x:c>
      <x:c r="J201" s="25" t="n">
        <x:v>46210.407986018516</x:v>
      </x:c>
      <x:c r="K201" s="24" t="n">
        <x:v>8902245</x:v>
      </x:c>
      <x:c r="L201" t="str">
        <x:v>40355b29bce094aef0e99358bdfd4011b92e72a54440a67760de4afae4883c33</x:v>
      </x:c>
      <x:c r="M201" t="str">
        <x:v>legacy_common_sample_8902245</x:v>
      </x:c>
      <x:c r="N201" t="str">
        <x:v>factor_report/gtja191_batch/gtja_068/ic_summary.csv</x:v>
      </x:c>
    </x:row>
    <x:row r="202">
      <x:c r="A202" t="str">
        <x:v>gtja_068</x:v>
      </x:c>
      <x:c r="B202" s="22" t="n">
        <x:v>20</x:v>
      </x:c>
      <x:c r="C202" s="23" t="n">
        <x:v>-0.03782733784595623</x:v>
      </x:c>
      <x:c r="D202" s="23" t="n">
        <x:v>0.12119790291225839</x:v>
      </x:c>
      <x:c r="E202" s="23" t="n">
        <x:v>-0.3121121482880892</x:v>
      </x:c>
      <x:c r="F202" s="23" t="n">
        <x:v>0.386673397274104</x:v>
      </x:c>
      <x:c r="G202" s="23" t="n">
        <x:v>-0.001780433931252119</x:v>
      </x:c>
      <x:c r="H202" s="23" t="n">
        <x:v>-0.06366617418292125</x:v>
      </x:c>
      <x:c r="I202" s="24" t="n">
        <x:v>1981</x:v>
      </x:c>
      <x:c r="J202" s="25" t="n">
        <x:v>46210.407986018516</x:v>
      </x:c>
      <x:c r="K202" s="24" t="n">
        <x:v>8902245</x:v>
      </x:c>
      <x:c r="L202" t="str">
        <x:v>40355b29bce094aef0e99358bdfd4011b92e72a54440a67760de4afae4883c33</x:v>
      </x:c>
      <x:c r="M202" t="str">
        <x:v>legacy_common_sample_8902245</x:v>
      </x:c>
      <x:c r="N202" t="str">
        <x:v>factor_report/gtja191_batch/gtja_068/ic_summary.csv</x:v>
      </x:c>
    </x:row>
    <x:row r="203">
      <x:c r="A203" t="str">
        <x:v>gtja_069</x:v>
      </x:c>
      <x:c r="B203" s="22" t="n">
        <x:v>1</x:v>
      </x:c>
      <x:c r="C203" s="23" t="n">
        <x:v>-0.030441659233196375</x:v>
      </x:c>
      <x:c r="D203" s="23" t="n">
        <x:v>0.12512176049267262</x:v>
      </x:c>
      <x:c r="E203" s="23" t="n">
        <x:v>-0.24329628286343605</x:v>
      </x:c>
      <x:c r="F203" s="23" t="n">
        <x:v>0.396</x:v>
      </x:c>
      <x:c r="G203" s="23" t="n">
        <x:v>-0.00688206131399582</x:v>
      </x:c>
      <x:c r="H203" s="23" t="n">
        <x:v>-0.06350598207802377</x:v>
      </x:c>
      <x:c r="I203" s="24" t="n">
        <x:v>2000</x:v>
      </x:c>
      <x:c r="J203" s="25" t="n">
        <x:v>46210.41218387731</x:v>
      </x:c>
      <x:c r="K203" s="24" t="n">
        <x:v>8902245</x:v>
      </x:c>
      <x:c r="L203" t="str">
        <x:v>40355b29bce094aef0e99358bdfd4011b92e72a54440a67760de4afae4883c33</x:v>
      </x:c>
      <x:c r="M203" t="str">
        <x:v>legacy_common_sample_8902245</x:v>
      </x:c>
      <x:c r="N203" t="str">
        <x:v>factor_report/gtja191_batch/gtja_069/ic_summary.csv</x:v>
      </x:c>
    </x:row>
    <x:row r="204">
      <x:c r="A204" t="str">
        <x:v>gtja_069</x:v>
      </x:c>
      <x:c r="B204" s="22" t="n">
        <x:v>5</x:v>
      </x:c>
      <x:c r="C204" s="23" t="n">
        <x:v>-0.04225570397810014</x:v>
      </x:c>
      <x:c r="D204" s="23" t="n">
        <x:v>0.11561111157059835</x:v>
      </x:c>
      <x:c r="E204" s="23" t="n">
        <x:v>-0.36549863939589006</x:v>
      </x:c>
      <x:c r="F204" s="23" t="n">
        <x:v>0.34468937875751504</x:v>
      </x:c>
      <x:c r="G204" s="23" t="n">
        <x:v>-0.013967111353959118</x:v>
      </x:c>
      <x:c r="H204" s="23" t="n">
        <x:v>-0.13978501928968445</x:v>
      </x:c>
      <x:c r="I204" s="24" t="n">
        <x:v>1996</x:v>
      </x:c>
      <x:c r="J204" s="25" t="n">
        <x:v>46210.41218387731</x:v>
      </x:c>
      <x:c r="K204" s="24" t="n">
        <x:v>8902245</x:v>
      </x:c>
      <x:c r="L204" t="str">
        <x:v>40355b29bce094aef0e99358bdfd4011b92e72a54440a67760de4afae4883c33</x:v>
      </x:c>
      <x:c r="M204" t="str">
        <x:v>legacy_common_sample_8902245</x:v>
      </x:c>
      <x:c r="N204" t="str">
        <x:v>factor_report/gtja191_batch/gtja_069/ic_summary.csv</x:v>
      </x:c>
    </x:row>
    <x:row r="205">
      <x:c r="A205" t="str">
        <x:v>gtja_069</x:v>
      </x:c>
      <x:c r="B205" s="22" t="n">
        <x:v>10</x:v>
      </x:c>
      <x:c r="C205" s="23" t="n">
        <x:v>-0.04872778130626614</x:v>
      </x:c>
      <x:c r="D205" s="23" t="n">
        <x:v>0.11155156998706732</x:v>
      </x:c>
      <x:c r="E205" s="23" t="n">
        <x:v>-0.4368184267770985</x:v>
      </x:c>
      <x:c r="F205" s="23" t="n">
        <x:v>0.3304871923656454</x:v>
      </x:c>
      <x:c r="G205" s="23" t="n">
        <x:v>-0.018027459117639106</x:v>
      </x:c>
      <x:c r="H205" s="23" t="n">
        <x:v>-0.1851545730559729</x:v>
      </x:c>
      <x:c r="I205" s="24" t="n">
        <x:v>1991</x:v>
      </x:c>
      <x:c r="J205" s="25" t="n">
        <x:v>46210.41218387731</x:v>
      </x:c>
      <x:c r="K205" s="24" t="n">
        <x:v>8902245</x:v>
      </x:c>
      <x:c r="L205" t="str">
        <x:v>40355b29bce094aef0e99358bdfd4011b92e72a54440a67760de4afae4883c33</x:v>
      </x:c>
      <x:c r="M205" t="str">
        <x:v>legacy_common_sample_8902245</x:v>
      </x:c>
      <x:c r="N205" t="str">
        <x:v>factor_report/gtja191_batch/gtja_069/ic_summary.csv</x:v>
      </x:c>
    </x:row>
    <x:row r="206">
      <x:c r="A206" t="str">
        <x:v>gtja_069</x:v>
      </x:c>
      <x:c r="B206" s="22" t="n">
        <x:v>20</x:v>
      </x:c>
      <x:c r="C206" s="23" t="n">
        <x:v>-0.05650258940319703</x:v>
      </x:c>
      <x:c r="D206" s="23" t="n">
        <x:v>0.11457259771518252</x:v>
      </x:c>
      <x:c r="E206" s="23" t="n">
        <x:v>-0.49315971296782096</x:v>
      </x:c>
      <x:c r="F206" s="23" t="n">
        <x:v>0.303886925795053</x:v>
      </x:c>
      <x:c r="G206" s="23" t="n">
        <x:v>-0.023130159278575816</x:v>
      </x:c>
      <x:c r="H206" s="23" t="n">
        <x:v>-0.232584557334274</x:v>
      </x:c>
      <x:c r="I206" s="24" t="n">
        <x:v>1981</x:v>
      </x:c>
      <x:c r="J206" s="25" t="n">
        <x:v>46210.41218387731</x:v>
      </x:c>
      <x:c r="K206" s="24" t="n">
        <x:v>8902245</x:v>
      </x:c>
      <x:c r="L206" t="str">
        <x:v>40355b29bce094aef0e99358bdfd4011b92e72a54440a67760de4afae4883c33</x:v>
      </x:c>
      <x:c r="M206" t="str">
        <x:v>legacy_common_sample_8902245</x:v>
      </x:c>
      <x:c r="N206" t="str">
        <x:v>factor_report/gtja191_batch/gtja_069/ic_summary.csv</x:v>
      </x:c>
    </x:row>
    <x:row r="207">
      <x:c r="A207" t="str">
        <x:v>gtja_070</x:v>
      </x:c>
      <x:c r="B207" s="22" t="n">
        <x:v>1</x:v>
      </x:c>
      <x:c r="C207" s="23" t="n">
        <x:v>-0.053577432783182125</x:v>
      </x:c>
      <x:c r="D207" s="23" t="n">
        <x:v>0.13653086398955622</x:v>
      </x:c>
      <x:c r="E207" s="23" t="n">
        <x:v>-0.392419935079884</x:v>
      </x:c>
      <x:c r="F207" s="23" t="n">
        <x:v>0.3365</x:v>
      </x:c>
      <x:c r="G207" s="23" t="n">
        <x:v>-0.0138914226237561</x:v>
      </x:c>
      <x:c r="H207" s="23" t="n">
        <x:v>-0.15476301459065006</x:v>
      </x:c>
      <x:c r="I207" s="24" t="n">
        <x:v>2000</x:v>
      </x:c>
      <x:c r="J207" s="25" t="n">
        <x:v>46210.41622457176</x:v>
      </x:c>
      <x:c r="K207" s="24" t="n">
        <x:v>8902245</x:v>
      </x:c>
      <x:c r="L207" t="str">
        <x:v>40355b29bce094aef0e99358bdfd4011b92e72a54440a67760de4afae4883c33</x:v>
      </x:c>
      <x:c r="M207" t="str">
        <x:v>legacy_common_sample_8902245</x:v>
      </x:c>
      <x:c r="N207" t="str">
        <x:v>factor_report/gtja191_batch/gtja_070/ic_summary.csv</x:v>
      </x:c>
    </x:row>
    <x:row r="208">
      <x:c r="A208" t="str">
        <x:v>gtja_070</x:v>
      </x:c>
      <x:c r="B208" s="22" t="n">
        <x:v>5</x:v>
      </x:c>
      <x:c r="C208" s="23" t="n">
        <x:v>-0.07833974128786508</x:v>
      </x:c>
      <x:c r="D208" s="23" t="n">
        <x:v>0.13805810019006223</x:v>
      </x:c>
      <x:c r="E208" s="23" t="n">
        <x:v>-0.5674403832880222</x:v>
      </x:c>
      <x:c r="F208" s="23" t="n">
        <x:v>0.28106212424849697</x:v>
      </x:c>
      <x:c r="G208" s="23" t="n">
        <x:v>-0.025853280591110018</x:v>
      </x:c>
      <x:c r="H208" s="23" t="n">
        <x:v>-0.2895151972084515</x:v>
      </x:c>
      <x:c r="I208" s="24" t="n">
        <x:v>1996</x:v>
      </x:c>
      <x:c r="J208" s="25" t="n">
        <x:v>46210.41622457176</x:v>
      </x:c>
      <x:c r="K208" s="24" t="n">
        <x:v>8902245</x:v>
      </x:c>
      <x:c r="L208" t="str">
        <x:v>40355b29bce094aef0e99358bdfd4011b92e72a54440a67760de4afae4883c33</x:v>
      </x:c>
      <x:c r="M208" t="str">
        <x:v>legacy_common_sample_8902245</x:v>
      </x:c>
      <x:c r="N208" t="str">
        <x:v>factor_report/gtja191_batch/gtja_070/ic_summary.csv</x:v>
      </x:c>
    </x:row>
    <x:row r="209">
      <x:c r="A209" t="str">
        <x:v>gtja_070</x:v>
      </x:c>
      <x:c r="B209" s="22" t="n">
        <x:v>10</x:v>
      </x:c>
      <x:c r="C209" s="23" t="n">
        <x:v>-0.09200568839452039</x:v>
      </x:c>
      <x:c r="D209" s="23" t="n">
        <x:v>0.14186656930093233</x:v>
      </x:c>
      <x:c r="E209" s="23" t="n">
        <x:v>-0.648536782470257</x:v>
      </x:c>
      <x:c r="F209" s="23" t="n">
        <x:v>0.25916624811652433</x:v>
      </x:c>
      <x:c r="G209" s="23" t="n">
        <x:v>-0.031581860524195884</x:v>
      </x:c>
      <x:c r="H209" s="23" t="n">
        <x:v>-0.35098509344648643</x:v>
      </x:c>
      <x:c r="I209" s="24" t="n">
        <x:v>1991</x:v>
      </x:c>
      <x:c r="J209" s="25" t="n">
        <x:v>46210.41622457176</x:v>
      </x:c>
      <x:c r="K209" s="24" t="n">
        <x:v>8902245</x:v>
      </x:c>
      <x:c r="L209" t="str">
        <x:v>40355b29bce094aef0e99358bdfd4011b92e72a54440a67760de4afae4883c33</x:v>
      </x:c>
      <x:c r="M209" t="str">
        <x:v>legacy_common_sample_8902245</x:v>
      </x:c>
      <x:c r="N209" t="str">
        <x:v>factor_report/gtja191_batch/gtja_070/ic_summary.csv</x:v>
      </x:c>
    </x:row>
    <x:row r="210">
      <x:c r="A210" t="str">
        <x:v>gtja_070</x:v>
      </x:c>
      <x:c r="B210" s="22" t="n">
        <x:v>20</x:v>
      </x:c>
      <x:c r="C210" s="23" t="n">
        <x:v>-0.10876569631565444</x:v>
      </x:c>
      <x:c r="D210" s="23" t="n">
        <x:v>0.14896493416224968</x:v>
      </x:c>
      <x:c r="E210" s="23" t="n">
        <x:v>-0.7301429489250738</x:v>
      </x:c>
      <x:c r="F210" s="23" t="n">
        <x:v>0.2332155477031802</x:v>
      </x:c>
      <x:c r="G210" s="23" t="n">
        <x:v>-0.038625540799599296</x:v>
      </x:c>
      <x:c r="H210" s="23" t="n">
        <x:v>-0.41161005775969367</x:v>
      </x:c>
      <x:c r="I210" s="24" t="n">
        <x:v>1981</x:v>
      </x:c>
      <x:c r="J210" s="25" t="n">
        <x:v>46210.41622457176</x:v>
      </x:c>
      <x:c r="K210" s="24" t="n">
        <x:v>8902245</x:v>
      </x:c>
      <x:c r="L210" t="str">
        <x:v>40355b29bce094aef0e99358bdfd4011b92e72a54440a67760de4afae4883c33</x:v>
      </x:c>
      <x:c r="M210" t="str">
        <x:v>legacy_common_sample_8902245</x:v>
      </x:c>
      <x:c r="N210" t="str">
        <x:v>factor_report/gtja191_batch/gtja_070/ic_summary.csv</x:v>
      </x:c>
    </x:row>
    <x:row r="211">
      <x:c r="A211" t="str">
        <x:v>gtja_071</x:v>
      </x:c>
      <x:c r="B211" s="22" t="n">
        <x:v>1</x:v>
      </x:c>
      <x:c r="C211" s="23" t="n">
        <x:v>-0.03785381980874199</x:v>
      </x:c>
      <x:c r="D211" s="23" t="n">
        <x:v>0.15973970365290074</x:v>
      </x:c>
      <x:c r="E211" s="23" t="n">
        <x:v>-0.23697189204128458</x:v>
      </x:c>
      <x:c r="F211" s="23" t="n">
        <x:v>0.3955</x:v>
      </x:c>
      <x:c r="G211" s="23" t="n">
        <x:v>-0.020280660976957413</x:v>
      </x:c>
      <x:c r="H211" s="23" t="n">
        <x:v>-0.14110476035776934</x:v>
      </x:c>
      <x:c r="I211" s="24" t="n">
        <x:v>2000</x:v>
      </x:c>
      <x:c r="J211" s="25" t="n">
        <x:v>46210.420358854164</x:v>
      </x:c>
      <x:c r="K211" s="24" t="n">
        <x:v>8902245</x:v>
      </x:c>
      <x:c r="L211" t="str">
        <x:v>40355b29bce094aef0e99358bdfd4011b92e72a54440a67760de4afae4883c33</x:v>
      </x:c>
      <x:c r="M211" t="str">
        <x:v>legacy_common_sample_8902245</x:v>
      </x:c>
      <x:c r="N211" t="str">
        <x:v>factor_report/gtja191_batch/gtja_071/ic_summary.csv</x:v>
      </x:c>
    </x:row>
    <x:row r="212">
      <x:c r="A212" t="str">
        <x:v>gtja_071</x:v>
      </x:c>
      <x:c r="B212" s="22" t="n">
        <x:v>5</x:v>
      </x:c>
      <x:c r="C212" s="23" t="n">
        <x:v>-0.04854451973527362</x:v>
      </x:c>
      <x:c r="D212" s="23" t="n">
        <x:v>0.14541380560211137</x:v>
      </x:c>
      <x:c r="E212" s="23" t="n">
        <x:v>-0.33383707643346877</x:v>
      </x:c>
      <x:c r="F212" s="23" t="n">
        <x:v>0.36422845691382766</x:v>
      </x:c>
      <x:c r="G212" s="23" t="n">
        <x:v>-0.039272895049389</x:v>
      </x:c>
      <x:c r="H212" s="23" t="n">
        <x:v>-0.3029437697833295</x:v>
      </x:c>
      <x:c r="I212" s="24" t="n">
        <x:v>1996</x:v>
      </x:c>
      <x:c r="J212" s="25" t="n">
        <x:v>46210.420358854164</x:v>
      </x:c>
      <x:c r="K212" s="24" t="n">
        <x:v>8902245</x:v>
      </x:c>
      <x:c r="L212" t="str">
        <x:v>40355b29bce094aef0e99358bdfd4011b92e72a54440a67760de4afae4883c33</x:v>
      </x:c>
      <x:c r="M212" t="str">
        <x:v>legacy_common_sample_8902245</x:v>
      </x:c>
      <x:c r="N212" t="str">
        <x:v>factor_report/gtja191_batch/gtja_071/ic_summary.csv</x:v>
      </x:c>
    </x:row>
    <x:row r="213">
      <x:c r="A213" t="str">
        <x:v>gtja_071</x:v>
      </x:c>
      <x:c r="B213" s="22" t="n">
        <x:v>10</x:v>
      </x:c>
      <x:c r="C213" s="23" t="n">
        <x:v>-0.05464484689716381</x:v>
      </x:c>
      <x:c r="D213" s="23" t="n">
        <x:v>0.1388974749681292</x:v>
      </x:c>
      <x:c r="E213" s="23" t="n">
        <x:v>-0.39341857661345087</x:v>
      </x:c>
      <x:c r="F213" s="23" t="n">
        <x:v>0.35258663987945754</x:v>
      </x:c>
      <x:c r="G213" s="23" t="n">
        <x:v>-0.044846649613212185</x:v>
      </x:c>
      <x:c r="H213" s="23" t="n">
        <x:v>-0.364928560602853</x:v>
      </x:c>
      <x:c r="I213" s="24" t="n">
        <x:v>1991</x:v>
      </x:c>
      <x:c r="J213" s="25" t="n">
        <x:v>46210.420358854164</x:v>
      </x:c>
      <x:c r="K213" s="24" t="n">
        <x:v>8902245</x:v>
      </x:c>
      <x:c r="L213" t="str">
        <x:v>40355b29bce094aef0e99358bdfd4011b92e72a54440a67760de4afae4883c33</x:v>
      </x:c>
      <x:c r="M213" t="str">
        <x:v>legacy_common_sample_8902245</x:v>
      </x:c>
      <x:c r="N213" t="str">
        <x:v>factor_report/gtja191_batch/gtja_071/ic_summary.csv</x:v>
      </x:c>
    </x:row>
    <x:row r="214">
      <x:c r="A214" t="str">
        <x:v>gtja_071</x:v>
      </x:c>
      <x:c r="B214" s="22" t="n">
        <x:v>20</x:v>
      </x:c>
      <x:c r="C214" s="23" t="n">
        <x:v>-0.062419890209116154</x:v>
      </x:c>
      <x:c r="D214" s="23" t="n">
        <x:v>0.13693101937173285</x:v>
      </x:c>
      <x:c r="E214" s="23" t="n">
        <x:v>-0.45584916036929546</x:v>
      </x:c>
      <x:c r="F214" s="23" t="n">
        <x:v>0.33064109035840483</x:v>
      </x:c>
      <x:c r="G214" s="23" t="n">
        <x:v>-0.048953351823171946</x:v>
      </x:c>
      <x:c r="H214" s="23" t="n">
        <x:v>-0.40456439445633974</x:v>
      </x:c>
      <x:c r="I214" s="24" t="n">
        <x:v>1981</x:v>
      </x:c>
      <x:c r="J214" s="25" t="n">
        <x:v>46210.420358854164</x:v>
      </x:c>
      <x:c r="K214" s="24" t="n">
        <x:v>8902245</x:v>
      </x:c>
      <x:c r="L214" t="str">
        <x:v>40355b29bce094aef0e99358bdfd4011b92e72a54440a67760de4afae4883c33</x:v>
      </x:c>
      <x:c r="M214" t="str">
        <x:v>legacy_common_sample_8902245</x:v>
      </x:c>
      <x:c r="N214" t="str">
        <x:v>factor_report/gtja191_batch/gtja_071/ic_summary.csv</x:v>
      </x:c>
    </x:row>
    <x:row r="215">
      <x:c r="A215" t="str">
        <x:v>gtja_072</x:v>
      </x:c>
      <x:c r="B215" s="22" t="n">
        <x:v>10</x:v>
      </x:c>
      <x:c r="C215" s="23" t="n">
        <x:v>0.020469736367572655</x:v>
      </x:c>
      <x:c r="D215" s="23" t="n">
        <x:v>0.13068413116098807</x:v>
      </x:c>
      <x:c r="E215" s="23" t="n">
        <x:v>0.1566352103022842</x:v>
      </x:c>
      <x:c r="F215" s="23" t="n">
        <x:v>0.5308890005022602</x:v>
      </x:c>
      <x:c r="G215" s="23" t="n">
        <x:v>0.009118173136864938</x:v>
      </x:c>
      <x:c r="H215" s="23" t="n">
        <x:v>0.08057558358487923</x:v>
      </x:c>
      <x:c r="I215" s="24" t="n">
        <x:v>1991</x:v>
      </x:c>
      <x:c r="J215" s="25" t="n">
        <x:v>46211.29907770833</x:v>
      </x:c>
      <x:c r="K215" s="24" t="n">
        <x:v>8902245</x:v>
      </x:c>
      <x:c r="L215" t="str">
        <x:v>8f7e606554926462248cbcc654181861438ca768a0063f6b317223ede37d16fb</x:v>
      </x:c>
      <x:c r="M215" t="str">
        <x:v>legacy_common_sample_8902245</x:v>
      </x:c>
      <x:c r="N215" t="str">
        <x:v>factor_report/gtja191_batch/gtja_072/ic_summary.csv</x:v>
      </x:c>
    </x:row>
    <x:row r="216">
      <x:c r="A216" t="str">
        <x:v>gtja_072</x:v>
      </x:c>
      <x:c r="B216" s="22" t="n">
        <x:v>20</x:v>
      </x:c>
      <x:c r="C216" s="23" t="n">
        <x:v>0.0259470444569019</x:v>
      </x:c>
      <x:c r="D216" s="23" t="n">
        <x:v>0.13337445599066247</x:v>
      </x:c>
      <x:c r="E216" s="23" t="n">
        <x:v>0.1945428325399764</x:v>
      </x:c>
      <x:c r="F216" s="23" t="n">
        <x:v>0.5381120646138314</x:v>
      </x:c>
      <x:c r="G216" s="23" t="n">
        <x:v>0.012111267451322866</x:v>
      </x:c>
      <x:c r="H216" s="23" t="n">
        <x:v>0.10466200506140423</x:v>
      </x:c>
      <x:c r="I216" s="24" t="n">
        <x:v>1981</x:v>
      </x:c>
      <x:c r="J216" s="25" t="n">
        <x:v>46211.29907770833</x:v>
      </x:c>
      <x:c r="K216" s="24" t="n">
        <x:v>8902245</x:v>
      </x:c>
      <x:c r="L216" t="str">
        <x:v>8f7e606554926462248cbcc654181861438ca768a0063f6b317223ede37d16fb</x:v>
      </x:c>
      <x:c r="M216" t="str">
        <x:v>legacy_common_sample_8902245</x:v>
      </x:c>
      <x:c r="N216" t="str">
        <x:v>factor_report/gtja191_batch/gtja_072/ic_summary.csv</x:v>
      </x:c>
    </x:row>
    <x:row r="217">
      <x:c r="A217" t="str">
        <x:v>gtja_073</x:v>
      </x:c>
      <x:c r="B217" s="22" t="n">
        <x:v>10</x:v>
      </x:c>
      <x:c r="C217" s="23" t="n">
        <x:v>0.0030758054530690684</x:v>
      </x:c>
      <x:c r="D217" s="23" t="n">
        <x:v>0.05679791113395078</x:v>
      </x:c>
      <x:c r="E217" s="23" t="n">
        <x:v>0.05415349599416016</x:v>
      </x:c>
      <x:c r="F217" s="23" t="n">
        <x:v>0.5429432446007032</x:v>
      </x:c>
      <x:c r="G217" s="23" t="n">
        <x:v>0.00096112388207493</x:v>
      </x:c>
      <x:c r="H217" s="23" t="n">
        <x:v>0.02079883117111613</x:v>
      </x:c>
      <x:c r="I217" s="24" t="n">
        <x:v>1991</x:v>
      </x:c>
      <x:c r="J217" s="25" t="n">
        <x:v>46211.30391246528</x:v>
      </x:c>
      <x:c r="K217" s="24" t="n">
        <x:v>8902245</x:v>
      </x:c>
      <x:c r="L217" t="str">
        <x:v>8f7e606554926462248cbcc654181861438ca768a0063f6b317223ede37d16fb</x:v>
      </x:c>
      <x:c r="M217" t="str">
        <x:v>legacy_common_sample_8902245</x:v>
      </x:c>
      <x:c r="N217" t="str">
        <x:v>factor_report/gtja191_batch/gtja_073/ic_summary.csv</x:v>
      </x:c>
    </x:row>
    <x:row r="218">
      <x:c r="A218" t="str">
        <x:v>gtja_073</x:v>
      </x:c>
      <x:c r="B218" s="22" t="n">
        <x:v>20</x:v>
      </x:c>
      <x:c r="C218" s="23" t="n">
        <x:v>0.007004128077654323</x:v>
      </x:c>
      <x:c r="D218" s="23" t="n">
        <x:v>0.05508156543705935</x:v>
      </x:c>
      <x:c r="E218" s="23" t="n">
        <x:v>0.12715920511841308</x:v>
      </x:c>
      <x:c r="F218" s="23" t="n">
        <x:v>0.5628470469459869</x:v>
      </x:c>
      <x:c r="G218" s="23" t="n">
        <x:v>0.004397039830561217</x:v>
      </x:c>
      <x:c r="H218" s="23" t="n">
        <x:v>0.09749690319664484</x:v>
      </x:c>
      <x:c r="I218" s="24" t="n">
        <x:v>1981</x:v>
      </x:c>
      <x:c r="J218" s="25" t="n">
        <x:v>46211.30391246528</x:v>
      </x:c>
      <x:c r="K218" s="24" t="n">
        <x:v>8902245</x:v>
      </x:c>
      <x:c r="L218" t="str">
        <x:v>8f7e606554926462248cbcc654181861438ca768a0063f6b317223ede37d16fb</x:v>
      </x:c>
      <x:c r="M218" t="str">
        <x:v>legacy_common_sample_8902245</x:v>
      </x:c>
      <x:c r="N218" t="str">
        <x:v>factor_report/gtja191_batch/gtja_073/ic_summary.csv</x:v>
      </x:c>
    </x:row>
    <x:row r="219">
      <x:c r="A219" t="str">
        <x:v>gtja_074</x:v>
      </x:c>
      <x:c r="B219" s="22" t="n">
        <x:v>1</x:v>
      </x:c>
      <x:c r="C219" s="23" t="n">
        <x:v>-0.027244210725221606</x:v>
      </x:c>
      <x:c r="D219" s="23" t="n">
        <x:v>0.07249841263289945</x:v>
      </x:c>
      <x:c r="E219" s="23" t="n">
        <x:v>-0.3757904447256588</x:v>
      </x:c>
      <x:c r="F219" s="23" t="n">
        <x:v>0.34453360080240725</x:v>
      </x:c>
      <x:c r="G219" s="23" t="n">
        <x:v>-0.009777106408496336</x:v>
      </x:c>
      <x:c r="H219" s="23" t="n">
        <x:v>-0.15167872263742693</x:v>
      </x:c>
      <x:c r="I219" s="24" t="n">
        <x:v>1994</x:v>
      </x:c>
      <x:c r="J219" s="25" t="n">
        <x:v>46210.45096833333</x:v>
      </x:c>
      <x:c r="K219" s="24" t="n">
        <x:v>8902245</x:v>
      </x:c>
      <x:c r="L219" t="str">
        <x:v>40355b29bce094aef0e99358bdfd4011b92e72a54440a67760de4afae4883c33</x:v>
      </x:c>
      <x:c r="M219" t="str">
        <x:v>legacy_common_sample_8902245</x:v>
      </x:c>
      <x:c r="N219" t="str">
        <x:v>factor_report/gtja191_batch/gtja_074/ic_summary.csv</x:v>
      </x:c>
    </x:row>
    <x:row r="220">
      <x:c r="A220" t="str">
        <x:v>gtja_074</x:v>
      </x:c>
      <x:c r="B220" s="22" t="n">
        <x:v>5</x:v>
      </x:c>
      <x:c r="C220" s="23" t="n">
        <x:v>-0.03686528582499111</x:v>
      </x:c>
      <x:c r="D220" s="23" t="n">
        <x:v>0.06930227064258476</x:v>
      </x:c>
      <x:c r="E220" s="23" t="n">
        <x:v>-0.5319491768908676</x:v>
      </x:c>
      <x:c r="F220" s="23" t="n">
        <x:v>0.2914572864321608</x:v>
      </x:c>
      <x:c r="G220" s="23" t="n">
        <x:v>-0.016991595828513055</x:v>
      </x:c>
      <x:c r="H220" s="23" t="n">
        <x:v>-0.27888084691644377</x:v>
      </x:c>
      <x:c r="I220" s="24" t="n">
        <x:v>1990</x:v>
      </x:c>
      <x:c r="J220" s="25" t="n">
        <x:v>46210.45096833333</x:v>
      </x:c>
      <x:c r="K220" s="24" t="n">
        <x:v>8902245</x:v>
      </x:c>
      <x:c r="L220" t="str">
        <x:v>40355b29bce094aef0e99358bdfd4011b92e72a54440a67760de4afae4883c33</x:v>
      </x:c>
      <x:c r="M220" t="str">
        <x:v>legacy_common_sample_8902245</x:v>
      </x:c>
      <x:c r="N220" t="str">
        <x:v>factor_report/gtja191_batch/gtja_074/ic_summary.csv</x:v>
      </x:c>
    </x:row>
    <x:row r="221">
      <x:c r="A221" t="str">
        <x:v>gtja_074</x:v>
      </x:c>
      <x:c r="B221" s="22" t="n">
        <x:v>10</x:v>
      </x:c>
      <x:c r="C221" s="23" t="n">
        <x:v>-0.04191406627113578</x:v>
      </x:c>
      <x:c r="D221" s="23" t="n">
        <x:v>0.0691685801903373</x:v>
      </x:c>
      <x:c r="E221" s="23" t="n">
        <x:v>-0.6059697359089509</x:v>
      </x:c>
      <x:c r="F221" s="23" t="n">
        <x:v>0.2710327455919396</x:v>
      </x:c>
      <x:c r="G221" s="23" t="n">
        <x:v>-0.020165381536743503</x:v>
      </x:c>
      <x:c r="H221" s="23" t="n">
        <x:v>-0.3353506017931027</x:v>
      </x:c>
      <x:c r="I221" s="24" t="n">
        <x:v>1985</x:v>
      </x:c>
      <x:c r="J221" s="25" t="n">
        <x:v>46210.45096833333</x:v>
      </x:c>
      <x:c r="K221" s="24" t="n">
        <x:v>8902245</x:v>
      </x:c>
      <x:c r="L221" t="str">
        <x:v>40355b29bce094aef0e99358bdfd4011b92e72a54440a67760de4afae4883c33</x:v>
      </x:c>
      <x:c r="M221" t="str">
        <x:v>legacy_common_sample_8902245</x:v>
      </x:c>
      <x:c r="N221" t="str">
        <x:v>factor_report/gtja191_batch/gtja_074/ic_summary.csv</x:v>
      </x:c>
    </x:row>
    <x:row r="222">
      <x:c r="A222" t="str">
        <x:v>gtja_074</x:v>
      </x:c>
      <x:c r="B222" s="22" t="n">
        <x:v>20</x:v>
      </x:c>
      <x:c r="C222" s="23" t="n">
        <x:v>-0.04496579321359351</x:v>
      </x:c>
      <x:c r="D222" s="23" t="n">
        <x:v>0.06919798349307602</x:v>
      </x:c>
      <x:c r="E222" s="23" t="n">
        <x:v>-0.6498136353654411</x:v>
      </x:c>
      <x:c r="F222" s="23" t="n">
        <x:v>0.25113924050632913</x:v>
      </x:c>
      <x:c r="G222" s="23" t="n">
        <x:v>-0.02359735985699223</x:v>
      </x:c>
      <x:c r="H222" s="23" t="n">
        <x:v>-0.39766764833207713</x:v>
      </x:c>
      <x:c r="I222" s="24" t="n">
        <x:v>1975</x:v>
      </x:c>
      <x:c r="J222" s="25" t="n">
        <x:v>46210.45096833333</x:v>
      </x:c>
      <x:c r="K222" s="24" t="n">
        <x:v>8902245</x:v>
      </x:c>
      <x:c r="L222" t="str">
        <x:v>40355b29bce094aef0e99358bdfd4011b92e72a54440a67760de4afae4883c33</x:v>
      </x:c>
      <x:c r="M222" t="str">
        <x:v>legacy_common_sample_8902245</x:v>
      </x:c>
      <x:c r="N222" t="str">
        <x:v>factor_report/gtja191_batch/gtja_074/ic_summary.csv</x:v>
      </x:c>
    </x:row>
    <x:row r="223">
      <x:c r="A223" t="str">
        <x:v>gtja_076</x:v>
      </x:c>
      <x:c r="B223" s="22" t="n">
        <x:v>10</x:v>
      </x:c>
      <x:c r="C223" s="23" t="n">
        <x:v>-0.004315535410730925</x:v>
      </x:c>
      <x:c r="D223" s="23" t="n">
        <x:v>0.06273108363519536</x:v>
      </x:c>
      <x:c r="E223" s="23" t="n">
        <x:v>-0.0687942111095573</x:v>
      </x:c>
      <x:c r="F223" s="23" t="n">
        <x:v>0.4289301858362632</x:v>
      </x:c>
      <x:c r="G223" s="23" t="n">
        <x:v>-0.007568381399347116</x:v>
      </x:c>
      <x:c r="H223" s="23" t="n">
        <x:v>-0.1391044698933537</x:v>
      </x:c>
      <x:c r="I223" s="24" t="n">
        <x:v>1991</x:v>
      </x:c>
      <x:c r="J223" s="25" t="n">
        <x:v>46211.30655486111</x:v>
      </x:c>
      <x:c r="K223" s="24" t="n">
        <x:v>8902245</x:v>
      </x:c>
      <x:c r="L223" t="str">
        <x:v>8f7e606554926462248cbcc654181861438ca768a0063f6b317223ede37d16fb</x:v>
      </x:c>
      <x:c r="M223" t="str">
        <x:v>legacy_common_sample_8902245</x:v>
      </x:c>
      <x:c r="N223" t="str">
        <x:v>factor_report/gtja191_batch/gtja_076/ic_summary.csv</x:v>
      </x:c>
    </x:row>
    <x:row r="224">
      <x:c r="A224" t="str">
        <x:v>gtja_076</x:v>
      </x:c>
      <x:c r="B224" s="22" t="n">
        <x:v>20</x:v>
      </x:c>
      <x:c r="C224" s="23" t="n">
        <x:v>-0.01015491091355887</x:v>
      </x:c>
      <x:c r="D224" s="23" t="n">
        <x:v>0.06031731953262023</x:v>
      </x:c>
      <x:c r="E224" s="23" t="n">
        <x:v>-0.16835812652561574</x:v>
      </x:c>
      <x:c r="F224" s="23" t="n">
        <x:v>0.4093891973750631</x:v>
      </x:c>
      <x:c r="G224" s="23" t="n">
        <x:v>-0.011159217411926086</x:v>
      </x:c>
      <x:c r="H224" s="23" t="n">
        <x:v>-0.2184462365684002</x:v>
      </x:c>
      <x:c r="I224" s="24" t="n">
        <x:v>1981</x:v>
      </x:c>
      <x:c r="J224" s="25" t="n">
        <x:v>46211.30655486111</x:v>
      </x:c>
      <x:c r="K224" s="24" t="n">
        <x:v>8902245</x:v>
      </x:c>
      <x:c r="L224" t="str">
        <x:v>8f7e606554926462248cbcc654181861438ca768a0063f6b317223ede37d16fb</x:v>
      </x:c>
      <x:c r="M224" t="str">
        <x:v>legacy_common_sample_8902245</x:v>
      </x:c>
      <x:c r="N224" t="str">
        <x:v>factor_report/gtja191_batch/gtja_076/ic_summary.csv</x:v>
      </x:c>
    </x:row>
    <x:row r="225">
      <x:c r="A225" t="str">
        <x:v>gtja_077</x:v>
      </x:c>
      <x:c r="B225" s="22" t="n">
        <x:v>10</x:v>
      </x:c>
      <x:c r="C225" s="23" t="n">
        <x:v>0.035037501642073206</x:v>
      </x:c>
      <x:c r="D225" s="23" t="n">
        <x:v>0.08890781930598611</x:v>
      </x:c>
      <x:c r="E225" s="23" t="n">
        <x:v>0.3940879656657393</x:v>
      </x:c>
      <x:c r="F225" s="23" t="n">
        <x:v>0.6659969864389754</x:v>
      </x:c>
      <x:c r="G225" s="23" t="n">
        <x:v>0.0217147627826924</x:v>
      </x:c>
      <x:c r="H225" s="23" t="n">
        <x:v>0.28427696175423695</x:v>
      </x:c>
      <x:c r="I225" s="24" t="n">
        <x:v>1991</x:v>
      </x:c>
      <x:c r="J225" s="25" t="n">
        <x:v>46211.309369814815</x:v>
      </x:c>
      <x:c r="K225" s="24" t="n">
        <x:v>8902245</x:v>
      </x:c>
      <x:c r="L225" t="str">
        <x:v>8f7e606554926462248cbcc654181861438ca768a0063f6b317223ede37d16fb</x:v>
      </x:c>
      <x:c r="M225" t="str">
        <x:v>legacy_common_sample_8902245</x:v>
      </x:c>
      <x:c r="N225" t="str">
        <x:v>factor_report/gtja191_batch/gtja_077/ic_summary.csv</x:v>
      </x:c>
    </x:row>
    <x:row r="226">
      <x:c r="A226" t="str">
        <x:v>gtja_077</x:v>
      </x:c>
      <x:c r="B226" s="22" t="n">
        <x:v>20</x:v>
      </x:c>
      <x:c r="C226" s="23" t="n">
        <x:v>0.04287942113184183</x:v>
      </x:c>
      <x:c r="D226" s="23" t="n">
        <x:v>0.08791953664390777</x:v>
      </x:c>
      <x:c r="E226" s="23" t="n">
        <x:v>0.4877120918586311</x:v>
      </x:c>
      <x:c r="F226" s="23" t="n">
        <x:v>0.6855123674911661</x:v>
      </x:c>
      <x:c r="G226" s="23" t="n">
        <x:v>0.025830671285083203</x:v>
      </x:c>
      <x:c r="H226" s="23" t="n">
        <x:v>0.3435948424346563</x:v>
      </x:c>
      <x:c r="I226" s="24" t="n">
        <x:v>1981</x:v>
      </x:c>
      <x:c r="J226" s="25" t="n">
        <x:v>46211.309369814815</x:v>
      </x:c>
      <x:c r="K226" s="24" t="n">
        <x:v>8902245</x:v>
      </x:c>
      <x:c r="L226" t="str">
        <x:v>8f7e606554926462248cbcc654181861438ca768a0063f6b317223ede37d16fb</x:v>
      </x:c>
      <x:c r="M226" t="str">
        <x:v>legacy_common_sample_8902245</x:v>
      </x:c>
      <x:c r="N226" t="str">
        <x:v>factor_report/gtja191_batch/gtja_077/ic_summary.csv</x:v>
      </x:c>
    </x:row>
    <x:row r="227">
      <x:c r="A227" t="str">
        <x:v>gtja_078</x:v>
      </x:c>
      <x:c r="B227" s="22" t="n">
        <x:v>1</x:v>
      </x:c>
      <x:c r="C227" s="23" t="n">
        <x:v>-0.028550669992315335</x:v>
      </x:c>
      <x:c r="D227" s="23" t="n">
        <x:v>0.13576175175730265</x:v>
      </x:c>
      <x:c r="E227" s="23" t="n">
        <x:v>-0.2102998055251566</x:v>
      </x:c>
      <x:c r="F227" s="23" t="n">
        <x:v>0.4135</x:v>
      </x:c>
      <x:c r="G227" s="23" t="n">
        <x:v>-0.010538016046574738</x:v>
      </x:c>
      <x:c r="H227" s="23" t="n">
        <x:v>-0.08964019662380034</x:v>
      </x:c>
      <x:c r="I227" s="24" t="n">
        <x:v>2000</x:v>
      </x:c>
      <x:c r="J227" s="25" t="n">
        <x:v>46210.46714320602</x:v>
      </x:c>
      <x:c r="K227" s="24" t="n">
        <x:v>8902245</x:v>
      </x:c>
      <x:c r="L227" t="str">
        <x:v>40355b29bce094aef0e99358bdfd4011b92e72a54440a67760de4afae4883c33</x:v>
      </x:c>
      <x:c r="M227" t="str">
        <x:v>legacy_common_sample_8902245</x:v>
      </x:c>
      <x:c r="N227" t="str">
        <x:v>factor_report/gtja191_batch/gtja_078/ic_summary.csv</x:v>
      </x:c>
    </x:row>
    <x:row r="228">
      <x:c r="A228" t="str">
        <x:v>gtja_078</x:v>
      </x:c>
      <x:c r="B228" s="22" t="n">
        <x:v>5</x:v>
      </x:c>
      <x:c r="C228" s="23" t="n">
        <x:v>-0.03206752056763256</x:v>
      </x:c>
      <x:c r="D228" s="23" t="n">
        <x:v>0.12463252011510793</x:v>
      </x:c>
      <x:c r="E228" s="23" t="n">
        <x:v>-0.2572965750673715</x:v>
      </x:c>
      <x:c r="F228" s="23" t="n">
        <x:v>0.3972945891783567</x:v>
      </x:c>
      <x:c r="G228" s="23" t="n">
        <x:v>-0.019709874112280083</x:v>
      </x:c>
      <x:c r="H228" s="23" t="n">
        <x:v>-0.1856735270407613</x:v>
      </x:c>
      <x:c r="I228" s="24" t="n">
        <x:v>1996</x:v>
      </x:c>
      <x:c r="J228" s="25" t="n">
        <x:v>46210.46714320602</x:v>
      </x:c>
      <x:c r="K228" s="24" t="n">
        <x:v>8902245</x:v>
      </x:c>
      <x:c r="L228" t="str">
        <x:v>40355b29bce094aef0e99358bdfd4011b92e72a54440a67760de4afae4883c33</x:v>
      </x:c>
      <x:c r="M228" t="str">
        <x:v>legacy_common_sample_8902245</x:v>
      </x:c>
      <x:c r="N228" t="str">
        <x:v>factor_report/gtja191_batch/gtja_078/ic_summary.csv</x:v>
      </x:c>
    </x:row>
    <x:row r="229">
      <x:c r="A229" t="str">
        <x:v>gtja_078</x:v>
      </x:c>
      <x:c r="B229" s="22" t="n">
        <x:v>10</x:v>
      </x:c>
      <x:c r="C229" s="23" t="n">
        <x:v>-0.033764471884845174</x:v>
      </x:c>
      <x:c r="D229" s="23" t="n">
        <x:v>0.11797777440863583</x:v>
      </x:c>
      <x:c r="E229" s="23" t="n">
        <x:v>-0.2861934974963696</x:v>
      </x:c>
      <x:c r="F229" s="23" t="n">
        <x:v>0.38824711200401807</x:v>
      </x:c>
      <x:c r="G229" s="23" t="n">
        <x:v>-0.021482251485646774</x:v>
      </x:c>
      <x:c r="H229" s="23" t="n">
        <x:v>-0.2142051593635828</x:v>
      </x:c>
      <x:c r="I229" s="24" t="n">
        <x:v>1991</x:v>
      </x:c>
      <x:c r="J229" s="25" t="n">
        <x:v>46210.46714320602</x:v>
      </x:c>
      <x:c r="K229" s="24" t="n">
        <x:v>8902245</x:v>
      </x:c>
      <x:c r="L229" t="str">
        <x:v>40355b29bce094aef0e99358bdfd4011b92e72a54440a67760de4afae4883c33</x:v>
      </x:c>
      <x:c r="M229" t="str">
        <x:v>legacy_common_sample_8902245</x:v>
      </x:c>
      <x:c r="N229" t="str">
        <x:v>factor_report/gtja191_batch/gtja_078/ic_summary.csv</x:v>
      </x:c>
    </x:row>
    <x:row r="230">
      <x:c r="A230" t="str">
        <x:v>gtja_078</x:v>
      </x:c>
      <x:c r="B230" s="22" t="n">
        <x:v>20</x:v>
      </x:c>
      <x:c r="C230" s="23" t="n">
        <x:v>-0.03871594371270681</x:v>
      </x:c>
      <x:c r="D230" s="23" t="n">
        <x:v>0.1163417199175225</x:v>
      </x:c>
      <x:c r="E230" s="23" t="n">
        <x:v>-0.33277781813912927</x:v>
      </x:c>
      <x:c r="F230" s="23" t="n">
        <x:v>0.3801110550227158</x:v>
      </x:c>
      <x:c r="G230" s="23" t="n">
        <x:v>-0.025590561493302046</x:v>
      </x:c>
      <x:c r="H230" s="23" t="n">
        <x:v>-0.2603111837794398</x:v>
      </x:c>
      <x:c r="I230" s="24" t="n">
        <x:v>1981</x:v>
      </x:c>
      <x:c r="J230" s="25" t="n">
        <x:v>46210.46714320602</x:v>
      </x:c>
      <x:c r="K230" s="24" t="n">
        <x:v>8902245</x:v>
      </x:c>
      <x:c r="L230" t="str">
        <x:v>40355b29bce094aef0e99358bdfd4011b92e72a54440a67760de4afae4883c33</x:v>
      </x:c>
      <x:c r="M230" t="str">
        <x:v>legacy_common_sample_8902245</x:v>
      </x:c>
      <x:c r="N230" t="str">
        <x:v>factor_report/gtja191_batch/gtja_078/ic_summary.csv</x:v>
      </x:c>
    </x:row>
    <x:row r="231">
      <x:c r="A231" t="str">
        <x:v>gtja_079</x:v>
      </x:c>
      <x:c r="B231" s="22" t="n">
        <x:v>1</x:v>
      </x:c>
      <x:c r="C231" s="23" t="n">
        <x:v>-0.03433320624149432</x:v>
      </x:c>
      <x:c r="D231" s="23" t="n">
        <x:v>0.14938255095224742</x:v>
      </x:c>
      <x:c r="E231" s="23" t="n">
        <x:v>-0.2298341139753966</x:v>
      </x:c>
      <x:c r="F231" s="23" t="n">
        <x:v>0.398</x:v>
      </x:c>
      <x:c r="G231" s="23" t="n">
        <x:v>-0.009971956033441422</x:v>
      </x:c>
      <x:c r="H231" s="23" t="n">
        <x:v>-0.0765437624178984</x:v>
      </x:c>
      <x:c r="I231" s="24" t="n">
        <x:v>2000</x:v>
      </x:c>
      <x:c r="J231" s="25" t="n">
        <x:v>46210.47234655092</x:v>
      </x:c>
      <x:c r="K231" s="24" t="n">
        <x:v>8902245</x:v>
      </x:c>
      <x:c r="L231" t="str">
        <x:v>40355b29bce094aef0e99358bdfd4011b92e72a54440a67760de4afae4883c33</x:v>
      </x:c>
      <x:c r="M231" t="str">
        <x:v>legacy_common_sample_8902245</x:v>
      </x:c>
      <x:c r="N231" t="str">
        <x:v>factor_report/gtja191_batch/gtja_079/ic_summary.csv</x:v>
      </x:c>
    </x:row>
    <x:row r="232">
      <x:c r="A232" t="str">
        <x:v>gtja_079</x:v>
      </x:c>
      <x:c r="B232" s="22" t="n">
        <x:v>5</x:v>
      </x:c>
      <x:c r="C232" s="23" t="n">
        <x:v>-0.04118816438031043</x:v>
      </x:c>
      <x:c r="D232" s="23" t="n">
        <x:v>0.13608980568141407</x:v>
      </x:c>
      <x:c r="E232" s="23" t="n">
        <x:v>-0.30265429636024194</x:v>
      </x:c>
      <x:c r="F232" s="23" t="n">
        <x:v>0.3717434869739479</x:v>
      </x:c>
      <x:c r="G232" s="23" t="n">
        <x:v>-0.019009864498706477</x:v>
      </x:c>
      <x:c r="H232" s="23" t="n">
        <x:v>-0.16139426776831173</x:v>
      </x:c>
      <x:c r="I232" s="24" t="n">
        <x:v>1996</x:v>
      </x:c>
      <x:c r="J232" s="25" t="n">
        <x:v>46210.47234655092</x:v>
      </x:c>
      <x:c r="K232" s="24" t="n">
        <x:v>8902245</x:v>
      </x:c>
      <x:c r="L232" t="str">
        <x:v>40355b29bce094aef0e99358bdfd4011b92e72a54440a67760de4afae4883c33</x:v>
      </x:c>
      <x:c r="M232" t="str">
        <x:v>legacy_common_sample_8902245</x:v>
      </x:c>
      <x:c r="N232" t="str">
        <x:v>factor_report/gtja191_batch/gtja_079/ic_summary.csv</x:v>
      </x:c>
    </x:row>
    <x:row r="233">
      <x:c r="A233" t="str">
        <x:v>gtja_079</x:v>
      </x:c>
      <x:c r="B233" s="22" t="n">
        <x:v>10</x:v>
      </x:c>
      <x:c r="C233" s="23" t="n">
        <x:v>-0.04441185606748134</x:v>
      </x:c>
      <x:c r="D233" s="23" t="n">
        <x:v>0.13128115904989424</x:v>
      </x:c>
      <x:c r="E233" s="23" t="n">
        <x:v>-0.3382957340481914</x:v>
      </x:c>
      <x:c r="F233" s="23" t="n">
        <x:v>0.37769964841788045</x:v>
      </x:c>
      <x:c r="G233" s="23" t="n">
        <x:v>-0.020780330830408048</x:v>
      </x:c>
      <x:c r="H233" s="23" t="n">
        <x:v>-0.18341037559066184</x:v>
      </x:c>
      <x:c r="I233" s="24" t="n">
        <x:v>1991</x:v>
      </x:c>
      <x:c r="J233" s="25" t="n">
        <x:v>46210.47234655092</x:v>
      </x:c>
      <x:c r="K233" s="24" t="n">
        <x:v>8902245</x:v>
      </x:c>
      <x:c r="L233" t="str">
        <x:v>40355b29bce094aef0e99358bdfd4011b92e72a54440a67760de4afae4883c33</x:v>
      </x:c>
      <x:c r="M233" t="str">
        <x:v>legacy_common_sample_8902245</x:v>
      </x:c>
      <x:c r="N233" t="str">
        <x:v>factor_report/gtja191_batch/gtja_079/ic_summary.csv</x:v>
      </x:c>
    </x:row>
    <x:row r="234">
      <x:c r="A234" t="str">
        <x:v>gtja_079</x:v>
      </x:c>
      <x:c r="B234" s="22" t="n">
        <x:v>20</x:v>
      </x:c>
      <x:c r="C234" s="23" t="n">
        <x:v>-0.050061524150600216</x:v>
      </x:c>
      <x:c r="D234" s="23" t="n">
        <x:v>0.13088440444962812</x:v>
      </x:c>
      <x:c r="E234" s="23" t="n">
        <x:v>-0.3824865488070183</x:v>
      </x:c>
      <x:c r="F234" s="23" t="n">
        <x:v>0.3614336193841494</x:v>
      </x:c>
      <x:c r="G234" s="23" t="n">
        <x:v>-0.024675929984585003</x:v>
      </x:c>
      <x:c r="H234" s="23" t="n">
        <x:v>-0.21743233271168075</x:v>
      </x:c>
      <x:c r="I234" s="24" t="n">
        <x:v>1981</x:v>
      </x:c>
      <x:c r="J234" s="25" t="n">
        <x:v>46210.47234655092</x:v>
      </x:c>
      <x:c r="K234" s="24" t="n">
        <x:v>8902245</x:v>
      </x:c>
      <x:c r="L234" t="str">
        <x:v>40355b29bce094aef0e99358bdfd4011b92e72a54440a67760de4afae4883c33</x:v>
      </x:c>
      <x:c r="M234" t="str">
        <x:v>legacy_common_sample_8902245</x:v>
      </x:c>
      <x:c r="N234" t="str">
        <x:v>factor_report/gtja191_batch/gtja_079/ic_summary.csv</x:v>
      </x:c>
    </x:row>
    <x:row r="235">
      <x:c r="A235" t="str">
        <x:v>gtja_080</x:v>
      </x:c>
      <x:c r="B235" s="22" t="n">
        <x:v>10</x:v>
      </x:c>
      <x:c r="C235" s="23" t="n">
        <x:v>-0.01708948207940634</x:v>
      </x:c>
      <x:c r="D235" s="23" t="n">
        <x:v>0.0747215615870042</x:v>
      </x:c>
      <x:c r="E235" s="23" t="n">
        <x:v>-0.228708845431552</x:v>
      </x:c>
      <x:c r="F235" s="23" t="n">
        <x:v>0.4008036162732295</x:v>
      </x:c>
      <x:c r="G235" s="23" t="n">
        <x:v>-0.023157372604016395</x:v>
      </x:c>
      <x:c r="H235" s="23" t="n">
        <x:v>-0.4604112447724426</x:v>
      </x:c>
      <x:c r="I235" s="24" t="n">
        <x:v>1991</x:v>
      </x:c>
      <x:c r="J235" s="25" t="n">
        <x:v>46211.31192994213</x:v>
      </x:c>
      <x:c r="K235" s="24" t="n">
        <x:v>8902245</x:v>
      </x:c>
      <x:c r="L235" t="str">
        <x:v>8f7e606554926462248cbcc654181861438ca768a0063f6b317223ede37d16fb</x:v>
      </x:c>
      <x:c r="M235" t="str">
        <x:v>legacy_common_sample_8902245</x:v>
      </x:c>
      <x:c r="N235" t="str">
        <x:v>factor_report/gtja191_batch/gtja_080/ic_summary.csv</x:v>
      </x:c>
    </x:row>
    <x:row r="236">
      <x:c r="A236" t="str">
        <x:v>gtja_080</x:v>
      </x:c>
      <x:c r="B236" s="22" t="n">
        <x:v>20</x:v>
      </x:c>
      <x:c r="C236" s="23" t="n">
        <x:v>-0.01710208475329374</x:v>
      </x:c>
      <x:c r="D236" s="23" t="n">
        <x:v>0.07147216658414693</x:v>
      </x:c>
      <x:c r="E236" s="23" t="n">
        <x:v>-0.23928314434345288</x:v>
      </x:c>
      <x:c r="F236" s="23" t="n">
        <x:v>0.40030287733467945</x:v>
      </x:c>
      <x:c r="G236" s="23" t="n">
        <x:v>-0.023240631757765688</x:v>
      </x:c>
      <x:c r="H236" s="23" t="n">
        <x:v>-0.5085519935319246</x:v>
      </x:c>
      <x:c r="I236" s="24" t="n">
        <x:v>1981</x:v>
      </x:c>
      <x:c r="J236" s="25" t="n">
        <x:v>46211.31192994213</x:v>
      </x:c>
      <x:c r="K236" s="24" t="n">
        <x:v>8902245</x:v>
      </x:c>
      <x:c r="L236" t="str">
        <x:v>8f7e606554926462248cbcc654181861438ca768a0063f6b317223ede37d16fb</x:v>
      </x:c>
      <x:c r="M236" t="str">
        <x:v>legacy_common_sample_8902245</x:v>
      </x:c>
      <x:c r="N236" t="str">
        <x:v>factor_report/gtja191_batch/gtja_080/ic_summary.csv</x:v>
      </x:c>
    </x:row>
    <x:row r="237">
      <x:c r="A237" t="str">
        <x:v>gtja_081</x:v>
      </x:c>
      <x:c r="B237" s="22" t="n">
        <x:v>1</x:v>
      </x:c>
      <x:c r="C237" s="23" t="n">
        <x:v>-0.025489884293183298</x:v>
      </x:c>
      <x:c r="D237" s="23" t="n">
        <x:v>0.11596689355114129</x:v>
      </x:c>
      <x:c r="E237" s="23" t="n">
        <x:v>-0.2198031137390283</x:v>
      </x:c>
      <x:c r="F237" s="23" t="n">
        <x:v>0.391</x:v>
      </x:c>
      <x:c r="G237" s="23" t="n">
        <x:v>-0.008877443711024611</x:v>
      </x:c>
      <x:c r="H237" s="23" t="n">
        <x:v>-0.11909017630271007</x:v>
      </x:c>
      <x:c r="I237" s="24" t="n">
        <x:v>2000</x:v>
      </x:c>
      <x:c r="J237" s="25" t="n">
        <x:v>46210.48091090278</x:v>
      </x:c>
      <x:c r="K237" s="24" t="n">
        <x:v>8902245</x:v>
      </x:c>
      <x:c r="L237" t="str">
        <x:v>40355b29bce094aef0e99358bdfd4011b92e72a54440a67760de4afae4883c33</x:v>
      </x:c>
      <x:c r="M237" t="str">
        <x:v>legacy_common_sample_8902245</x:v>
      </x:c>
      <x:c r="N237" t="str">
        <x:v>factor_report/gtja191_batch/gtja_081/ic_summary.csv</x:v>
      </x:c>
    </x:row>
    <x:row r="238">
      <x:c r="A238" t="str">
        <x:v>gtja_081</x:v>
      </x:c>
      <x:c r="B238" s="22" t="n">
        <x:v>5</x:v>
      </x:c>
      <x:c r="C238" s="23" t="n">
        <x:v>-0.04183927953457015</x:v>
      </x:c>
      <x:c r="D238" s="23" t="n">
        <x:v>0.12005694806538143</x:v>
      </x:c>
      <x:c r="E238" s="23" t="n">
        <x:v>-0.3484952783556103</x:v>
      </x:c>
      <x:c r="F238" s="23" t="n">
        <x:v>0.34769539078156314</x:v>
      </x:c>
      <x:c r="G238" s="23" t="n">
        <x:v>-0.01828061048577746</x:v>
      </x:c>
      <x:c r="H238" s="23" t="n">
        <x:v>-0.24071299979247485</x:v>
      </x:c>
      <x:c r="I238" s="24" t="n">
        <x:v>1996</x:v>
      </x:c>
      <x:c r="J238" s="25" t="n">
        <x:v>46210.48091090278</x:v>
      </x:c>
      <x:c r="K238" s="24" t="n">
        <x:v>8902245</x:v>
      </x:c>
      <x:c r="L238" t="str">
        <x:v>40355b29bce094aef0e99358bdfd4011b92e72a54440a67760de4afae4883c33</x:v>
      </x:c>
      <x:c r="M238" t="str">
        <x:v>legacy_common_sample_8902245</x:v>
      </x:c>
      <x:c r="N238" t="str">
        <x:v>factor_report/gtja191_batch/gtja_081/ic_summary.csv</x:v>
      </x:c>
    </x:row>
    <x:row r="239">
      <x:c r="A239" t="str">
        <x:v>gtja_081</x:v>
      </x:c>
      <x:c r="B239" s="22" t="n">
        <x:v>10</x:v>
      </x:c>
      <x:c r="C239" s="23" t="n">
        <x:v>-0.04996957504108294</x:v>
      </x:c>
      <x:c r="D239" s="23" t="n">
        <x:v>0.11837507641887102</x:v>
      </x:c>
      <x:c r="E239" s="23" t="n">
        <x:v>-0.4221291892920538</x:v>
      </x:c>
      <x:c r="F239" s="23" t="n">
        <x:v>0.316926167754897</x:v>
      </x:c>
      <x:c r="G239" s="23" t="n">
        <x:v>-0.023297164946461797</x:v>
      </x:c>
      <x:c r="H239" s="23" t="n">
        <x:v>-0.309044969335836</x:v>
      </x:c>
      <x:c r="I239" s="24" t="n">
        <x:v>1991</x:v>
      </x:c>
      <x:c r="J239" s="25" t="n">
        <x:v>46210.48091090278</x:v>
      </x:c>
      <x:c r="K239" s="24" t="n">
        <x:v>8902245</x:v>
      </x:c>
      <x:c r="L239" t="str">
        <x:v>40355b29bce094aef0e99358bdfd4011b92e72a54440a67760de4afae4883c33</x:v>
      </x:c>
      <x:c r="M239" t="str">
        <x:v>legacy_common_sample_8902245</x:v>
      </x:c>
      <x:c r="N239" t="str">
        <x:v>factor_report/gtja191_batch/gtja_081/ic_summary.csv</x:v>
      </x:c>
    </x:row>
    <x:row r="240">
      <x:c r="A240" t="str">
        <x:v>gtja_081</x:v>
      </x:c>
      <x:c r="B240" s="22" t="n">
        <x:v>20</x:v>
      </x:c>
      <x:c r="C240" s="23" t="n">
        <x:v>-0.060928068467405144</x:v>
      </x:c>
      <x:c r="D240" s="23" t="n">
        <x:v>0.11564740330344445</x:v>
      </x:c>
      <x:c r="E240" s="23" t="n">
        <x:v>-0.5268433767383212</x:v>
      </x:c>
      <x:c r="F240" s="23" t="n">
        <x:v>0.31246845027763753</x:v>
      </x:c>
      <x:c r="G240" s="23" t="n">
        <x:v>-0.029405477897469175</x:v>
      </x:c>
      <x:c r="H240" s="23" t="n">
        <x:v>-0.39251887743035485</x:v>
      </x:c>
      <x:c r="I240" s="24" t="n">
        <x:v>1981</x:v>
      </x:c>
      <x:c r="J240" s="25" t="n">
        <x:v>46210.48091090278</x:v>
      </x:c>
      <x:c r="K240" s="24" t="n">
        <x:v>8902245</x:v>
      </x:c>
      <x:c r="L240" t="str">
        <x:v>40355b29bce094aef0e99358bdfd4011b92e72a54440a67760de4afae4883c33</x:v>
      </x:c>
      <x:c r="M240" t="str">
        <x:v>legacy_common_sample_8902245</x:v>
      </x:c>
      <x:c r="N240" t="str">
        <x:v>factor_report/gtja191_batch/gtja_081/ic_summary.csv</x:v>
      </x:c>
    </x:row>
    <x:row r="241">
      <x:c r="A241" t="str">
        <x:v>gtja_082</x:v>
      </x:c>
      <x:c r="B241" s="22" t="n">
        <x:v>10</x:v>
      </x:c>
      <x:c r="C241" s="23" t="n">
        <x:v>0.019699206520663495</x:v>
      </x:c>
      <x:c r="D241" s="23" t="n">
        <x:v>0.13194206204058712</x:v>
      </x:c>
      <x:c r="E241" s="23" t="n">
        <x:v>0.14930194523262613</x:v>
      </x:c>
      <x:c r="F241" s="23" t="n">
        <x:v>0.5238573581115018</x:v>
      </x:c>
      <x:c r="G241" s="23" t="n">
        <x:v>0.008357386241550111</x:v>
      </x:c>
      <x:c r="H241" s="23" t="n">
        <x:v>0.07324062562642562</x:v>
      </x:c>
      <x:c r="I241" s="24" t="n">
        <x:v>1991</x:v>
      </x:c>
      <x:c r="J241" s="25" t="n">
        <x:v>46211.314943969905</x:v>
      </x:c>
      <x:c r="K241" s="24" t="n">
        <x:v>8902245</x:v>
      </x:c>
      <x:c r="L241" t="str">
        <x:v>8f7e606554926462248cbcc654181861438ca768a0063f6b317223ede37d16fb</x:v>
      </x:c>
      <x:c r="M241" t="str">
        <x:v>legacy_common_sample_8902245</x:v>
      </x:c>
      <x:c r="N241" t="str">
        <x:v>factor_report/gtja191_batch/gtja_082/ic_summary.csv</x:v>
      </x:c>
    </x:row>
    <x:row r="242">
      <x:c r="A242" t="str">
        <x:v>gtja_082</x:v>
      </x:c>
      <x:c r="B242" s="22" t="n">
        <x:v>20</x:v>
      </x:c>
      <x:c r="C242" s="23" t="n">
        <x:v>0.024805974874621117</x:v>
      </x:c>
      <x:c r="D242" s="23" t="n">
        <x:v>0.13499841269894594</x:v>
      </x:c>
      <x:c r="E242" s="23" t="n">
        <x:v>0.1837501225287725</x:v>
      </x:c>
      <x:c r="F242" s="23" t="n">
        <x:v>0.5310449268046441</x:v>
      </x:c>
      <x:c r="G242" s="23" t="n">
        <x:v>0.010907924013598478</x:v>
      </x:c>
      <x:c r="H242" s="23" t="n">
        <x:v>0.09314091217533248</x:v>
      </x:c>
      <x:c r="I242" s="24" t="n">
        <x:v>1981</x:v>
      </x:c>
      <x:c r="J242" s="25" t="n">
        <x:v>46211.314943969905</x:v>
      </x:c>
      <x:c r="K242" s="24" t="n">
        <x:v>8902245</x:v>
      </x:c>
      <x:c r="L242" t="str">
        <x:v>8f7e606554926462248cbcc654181861438ca768a0063f6b317223ede37d16fb</x:v>
      </x:c>
      <x:c r="M242" t="str">
        <x:v>legacy_common_sample_8902245</x:v>
      </x:c>
      <x:c r="N242" t="str">
        <x:v>factor_report/gtja191_batch/gtja_082/ic_summary.csv</x:v>
      </x:c>
    </x:row>
    <x:row r="243">
      <x:c r="A243" t="str">
        <x:v>gtja_083</x:v>
      </x:c>
      <x:c r="B243" s="22" t="n">
        <x:v>10</x:v>
      </x:c>
      <x:c r="C243" s="23" t="n">
        <x:v>0.050828634987576136</x:v>
      </x:c>
      <x:c r="D243" s="23" t="n">
        <x:v>0.06367666348899453</x:v>
      </x:c>
      <x:c r="E243" s="23" t="n">
        <x:v>0.7982301867364805</x:v>
      </x:c>
      <x:c r="F243" s="23" t="n">
        <x:v>0.7965846308387745</x:v>
      </x:c>
      <x:c r="G243" s="23" t="n">
        <x:v>0.021699233986869893</x:v>
      </x:c>
      <x:c r="H243" s="23" t="n">
        <x:v>0.3805248746033904</x:v>
      </x:c>
      <x:c r="I243" s="24" t="n">
        <x:v>1991</x:v>
      </x:c>
      <x:c r="J243" s="25" t="n">
        <x:v>46211.31746125</x:v>
      </x:c>
      <x:c r="K243" s="24" t="n">
        <x:v>8902245</x:v>
      </x:c>
      <x:c r="L243" t="str">
        <x:v>8f7e606554926462248cbcc654181861438ca768a0063f6b317223ede37d16fb</x:v>
      </x:c>
      <x:c r="M243" t="str">
        <x:v>legacy_common_sample_8902245</x:v>
      </x:c>
      <x:c r="N243" t="str">
        <x:v>factor_report/gtja191_batch/gtja_083/ic_summary.csv</x:v>
      </x:c>
    </x:row>
    <x:row r="244">
      <x:c r="A244" t="str">
        <x:v>gtja_083</x:v>
      </x:c>
      <x:c r="B244" s="22" t="n">
        <x:v>20</x:v>
      </x:c>
      <x:c r="C244" s="23" t="n">
        <x:v>0.05278327687859521</x:v>
      </x:c>
      <x:c r="D244" s="23" t="n">
        <x:v>0.06044424555546098</x:v>
      </x:c>
      <x:c r="E244" s="23" t="n">
        <x:v>0.8732556158743613</x:v>
      </x:c>
      <x:c r="F244" s="23" t="n">
        <x:v>0.8081776880363453</x:v>
      </x:c>
      <x:c r="G244" s="23" t="n">
        <x:v>0.02394751067385203</x:v>
      </x:c>
      <x:c r="H244" s="23" t="n">
        <x:v>0.4424582379651176</x:v>
      </x:c>
      <x:c r="I244" s="24" t="n">
        <x:v>1981</x:v>
      </x:c>
      <x:c r="J244" s="25" t="n">
        <x:v>46211.31746125</x:v>
      </x:c>
      <x:c r="K244" s="24" t="n">
        <x:v>8902245</x:v>
      </x:c>
      <x:c r="L244" t="str">
        <x:v>8f7e606554926462248cbcc654181861438ca768a0063f6b317223ede37d16fb</x:v>
      </x:c>
      <x:c r="M244" t="str">
        <x:v>legacy_common_sample_8902245</x:v>
      </x:c>
      <x:c r="N244" t="str">
        <x:v>factor_report/gtja191_batch/gtja_083/ic_summary.csv</x:v>
      </x:c>
    </x:row>
    <x:row r="245">
      <x:c r="A245" t="str">
        <x:v>gtja_084</x:v>
      </x:c>
      <x:c r="B245" s="22" t="n">
        <x:v>1</x:v>
      </x:c>
      <x:c r="C245" s="23" t="n">
        <x:v>-0.024888335831821887</x:v>
      </x:c>
      <x:c r="D245" s="23" t="n">
        <x:v>0.10509856385351185</x:v>
      </x:c>
      <x:c r="E245" s="23" t="n">
        <x:v>-0.23680947597449256</x:v>
      </x:c>
      <x:c r="F245" s="23" t="n">
        <x:v>0.397</x:v>
      </x:c>
      <x:c r="G245" s="23" t="n">
        <x:v>-0.007512573786931507</x:v>
      </x:c>
      <x:c r="H245" s="23" t="n">
        <x:v>-0.10640567896172831</x:v>
      </x:c>
      <x:c r="I245" s="24" t="n">
        <x:v>2000</x:v>
      </x:c>
      <x:c r="J245" s="25" t="n">
        <x:v>46210.493655</x:v>
      </x:c>
      <x:c r="K245" s="24" t="n">
        <x:v>8902245</x:v>
      </x:c>
      <x:c r="L245" t="str">
        <x:v>40355b29bce094aef0e99358bdfd4011b92e72a54440a67760de4afae4883c33</x:v>
      </x:c>
      <x:c r="M245" t="str">
        <x:v>legacy_common_sample_8902245</x:v>
      </x:c>
      <x:c r="N245" t="str">
        <x:v>factor_report/gtja191_batch/gtja_084/ic_summary.csv</x:v>
      </x:c>
    </x:row>
    <x:row r="246">
      <x:c r="A246" t="str">
        <x:v>gtja_084</x:v>
      </x:c>
      <x:c r="B246" s="22" t="n">
        <x:v>5</x:v>
      </x:c>
      <x:c r="C246" s="23" t="n">
        <x:v>-0.03447758590742363</x:v>
      </x:c>
      <x:c r="D246" s="23" t="n">
        <x:v>0.09810025639328906</x:v>
      </x:c>
      <x:c r="E246" s="23" t="n">
        <x:v>-0.3514525565478767</x:v>
      </x:c>
      <x:c r="F246" s="23" t="n">
        <x:v>0.36172344689378755</x:v>
      </x:c>
      <x:c r="G246" s="23" t="n">
        <x:v>-0.015704180032995146</x:v>
      </x:c>
      <x:c r="H246" s="23" t="n">
        <x:v>-0.23554614129757706</x:v>
      </x:c>
      <x:c r="I246" s="24" t="n">
        <x:v>1996</x:v>
      </x:c>
      <x:c r="J246" s="25" t="n">
        <x:v>46210.493655</x:v>
      </x:c>
      <x:c r="K246" s="24" t="n">
        <x:v>8902245</x:v>
      </x:c>
      <x:c r="L246" t="str">
        <x:v>40355b29bce094aef0e99358bdfd4011b92e72a54440a67760de4afae4883c33</x:v>
      </x:c>
      <x:c r="M246" t="str">
        <x:v>legacy_common_sample_8902245</x:v>
      </x:c>
      <x:c r="N246" t="str">
        <x:v>factor_report/gtja191_batch/gtja_084/ic_summary.csv</x:v>
      </x:c>
    </x:row>
    <x:row r="247">
      <x:c r="A247" t="str">
        <x:v>gtja_084</x:v>
      </x:c>
      <x:c r="B247" s="22" t="n">
        <x:v>10</x:v>
      </x:c>
      <x:c r="C247" s="23" t="n">
        <x:v>-0.04048932825227205</x:v>
      </x:c>
      <x:c r="D247" s="23" t="n">
        <x:v>0.09624171891250878</x:v>
      </x:c>
      <x:c r="E247" s="23" t="n">
        <x:v>-0.4207045417495089</x:v>
      </x:c>
      <x:c r="F247" s="23" t="n">
        <x:v>0.3324962330487192</x:v>
      </x:c>
      <x:c r="G247" s="23" t="n">
        <x:v>-0.01947001112328579</x:v>
      </x:c>
      <x:c r="H247" s="23" t="n">
        <x:v>-0.3017136243093935</x:v>
      </x:c>
      <x:c r="I247" s="24" t="n">
        <x:v>1991</x:v>
      </x:c>
      <x:c r="J247" s="25" t="n">
        <x:v>46210.493655</x:v>
      </x:c>
      <x:c r="K247" s="24" t="n">
        <x:v>8902245</x:v>
      </x:c>
      <x:c r="L247" t="str">
        <x:v>40355b29bce094aef0e99358bdfd4011b92e72a54440a67760de4afae4883c33</x:v>
      </x:c>
      <x:c r="M247" t="str">
        <x:v>legacy_common_sample_8902245</x:v>
      </x:c>
      <x:c r="N247" t="str">
        <x:v>factor_report/gtja191_batch/gtja_084/ic_summary.csv</x:v>
      </x:c>
    </x:row>
    <x:row r="248">
      <x:c r="A248" t="str">
        <x:v>gtja_084</x:v>
      </x:c>
      <x:c r="B248" s="22" t="n">
        <x:v>20</x:v>
      </x:c>
      <x:c r="C248" s="23" t="n">
        <x:v>-0.05088072449977146</x:v>
      </x:c>
      <x:c r="D248" s="23" t="n">
        <x:v>0.09690800661187607</x:v>
      </x:c>
      <x:c r="E248" s="23" t="n">
        <x:v>-0.5250414932540366</x:v>
      </x:c>
      <x:c r="F248" s="23" t="n">
        <x:v>0.28975265017667845</x:v>
      </x:c>
      <x:c r="G248" s="23" t="n">
        <x:v>-0.024568103480382575</x:v>
      </x:c>
      <x:c r="H248" s="23" t="n">
        <x:v>-0.38717237280332883</x:v>
      </x:c>
      <x:c r="I248" s="24" t="n">
        <x:v>1981</x:v>
      </x:c>
      <x:c r="J248" s="25" t="n">
        <x:v>46210.493655</x:v>
      </x:c>
      <x:c r="K248" s="24" t="n">
        <x:v>8902245</x:v>
      </x:c>
      <x:c r="L248" t="str">
        <x:v>40355b29bce094aef0e99358bdfd4011b92e72a54440a67760de4afae4883c33</x:v>
      </x:c>
      <x:c r="M248" t="str">
        <x:v>legacy_common_sample_8902245</x:v>
      </x:c>
      <x:c r="N248" t="str">
        <x:v>factor_report/gtja191_batch/gtja_084/ic_summary.csv</x:v>
      </x:c>
    </x:row>
    <x:row r="249">
      <x:c r="A249" t="str">
        <x:v>gtja_085</x:v>
      </x:c>
      <x:c r="B249" s="22" t="n">
        <x:v>10</x:v>
      </x:c>
      <x:c r="C249" s="23" t="n">
        <x:v>0.009101116867026332</x:v>
      </x:c>
      <x:c r="D249" s="23" t="n">
        <x:v>0.08057092252195697</x:v>
      </x:c>
      <x:c r="E249" s="23" t="n">
        <x:v>0.11295783369671758</x:v>
      </x:c>
      <x:c r="F249" s="23" t="n">
        <x:v>0.531893520843797</x:v>
      </x:c>
      <x:c r="G249" s="23" t="n">
        <x:v>0.00531977173288779</x:v>
      </x:c>
      <x:c r="H249" s="23" t="n">
        <x:v>0.08340764898759577</x:v>
      </x:c>
      <x:c r="I249" s="24" t="n">
        <x:v>1991</x:v>
      </x:c>
      <x:c r="J249" s="25" t="n">
        <x:v>46211.32386585648</x:v>
      </x:c>
      <x:c r="K249" s="24" t="n">
        <x:v>8902245</x:v>
      </x:c>
      <x:c r="L249" t="str">
        <x:v>8f7e606554926462248cbcc654181861438ca768a0063f6b317223ede37d16fb</x:v>
      </x:c>
      <x:c r="M249" t="str">
        <x:v>legacy_common_sample_8902245</x:v>
      </x:c>
      <x:c r="N249" t="str">
        <x:v>factor_report/gtja191_batch/gtja_085/ic_summary.csv</x:v>
      </x:c>
    </x:row>
    <x:row r="250">
      <x:c r="A250" t="str">
        <x:v>gtja_085</x:v>
      </x:c>
      <x:c r="B250" s="22" t="n">
        <x:v>20</x:v>
      </x:c>
      <x:c r="C250" s="23" t="n">
        <x:v>0.008351333931381075</x:v>
      </x:c>
      <x:c r="D250" s="23" t="n">
        <x:v>0.08216370751033718</x:v>
      </x:c>
      <x:c r="E250" s="23" t="n">
        <x:v>0.10164261307622198</x:v>
      </x:c>
      <x:c r="F250" s="23" t="n">
        <x:v>0.5350832912670368</x:v>
      </x:c>
      <x:c r="G250" s="23" t="n">
        <x:v>0.0038886499252636037</x:v>
      </x:c>
      <x:c r="H250" s="23" t="n">
        <x:v>0.06017341565578031</x:v>
      </x:c>
      <x:c r="I250" s="24" t="n">
        <x:v>1981</x:v>
      </x:c>
      <x:c r="J250" s="25" t="n">
        <x:v>46211.32386585648</x:v>
      </x:c>
      <x:c r="K250" s="24" t="n">
        <x:v>8902245</x:v>
      </x:c>
      <x:c r="L250" t="str">
        <x:v>8f7e606554926462248cbcc654181861438ca768a0063f6b317223ede37d16fb</x:v>
      </x:c>
      <x:c r="M250" t="str">
        <x:v>legacy_common_sample_8902245</x:v>
      </x:c>
      <x:c r="N250" t="str">
        <x:v>factor_report/gtja191_batch/gtja_085/ic_summary.csv</x:v>
      </x:c>
    </x:row>
    <x:row r="251">
      <x:c r="A251" t="str">
        <x:v>gtja_086</x:v>
      </x:c>
      <x:c r="B251" s="22" t="n">
        <x:v>10</x:v>
      </x:c>
      <x:c r="C251" s="23" t="n">
        <x:v>0.025539523204946915</x:v>
      </x:c>
      <x:c r="D251" s="23" t="n">
        <x:v>0.09729114568561431</x:v>
      </x:c>
      <x:c r="E251" s="23" t="n">
        <x:v>0.2625061409747922</x:v>
      </x:c>
      <x:c r="F251" s="23" t="n">
        <x:v>0.6092415871421396</x:v>
      </x:c>
      <x:c r="G251" s="23" t="n">
        <x:v>0.017918035488940574</x:v>
      </x:c>
      <x:c r="H251" s="23" t="n">
        <x:v>0.22682212357816375</x:v>
      </x:c>
      <x:c r="I251" s="24" t="n">
        <x:v>1991</x:v>
      </x:c>
      <x:c r="J251" s="25" t="n">
        <x:v>46211.32645658565</x:v>
      </x:c>
      <x:c r="K251" s="24" t="n">
        <x:v>8902245</x:v>
      </x:c>
      <x:c r="L251" t="str">
        <x:v>8f7e606554926462248cbcc654181861438ca768a0063f6b317223ede37d16fb</x:v>
      </x:c>
      <x:c r="M251" t="str">
        <x:v>legacy_common_sample_8902245</x:v>
      </x:c>
      <x:c r="N251" t="str">
        <x:v>factor_report/gtja191_batch/gtja_086/ic_summary.csv</x:v>
      </x:c>
    </x:row>
    <x:row r="252">
      <x:c r="A252" t="str">
        <x:v>gtja_086</x:v>
      </x:c>
      <x:c r="B252" s="22" t="n">
        <x:v>20</x:v>
      </x:c>
      <x:c r="C252" s="23" t="n">
        <x:v>0.031187852970758673</x:v>
      </x:c>
      <x:c r="D252" s="23" t="n">
        <x:v>0.09537633457491719</x:v>
      </x:c>
      <x:c r="E252" s="23" t="n">
        <x:v>0.3269978146021214</x:v>
      </x:c>
      <x:c r="F252" s="23" t="n">
        <x:v>0.6451287228672388</x:v>
      </x:c>
      <x:c r="G252" s="23" t="n">
        <x:v>0.022154758663680312</x:v>
      </x:c>
      <x:c r="H252" s="23" t="n">
        <x:v>0.27794663230871014</x:v>
      </x:c>
      <x:c r="I252" s="24" t="n">
        <x:v>1981</x:v>
      </x:c>
      <x:c r="J252" s="25" t="n">
        <x:v>46211.32645658565</x:v>
      </x:c>
      <x:c r="K252" s="24" t="n">
        <x:v>8902245</x:v>
      </x:c>
      <x:c r="L252" t="str">
        <x:v>8f7e606554926462248cbcc654181861438ca768a0063f6b317223ede37d16fb</x:v>
      </x:c>
      <x:c r="M252" t="str">
        <x:v>legacy_common_sample_8902245</x:v>
      </x:c>
      <x:c r="N252" t="str">
        <x:v>factor_report/gtja191_batch/gtja_086/ic_summary.csv</x:v>
      </x:c>
    </x:row>
    <x:row r="253">
      <x:c r="A253" t="str">
        <x:v>gtja_087</x:v>
      </x:c>
      <x:c r="B253" s="22" t="n">
        <x:v>10</x:v>
      </x:c>
      <x:c r="C253" s="23" t="n">
        <x:v>0.025257446979528055</x:v>
      </x:c>
      <x:c r="D253" s="23" t="n">
        <x:v>0.08909173682014304</x:v>
      </x:c>
      <x:c r="E253" s="23" t="n">
        <x:v>0.28349932194629207</x:v>
      </x:c>
      <x:c r="F253" s="23" t="n">
        <x:v>0.6012054244098443</x:v>
      </x:c>
      <x:c r="G253" s="23" t="n">
        <x:v>0.014354629131697558</x:v>
      </x:c>
      <x:c r="H253" s="23" t="n">
        <x:v>0.18274086498301684</x:v>
      </x:c>
      <x:c r="I253" s="24" t="n">
        <x:v>1991</x:v>
      </x:c>
      <x:c r="J253" s="25" t="n">
        <x:v>46211.33017637731</x:v>
      </x:c>
      <x:c r="K253" s="24" t="n">
        <x:v>8902245</x:v>
      </x:c>
      <x:c r="L253" t="str">
        <x:v>8f7e606554926462248cbcc654181861438ca768a0063f6b317223ede37d16fb</x:v>
      </x:c>
      <x:c r="M253" t="str">
        <x:v>legacy_common_sample_8902245</x:v>
      </x:c>
      <x:c r="N253" t="str">
        <x:v>factor_report/gtja191_batch/gtja_087/ic_summary.csv</x:v>
      </x:c>
    </x:row>
    <x:row r="254">
      <x:c r="A254" t="str">
        <x:v>gtja_087</x:v>
      </x:c>
      <x:c r="B254" s="22" t="n">
        <x:v>20</x:v>
      </x:c>
      <x:c r="C254" s="23" t="n">
        <x:v>0.028545089065096254</x:v>
      </x:c>
      <x:c r="D254" s="23" t="n">
        <x:v>0.08815126591871315</x:v>
      </x:c>
      <x:c r="E254" s="23" t="n">
        <x:v>0.3238193889514702</x:v>
      </x:c>
      <x:c r="F254" s="23" t="n">
        <x:v>0.6214033316506815</x:v>
      </x:c>
      <x:c r="G254" s="23" t="n">
        <x:v>0.017477897423344373</x:v>
      </x:c>
      <x:c r="H254" s="23" t="n">
        <x:v>0.2243344958992847</x:v>
      </x:c>
      <x:c r="I254" s="24" t="n">
        <x:v>1981</x:v>
      </x:c>
      <x:c r="J254" s="25" t="n">
        <x:v>46211.33017637731</x:v>
      </x:c>
      <x:c r="K254" s="24" t="n">
        <x:v>8902245</x:v>
      </x:c>
      <x:c r="L254" t="str">
        <x:v>8f7e606554926462248cbcc654181861438ca768a0063f6b317223ede37d16fb</x:v>
      </x:c>
      <x:c r="M254" t="str">
        <x:v>legacy_common_sample_8902245</x:v>
      </x:c>
      <x:c r="N254" t="str">
        <x:v>factor_report/gtja191_batch/gtja_087/ic_summary.csv</x:v>
      </x:c>
    </x:row>
    <x:row r="255">
      <x:c r="A255" t="str">
        <x:v>gtja_088</x:v>
      </x:c>
      <x:c r="B255" s="22" t="n">
        <x:v>1</x:v>
      </x:c>
      <x:c r="C255" s="23" t="n">
        <x:v>-0.03630489752719529</x:v>
      </x:c>
      <x:c r="D255" s="23" t="n">
        <x:v>0.15507562969934033</x:v>
      </x:c>
      <x:c r="E255" s="23" t="n">
        <x:v>-0.23411091476838108</x:v>
      </x:c>
      <x:c r="F255" s="23" t="n">
        <x:v>0.385</x:v>
      </x:c>
      <x:c r="G255" s="23" t="n">
        <x:v>-0.018325328660000823</x:v>
      </x:c>
      <x:c r="H255" s="23" t="n">
        <x:v>-0.13091256152019154</x:v>
      </x:c>
      <x:c r="I255" s="24" t="n">
        <x:v>2000</x:v>
      </x:c>
      <x:c r="J255" s="25" t="n">
        <x:v>46210.51801505787</x:v>
      </x:c>
      <x:c r="K255" s="24" t="n">
        <x:v>8902245</x:v>
      </x:c>
      <x:c r="L255" t="str">
        <x:v>40355b29bce094aef0e99358bdfd4011b92e72a54440a67760de4afae4883c33</x:v>
      </x:c>
      <x:c r="M255" t="str">
        <x:v>legacy_common_sample_8902245</x:v>
      </x:c>
      <x:c r="N255" t="str">
        <x:v>factor_report/gtja191_batch/gtja_088/ic_summary.csv</x:v>
      </x:c>
    </x:row>
    <x:row r="256">
      <x:c r="A256" t="str">
        <x:v>gtja_088</x:v>
      </x:c>
      <x:c r="B256" s="22" t="n">
        <x:v>5</x:v>
      </x:c>
      <x:c r="C256" s="23" t="n">
        <x:v>-0.05050240146215423</x:v>
      </x:c>
      <x:c r="D256" s="23" t="n">
        <x:v>0.14482287381422465</x:v>
      </x:c>
      <x:c r="E256" s="23" t="n">
        <x:v>-0.3487184042966687</x:v>
      </x:c>
      <x:c r="F256" s="23" t="n">
        <x:v>0.3627254509018036</x:v>
      </x:c>
      <x:c r="G256" s="23" t="n">
        <x:v>-0.036258365917317195</x:v>
      </x:c>
      <x:c r="H256" s="23" t="n">
        <x:v>-0.2803442122433319</x:v>
      </x:c>
      <x:c r="I256" s="24" t="n">
        <x:v>1996</x:v>
      </x:c>
      <x:c r="J256" s="25" t="n">
        <x:v>46210.51801505787</x:v>
      </x:c>
      <x:c r="K256" s="24" t="n">
        <x:v>8902245</x:v>
      </x:c>
      <x:c r="L256" t="str">
        <x:v>40355b29bce094aef0e99358bdfd4011b92e72a54440a67760de4afae4883c33</x:v>
      </x:c>
      <x:c r="M256" t="str">
        <x:v>legacy_common_sample_8902245</x:v>
      </x:c>
      <x:c r="N256" t="str">
        <x:v>factor_report/gtja191_batch/gtja_088/ic_summary.csv</x:v>
      </x:c>
    </x:row>
    <x:row r="257">
      <x:c r="A257" t="str">
        <x:v>gtja_088</x:v>
      </x:c>
      <x:c r="B257" s="22" t="n">
        <x:v>10</x:v>
      </x:c>
      <x:c r="C257" s="23" t="n">
        <x:v>-0.058667124438381554</x:v>
      </x:c>
      <x:c r="D257" s="23" t="n">
        <x:v>0.13800065886726753</x:v>
      </x:c>
      <x:c r="E257" s="23" t="n">
        <x:v>-0.4251220604302263</x:v>
      </x:c>
      <x:c r="F257" s="23" t="n">
        <x:v>0.34455047714716225</x:v>
      </x:c>
      <x:c r="G257" s="23" t="n">
        <x:v>-0.04304453947300464</x:v>
      </x:c>
      <x:c r="H257" s="23" t="n">
        <x:v>-0.34968850756269404</x:v>
      </x:c>
      <x:c r="I257" s="24" t="n">
        <x:v>1991</x:v>
      </x:c>
      <x:c r="J257" s="25" t="n">
        <x:v>46210.51801505787</x:v>
      </x:c>
      <x:c r="K257" s="24" t="n">
        <x:v>8902245</x:v>
      </x:c>
      <x:c r="L257" t="str">
        <x:v>40355b29bce094aef0e99358bdfd4011b92e72a54440a67760de4afae4883c33</x:v>
      </x:c>
      <x:c r="M257" t="str">
        <x:v>legacy_common_sample_8902245</x:v>
      </x:c>
      <x:c r="N257" t="str">
        <x:v>factor_report/gtja191_batch/gtja_088/ic_summary.csv</x:v>
      </x:c>
    </x:row>
    <x:row r="258">
      <x:c r="A258" t="str">
        <x:v>gtja_088</x:v>
      </x:c>
      <x:c r="B258" s="22" t="n">
        <x:v>20</x:v>
      </x:c>
      <x:c r="C258" s="23" t="n">
        <x:v>-0.06656092574999298</x:v>
      </x:c>
      <x:c r="D258" s="23" t="n">
        <x:v>0.13839445903150374</x:v>
      </x:c>
      <x:c r="E258" s="23" t="n">
        <x:v>-0.480950799734267</x:v>
      </x:c>
      <x:c r="F258" s="23" t="n">
        <x:v>0.31246845027763753</x:v>
      </x:c>
      <x:c r="G258" s="23" t="n">
        <x:v>-0.047169359571124864</x:v>
      </x:c>
      <x:c r="H258" s="23" t="n">
        <x:v>-0.38407184395912325</x:v>
      </x:c>
      <x:c r="I258" s="24" t="n">
        <x:v>1981</x:v>
      </x:c>
      <x:c r="J258" s="25" t="n">
        <x:v>46210.51801505787</x:v>
      </x:c>
      <x:c r="K258" s="24" t="n">
        <x:v>8902245</x:v>
      </x:c>
      <x:c r="L258" t="str">
        <x:v>40355b29bce094aef0e99358bdfd4011b92e72a54440a67760de4afae4883c33</x:v>
      </x:c>
      <x:c r="M258" t="str">
        <x:v>legacy_common_sample_8902245</x:v>
      </x:c>
      <x:c r="N258" t="str">
        <x:v>factor_report/gtja191_batch/gtja_088/ic_summary.csv</x:v>
      </x:c>
    </x:row>
    <x:row r="259">
      <x:c r="A259" t="str">
        <x:v>gtja_089</x:v>
      </x:c>
      <x:c r="B259" s="22" t="n">
        <x:v>1</x:v>
      </x:c>
      <x:c r="C259" s="23" t="n">
        <x:v>-0.023661438522447634</x:v>
      </x:c>
      <x:c r="D259" s="23" t="n">
        <x:v>0.13354054267280258</x:v>
      </x:c>
      <x:c r="E259" s="23" t="n">
        <x:v>-0.17718543034846165</x:v>
      </x:c>
      <x:c r="F259" s="23" t="n">
        <x:v>0.429</x:v>
      </x:c>
      <x:c r="G259" s="23" t="n">
        <x:v>-0.008172551028029468</x:v>
      </x:c>
      <x:c r="H259" s="23" t="n">
        <x:v>-0.09641317139328258</x:v>
      </x:c>
      <x:c r="I259" s="24" t="n">
        <x:v>2000</x:v>
      </x:c>
      <x:c r="J259" s="25" t="n">
        <x:v>46210.52408989584</x:v>
      </x:c>
      <x:c r="K259" s="24" t="n">
        <x:v>8902245</x:v>
      </x:c>
      <x:c r="L259" t="str">
        <x:v>40355b29bce094aef0e99358bdfd4011b92e72a54440a67760de4afae4883c33</x:v>
      </x:c>
      <x:c r="M259" t="str">
        <x:v>legacy_common_sample_8902245</x:v>
      </x:c>
      <x:c r="N259" t="str">
        <x:v>factor_report/gtja191_batch/gtja_089/ic_summary.csv</x:v>
      </x:c>
    </x:row>
    <x:row r="260">
      <x:c r="A260" t="str">
        <x:v>gtja_089</x:v>
      </x:c>
      <x:c r="B260" s="22" t="n">
        <x:v>5</x:v>
      </x:c>
      <x:c r="C260" s="23" t="n">
        <x:v>-0.028234129735906065</x:v>
      </x:c>
      <x:c r="D260" s="23" t="n">
        <x:v>0.1256898690360199</x:v>
      </x:c>
      <x:c r="E260" s="23" t="n">
        <x:v>-0.22463329743636537</x:v>
      </x:c>
      <x:c r="F260" s="23" t="n">
        <x:v>0.406312625250501</x:v>
      </x:c>
      <x:c r="G260" s="23" t="n">
        <x:v>-0.014321294870440152</x:v>
      </x:c>
      <x:c r="H260" s="23" t="n">
        <x:v>-0.18336873012156157</x:v>
      </x:c>
      <x:c r="I260" s="24" t="n">
        <x:v>1996</x:v>
      </x:c>
      <x:c r="J260" s="25" t="n">
        <x:v>46210.52408989584</x:v>
      </x:c>
      <x:c r="K260" s="24" t="n">
        <x:v>8902245</x:v>
      </x:c>
      <x:c r="L260" t="str">
        <x:v>40355b29bce094aef0e99358bdfd4011b92e72a54440a67760de4afae4883c33</x:v>
      </x:c>
      <x:c r="M260" t="str">
        <x:v>legacy_common_sample_8902245</x:v>
      </x:c>
      <x:c r="N260" t="str">
        <x:v>factor_report/gtja191_batch/gtja_089/ic_summary.csv</x:v>
      </x:c>
    </x:row>
    <x:row r="261">
      <x:c r="A261" t="str">
        <x:v>gtja_089</x:v>
      </x:c>
      <x:c r="B261" s="22" t="n">
        <x:v>10</x:v>
      </x:c>
      <x:c r="C261" s="23" t="n">
        <x:v>-0.03330943745475121</x:v>
      </x:c>
      <x:c r="D261" s="23" t="n">
        <x:v>0.12099497138113786</x:v>
      </x:c>
      <x:c r="E261" s="23" t="n">
        <x:v>-0.27529604804670327</x:v>
      </x:c>
      <x:c r="F261" s="23" t="n">
        <x:v>0.4098442993470618</x:v>
      </x:c>
      <x:c r="G261" s="23" t="n">
        <x:v>-0.017942828700761672</x:v>
      </x:c>
      <x:c r="H261" s="23" t="n">
        <x:v>-0.23884868876677479</x:v>
      </x:c>
      <x:c r="I261" s="24" t="n">
        <x:v>1991</x:v>
      </x:c>
      <x:c r="J261" s="25" t="n">
        <x:v>46210.52408989584</x:v>
      </x:c>
      <x:c r="K261" s="24" t="n">
        <x:v>8902245</x:v>
      </x:c>
      <x:c r="L261" t="str">
        <x:v>40355b29bce094aef0e99358bdfd4011b92e72a54440a67760de4afae4883c33</x:v>
      </x:c>
      <x:c r="M261" t="str">
        <x:v>legacy_common_sample_8902245</x:v>
      </x:c>
      <x:c r="N261" t="str">
        <x:v>factor_report/gtja191_batch/gtja_089/ic_summary.csv</x:v>
      </x:c>
    </x:row>
    <x:row r="262">
      <x:c r="A262" t="str">
        <x:v>gtja_089</x:v>
      </x:c>
      <x:c r="B262" s="22" t="n">
        <x:v>20</x:v>
      </x:c>
      <x:c r="C262" s="23" t="n">
        <x:v>-0.03780088527753827</x:v>
      </x:c>
      <x:c r="D262" s="23" t="n">
        <x:v>0.12010288667285368</x:v>
      </x:c>
      <x:c r="E262" s="23" t="n">
        <x:v>-0.31473752483987744</x:v>
      </x:c>
      <x:c r="F262" s="23" t="n">
        <x:v>0.386673397274104</x:v>
      </x:c>
      <x:c r="G262" s="23" t="n">
        <x:v>-0.019127299561553453</x:v>
      </x:c>
      <x:c r="H262" s="23" t="n">
        <x:v>-0.25091894821438865</x:v>
      </x:c>
      <x:c r="I262" s="24" t="n">
        <x:v>1981</x:v>
      </x:c>
      <x:c r="J262" s="25" t="n">
        <x:v>46210.52408989584</x:v>
      </x:c>
      <x:c r="K262" s="24" t="n">
        <x:v>8902245</x:v>
      </x:c>
      <x:c r="L262" t="str">
        <x:v>40355b29bce094aef0e99358bdfd4011b92e72a54440a67760de4afae4883c33</x:v>
      </x:c>
      <x:c r="M262" t="str">
        <x:v>legacy_common_sample_8902245</x:v>
      </x:c>
      <x:c r="N262" t="str">
        <x:v>factor_report/gtja191_batch/gtja_089/ic_summary.csv</x:v>
      </x:c>
    </x:row>
    <x:row r="263">
      <x:c r="A263" t="str">
        <x:v>gtja_090</x:v>
      </x:c>
      <x:c r="B263" s="22" t="n">
        <x:v>10</x:v>
      </x:c>
      <x:c r="C263" s="23" t="n">
        <x:v>0.04144801085758182</x:v>
      </x:c>
      <x:c r="D263" s="23" t="n">
        <x:v>0.05917888052152929</x:v>
      </x:c>
      <x:c r="E263" s="23" t="n">
        <x:v>0.700385179515233</x:v>
      </x:c>
      <x:c r="F263" s="23" t="n">
        <x:v>0.772978402812657</x:v>
      </x:c>
      <x:c r="G263" s="23" t="n">
        <x:v>0.019001828063680754</x:v>
      </x:c>
      <x:c r="H263" s="23" t="n">
        <x:v>0.3647309049971294</x:v>
      </x:c>
      <x:c r="I263" s="24" t="n">
        <x:v>1991</x:v>
      </x:c>
      <x:c r="J263" s="25" t="n">
        <x:v>46211.33284847222</x:v>
      </x:c>
      <x:c r="K263" s="24" t="n">
        <x:v>8902245</x:v>
      </x:c>
      <x:c r="L263" t="str">
        <x:v>8f7e606554926462248cbcc654181861438ca768a0063f6b317223ede37d16fb</x:v>
      </x:c>
      <x:c r="M263" t="str">
        <x:v>legacy_common_sample_8902245</x:v>
      </x:c>
      <x:c r="N263" t="str">
        <x:v>factor_report/gtja191_batch/gtja_090/ic_summary.csv</x:v>
      </x:c>
    </x:row>
    <x:row r="264">
      <x:c r="A264" t="str">
        <x:v>gtja_090</x:v>
      </x:c>
      <x:c r="B264" s="22" t="n">
        <x:v>20</x:v>
      </x:c>
      <x:c r="C264" s="23" t="n">
        <x:v>0.043954812384740215</x:v>
      </x:c>
      <x:c r="D264" s="23" t="n">
        <x:v>0.056250806410902174</x:v>
      </x:c>
      <x:c r="E264" s="23" t="n">
        <x:v>0.7814076844278124</x:v>
      </x:c>
      <x:c r="F264" s="23" t="n">
        <x:v>0.784452296819788</x:v>
      </x:c>
      <x:c r="G264" s="23" t="n">
        <x:v>0.02231188149321846</x:v>
      </x:c>
      <x:c r="H264" s="23" t="n">
        <x:v>0.4487377459140369</x:v>
      </x:c>
      <x:c r="I264" s="24" t="n">
        <x:v>1981</x:v>
      </x:c>
      <x:c r="J264" s="25" t="n">
        <x:v>46211.33284847222</x:v>
      </x:c>
      <x:c r="K264" s="24" t="n">
        <x:v>8902245</x:v>
      </x:c>
      <x:c r="L264" t="str">
        <x:v>8f7e606554926462248cbcc654181861438ca768a0063f6b317223ede37d16fb</x:v>
      </x:c>
      <x:c r="M264" t="str">
        <x:v>legacy_common_sample_8902245</x:v>
      </x:c>
      <x:c r="N264" t="str">
        <x:v>factor_report/gtja191_batch/gtja_090/ic_summary.csv</x:v>
      </x:c>
    </x:row>
    <x:row r="265">
      <x:c r="A265" t="str">
        <x:v>gtja_091</x:v>
      </x:c>
      <x:c r="B265" s="22" t="n">
        <x:v>10</x:v>
      </x:c>
      <x:c r="C265" s="23" t="n">
        <x:v>-0.005977281466886537</x:v>
      </x:c>
      <x:c r="D265" s="23" t="n">
        <x:v>0.10307528431063906</x:v>
      </x:c>
      <x:c r="E265" s="23" t="n">
        <x:v>-0.057989473488840856</x:v>
      </x:c>
      <x:c r="F265" s="23" t="n">
        <x:v>0.47513812154696133</x:v>
      </x:c>
      <x:c r="G265" s="23" t="n">
        <x:v>0.004672747069637047</x:v>
      </x:c>
      <x:c r="H265" s="23" t="n">
        <x:v>0.05582157918225588</x:v>
      </x:c>
      <x:c r="I265" s="24" t="n">
        <x:v>1991</x:v>
      </x:c>
      <x:c r="J265" s="25" t="n">
        <x:v>46211.33546769676</x:v>
      </x:c>
      <x:c r="K265" s="24" t="n">
        <x:v>8902245</x:v>
      </x:c>
      <x:c r="L265" t="str">
        <x:v>8f7e606554926462248cbcc654181861438ca768a0063f6b317223ede37d16fb</x:v>
      </x:c>
      <x:c r="M265" t="str">
        <x:v>legacy_common_sample_8902245</x:v>
      </x:c>
      <x:c r="N265" t="str">
        <x:v>factor_report/gtja191_batch/gtja_091/ic_summary.csv</x:v>
      </x:c>
    </x:row>
    <x:row r="266">
      <x:c r="A266" t="str">
        <x:v>gtja_091</x:v>
      </x:c>
      <x:c r="B266" s="22" t="n">
        <x:v>20</x:v>
      </x:c>
      <x:c r="C266" s="23" t="n">
        <x:v>-0.00910210324691601</x:v>
      </x:c>
      <x:c r="D266" s="23" t="n">
        <x:v>0.10011027175948094</x:v>
      </x:c>
      <x:c r="E266" s="23" t="n">
        <x:v>-0.0909207725335537</x:v>
      </x:c>
      <x:c r="F266" s="23" t="n">
        <x:v>0.4634023220595659</x:v>
      </x:c>
      <x:c r="G266" s="23" t="n">
        <x:v>0.002817061741268246</x:v>
      </x:c>
      <x:c r="H266" s="23" t="n">
        <x:v>0.03524298606476424</x:v>
      </x:c>
      <x:c r="I266" s="24" t="n">
        <x:v>1981</x:v>
      </x:c>
      <x:c r="J266" s="25" t="n">
        <x:v>46211.33546769676</x:v>
      </x:c>
      <x:c r="K266" s="24" t="n">
        <x:v>8902245</x:v>
      </x:c>
      <x:c r="L266" t="str">
        <x:v>8f7e606554926462248cbcc654181861438ca768a0063f6b317223ede37d16fb</x:v>
      </x:c>
      <x:c r="M266" t="str">
        <x:v>legacy_common_sample_8902245</x:v>
      </x:c>
      <x:c r="N266" t="str">
        <x:v>factor_report/gtja191_batch/gtja_091/ic_summary.csv</x:v>
      </x:c>
    </x:row>
    <x:row r="267">
      <x:c r="A267" t="str">
        <x:v>gtja_092</x:v>
      </x:c>
      <x:c r="B267" s="22" t="n">
        <x:v>10</x:v>
      </x:c>
      <x:c r="C267" s="23" t="n">
        <x:v>0.020594322057518277</x:v>
      </x:c>
      <x:c r="D267" s="23" t="n">
        <x:v>0.07853710402334353</x:v>
      </x:c>
      <x:c r="E267" s="23" t="n">
        <x:v>0.2622241081285228</x:v>
      </x:c>
      <x:c r="F267" s="23" t="n">
        <x:v>0.595108695652174</x:v>
      </x:c>
      <x:c r="G267" s="23" t="n">
        <x:v>0.011682597965926732</x:v>
      </x:c>
      <x:c r="H267" s="23" t="n">
        <x:v>0.17129607381799627</x:v>
      </x:c>
      <x:c r="I267" s="24" t="n">
        <x:v>1840</x:v>
      </x:c>
      <x:c r="J267" s="25" t="n">
        <x:v>46211.339528993056</x:v>
      </x:c>
      <x:c r="K267" s="24" t="n">
        <x:v>8902245</x:v>
      </x:c>
      <x:c r="L267" t="str">
        <x:v>8f7e606554926462248cbcc654181861438ca768a0063f6b317223ede37d16fb</x:v>
      </x:c>
      <x:c r="M267" t="str">
        <x:v>legacy_common_sample_8902245</x:v>
      </x:c>
      <x:c r="N267" t="str">
        <x:v>factor_report/gtja191_batch/gtja_092/ic_summary.csv</x:v>
      </x:c>
    </x:row>
    <x:row r="268">
      <x:c r="A268" t="str">
        <x:v>gtja_092</x:v>
      </x:c>
      <x:c r="B268" s="22" t="n">
        <x:v>20</x:v>
      </x:c>
      <x:c r="C268" s="23" t="n">
        <x:v>0.02360047061428451</x:v>
      </x:c>
      <x:c r="D268" s="23" t="n">
        <x:v>0.07845109509203571</x:v>
      </x:c>
      <x:c r="E268" s="23" t="n">
        <x:v>0.3008303528025629</x:v>
      </x:c>
      <x:c r="F268" s="23" t="n">
        <x:v>0.6103825136612022</x:v>
      </x:c>
      <x:c r="G268" s="23" t="n">
        <x:v>0.012463861513719237</x:v>
      </x:c>
      <x:c r="H268" s="23" t="n">
        <x:v>0.18214264496182186</x:v>
      </x:c>
      <x:c r="I268" s="24" t="n">
        <x:v>1830</x:v>
      </x:c>
      <x:c r="J268" s="25" t="n">
        <x:v>46211.339528993056</x:v>
      </x:c>
      <x:c r="K268" s="24" t="n">
        <x:v>8902245</x:v>
      </x:c>
      <x:c r="L268" t="str">
        <x:v>8f7e606554926462248cbcc654181861438ca768a0063f6b317223ede37d16fb</x:v>
      </x:c>
      <x:c r="M268" t="str">
        <x:v>legacy_common_sample_8902245</x:v>
      </x:c>
      <x:c r="N268" t="str">
        <x:v>factor_report/gtja191_batch/gtja_092/ic_summary.csv</x:v>
      </x:c>
    </x:row>
    <x:row r="269">
      <x:c r="A269" t="str">
        <x:v>gtja_093</x:v>
      </x:c>
      <x:c r="B269" s="22" t="n">
        <x:v>1</x:v>
      </x:c>
      <x:c r="C269" s="23" t="n">
        <x:v>-0.019563766405308748</x:v>
      </x:c>
      <x:c r="D269" s="23" t="n">
        <x:v>0.17729481293906377</x:v>
      </x:c>
      <x:c r="E269" s="23" t="n">
        <x:v>-0.1103459603865163</x:v>
      </x:c>
      <x:c r="F269" s="23" t="n">
        <x:v>0.451</x:v>
      </x:c>
      <x:c r="G269" s="23" t="n">
        <x:v>-0.0007903135235302557</x:v>
      </x:c>
      <x:c r="H269" s="23" t="n">
        <x:v>-0.007551144900933234</x:v>
      </x:c>
      <x:c r="I269" s="24" t="n">
        <x:v>2000</x:v>
      </x:c>
      <x:c r="J269" s="25" t="n">
        <x:v>46210.543900254626</x:v>
      </x:c>
      <x:c r="K269" s="24" t="n">
        <x:v>8902245</x:v>
      </x:c>
      <x:c r="L269" t="str">
        <x:v>40355b29bce094aef0e99358bdfd4011b92e72a54440a67760de4afae4883c33</x:v>
      </x:c>
      <x:c r="M269" t="str">
        <x:v>legacy_common_sample_8902245</x:v>
      </x:c>
      <x:c r="N269" t="str">
        <x:v>factor_report/gtja191_batch/gtja_093/ic_summary.csv</x:v>
      </x:c>
    </x:row>
    <x:row r="270">
      <x:c r="A270" t="str">
        <x:v>gtja_093</x:v>
      </x:c>
      <x:c r="B270" s="22" t="n">
        <x:v>5</x:v>
      </x:c>
      <x:c r="C270" s="23" t="n">
        <x:v>-0.029259202792010844</x:v>
      </x:c>
      <x:c r="D270" s="23" t="n">
        <x:v>0.18170427001048928</x:v>
      </x:c>
      <x:c r="E270" s="23" t="n">
        <x:v>-0.16102650086495926</x:v>
      </x:c>
      <x:c r="F270" s="23" t="n">
        <x:v>0.46142284569138275</x:v>
      </x:c>
      <x:c r="G270" s="23" t="n">
        <x:v>-0.0038070597309623443</x:v>
      </x:c>
      <x:c r="H270" s="23" t="n">
        <x:v>-0.035989706322097526</x:v>
      </x:c>
      <x:c r="I270" s="24" t="n">
        <x:v>1996</x:v>
      </x:c>
      <x:c r="J270" s="25" t="n">
        <x:v>46210.543900254626</x:v>
      </x:c>
      <x:c r="K270" s="24" t="n">
        <x:v>8902245</x:v>
      </x:c>
      <x:c r="L270" t="str">
        <x:v>40355b29bce094aef0e99358bdfd4011b92e72a54440a67760de4afae4883c33</x:v>
      </x:c>
      <x:c r="M270" t="str">
        <x:v>legacy_common_sample_8902245</x:v>
      </x:c>
      <x:c r="N270" t="str">
        <x:v>factor_report/gtja191_batch/gtja_093/ic_summary.csv</x:v>
      </x:c>
    </x:row>
    <x:row r="271">
      <x:c r="A271" t="str">
        <x:v>gtja_093</x:v>
      </x:c>
      <x:c r="B271" s="22" t="n">
        <x:v>10</x:v>
      </x:c>
      <x:c r="C271" s="23" t="n">
        <x:v>-0.0374173145148579</x:v>
      </x:c>
      <x:c r="D271" s="23" t="n">
        <x:v>0.18734897299048334</x:v>
      </x:c>
      <x:c r="E271" s="23" t="n">
        <x:v>-0.1997198805928793</x:v>
      </x:c>
      <x:c r="F271" s="23" t="n">
        <x:v>0.4485183324962331</x:v>
      </x:c>
      <x:c r="G271" s="23" t="n">
        <x:v>-0.006234335879398479</x:v>
      </x:c>
      <x:c r="H271" s="23" t="n">
        <x:v>-0.05724895012179812</x:v>
      </x:c>
      <x:c r="I271" s="24" t="n">
        <x:v>1991</x:v>
      </x:c>
      <x:c r="J271" s="25" t="n">
        <x:v>46210.543900254626</x:v>
      </x:c>
      <x:c r="K271" s="24" t="n">
        <x:v>8902245</x:v>
      </x:c>
      <x:c r="L271" t="str">
        <x:v>40355b29bce094aef0e99358bdfd4011b92e72a54440a67760de4afae4883c33</x:v>
      </x:c>
      <x:c r="M271" t="str">
        <x:v>legacy_common_sample_8902245</x:v>
      </x:c>
      <x:c r="N271" t="str">
        <x:v>factor_report/gtja191_batch/gtja_093/ic_summary.csv</x:v>
      </x:c>
    </x:row>
    <x:row r="272">
      <x:c r="A272" t="str">
        <x:v>gtja_093</x:v>
      </x:c>
      <x:c r="B272" s="22" t="n">
        <x:v>20</x:v>
      </x:c>
      <x:c r="C272" s="23" t="n">
        <x:v>-0.048838455327472906</x:v>
      </x:c>
      <x:c r="D272" s="23" t="n">
        <x:v>0.18924160433601203</x:v>
      </x:c>
      <x:c r="E272" s="23" t="n">
        <x:v>-0.25807462105825696</x:v>
      </x:c>
      <x:c r="F272" s="23" t="n">
        <x:v>0.4149419485108531</x:v>
      </x:c>
      <x:c r="G272" s="23" t="n">
        <x:v>-0.010871630634093712</x:v>
      </x:c>
      <x:c r="H272" s="23" t="n">
        <x:v>-0.09734518137745847</x:v>
      </x:c>
      <x:c r="I272" s="24" t="n">
        <x:v>1981</x:v>
      </x:c>
      <x:c r="J272" s="25" t="n">
        <x:v>46210.543900254626</x:v>
      </x:c>
      <x:c r="K272" s="24" t="n">
        <x:v>8902245</x:v>
      </x:c>
      <x:c r="L272" t="str">
        <x:v>40355b29bce094aef0e99358bdfd4011b92e72a54440a67760de4afae4883c33</x:v>
      </x:c>
      <x:c r="M272" t="str">
        <x:v>legacy_common_sample_8902245</x:v>
      </x:c>
      <x:c r="N272" t="str">
        <x:v>factor_report/gtja191_batch/gtja_093/ic_summary.csv</x:v>
      </x:c>
    </x:row>
    <x:row r="273">
      <x:c r="A273" t="str">
        <x:v>gtja_094</x:v>
      </x:c>
      <x:c r="B273" s="22" t="n">
        <x:v>1</x:v>
      </x:c>
      <x:c r="C273" s="23" t="n">
        <x:v>-0.02474907693028828</x:v>
      </x:c>
      <x:c r="D273" s="23" t="n">
        <x:v>0.10761217584525566</x:v>
      </x:c>
      <x:c r="E273" s="23" t="n">
        <x:v>-0.22998398402311834</x:v>
      </x:c>
      <x:c r="F273" s="23" t="n">
        <x:v>0.4005</x:v>
      </x:c>
      <x:c r="G273" s="23" t="n">
        <x:v>-0.0073811230723976485</x:v>
      </x:c>
      <x:c r="H273" s="23" t="n">
        <x:v>-0.10254288924970782</x:v>
      </x:c>
      <x:c r="I273" s="24" t="n">
        <x:v>2000</x:v>
      </x:c>
      <x:c r="J273" s="25" t="n">
        <x:v>46210.54834915509</x:v>
      </x:c>
      <x:c r="K273" s="24" t="n">
        <x:v>8902245</x:v>
      </x:c>
      <x:c r="L273" t="str">
        <x:v>40355b29bce094aef0e99358bdfd4011b92e72a54440a67760de4afae4883c33</x:v>
      </x:c>
      <x:c r="M273" t="str">
        <x:v>legacy_common_sample_8902245</x:v>
      </x:c>
      <x:c r="N273" t="str">
        <x:v>factor_report/gtja191_batch/gtja_094/ic_summary.csv</x:v>
      </x:c>
    </x:row>
    <x:row r="274">
      <x:c r="A274" t="str">
        <x:v>gtja_094</x:v>
      </x:c>
      <x:c r="B274" s="22" t="n">
        <x:v>5</x:v>
      </x:c>
      <x:c r="C274" s="23" t="n">
        <x:v>-0.03766305454647896</x:v>
      </x:c>
      <x:c r="D274" s="23" t="n">
        <x:v>0.09930146596483377</x:v>
      </x:c>
      <x:c r="E274" s="23" t="n">
        <x:v>-0.3792799449689575</x:v>
      </x:c>
      <x:c r="F274" s="23" t="n">
        <x:v>0.3652304609218437</x:v>
      </x:c>
      <x:c r="G274" s="23" t="n">
        <x:v>-0.015683228910040377</x:v>
      </x:c>
      <x:c r="H274" s="23" t="n">
        <x:v>-0.2308310977950485</x:v>
      </x:c>
      <x:c r="I274" s="24" t="n">
        <x:v>1996</x:v>
      </x:c>
      <x:c r="J274" s="25" t="n">
        <x:v>46210.54834915509</x:v>
      </x:c>
      <x:c r="K274" s="24" t="n">
        <x:v>8902245</x:v>
      </x:c>
      <x:c r="L274" t="str">
        <x:v>40355b29bce094aef0e99358bdfd4011b92e72a54440a67760de4afae4883c33</x:v>
      </x:c>
      <x:c r="M274" t="str">
        <x:v>legacy_common_sample_8902245</x:v>
      </x:c>
      <x:c r="N274" t="str">
        <x:v>factor_report/gtja191_batch/gtja_094/ic_summary.csv</x:v>
      </x:c>
    </x:row>
    <x:row r="275">
      <x:c r="A275" t="str">
        <x:v>gtja_094</x:v>
      </x:c>
      <x:c r="B275" s="22" t="n">
        <x:v>10</x:v>
      </x:c>
      <x:c r="C275" s="23" t="n">
        <x:v>-0.04507588483173755</x:v>
      </x:c>
      <x:c r="D275" s="23" t="n">
        <x:v>0.09816873023586732</x:v>
      </x:c>
      <x:c r="E275" s="23" t="n">
        <x:v>-0.4591674428653091</x:v>
      </x:c>
      <x:c r="F275" s="23" t="n">
        <x:v>0.3174284279256655</x:v>
      </x:c>
      <x:c r="G275" s="23" t="n">
        <x:v>-0.019840213945172033</x:v>
      </x:c>
      <x:c r="H275" s="23" t="n">
        <x:v>-0.29975605182832465</x:v>
      </x:c>
      <x:c r="I275" s="24" t="n">
        <x:v>1991</x:v>
      </x:c>
      <x:c r="J275" s="25" t="n">
        <x:v>46210.54834915509</x:v>
      </x:c>
      <x:c r="K275" s="24" t="n">
        <x:v>8902245</x:v>
      </x:c>
      <x:c r="L275" t="str">
        <x:v>40355b29bce094aef0e99358bdfd4011b92e72a54440a67760de4afae4883c33</x:v>
      </x:c>
      <x:c r="M275" t="str">
        <x:v>legacy_common_sample_8902245</x:v>
      </x:c>
      <x:c r="N275" t="str">
        <x:v>factor_report/gtja191_batch/gtja_094/ic_summary.csv</x:v>
      </x:c>
    </x:row>
    <x:row r="276">
      <x:c r="A276" t="str">
        <x:v>gtja_094</x:v>
      </x:c>
      <x:c r="B276" s="22" t="n">
        <x:v>20</x:v>
      </x:c>
      <x:c r="C276" s="23" t="n">
        <x:v>-0.05899909339437195</x:v>
      </x:c>
      <x:c r="D276" s="23" t="n">
        <x:v>0.10069114206881495</x:v>
      </x:c>
      <x:c r="E276" s="23" t="n">
        <x:v>-0.5859412474838197</x:v>
      </x:c>
      <x:c r="F276" s="23" t="n">
        <x:v>0.27713276123170116</x:v>
      </x:c>
      <x:c r="G276" s="23" t="n">
        <x:v>-0.027378800087045102</x:v>
      </x:c>
      <x:c r="H276" s="23" t="n">
        <x:v>-0.40884684121279147</x:v>
      </x:c>
      <x:c r="I276" s="24" t="n">
        <x:v>1981</x:v>
      </x:c>
      <x:c r="J276" s="25" t="n">
        <x:v>46210.54834915509</x:v>
      </x:c>
      <x:c r="K276" s="24" t="n">
        <x:v>8902245</x:v>
      </x:c>
      <x:c r="L276" t="str">
        <x:v>40355b29bce094aef0e99358bdfd4011b92e72a54440a67760de4afae4883c33</x:v>
      </x:c>
      <x:c r="M276" t="str">
        <x:v>legacy_common_sample_8902245</x:v>
      </x:c>
      <x:c r="N276" t="str">
        <x:v>factor_report/gtja191_batch/gtja_094/ic_summary.csv</x:v>
      </x:c>
    </x:row>
    <x:row r="277">
      <x:c r="A277" t="str">
        <x:v>gtja_095</x:v>
      </x:c>
      <x:c r="B277" s="22" t="n">
        <x:v>1</x:v>
      </x:c>
      <x:c r="C277" s="23" t="n">
        <x:v>-0.04753124147951448</x:v>
      </x:c>
      <x:c r="D277" s="23" t="n">
        <x:v>0.14113391326711552</x:v>
      </x:c>
      <x:c r="E277" s="23" t="n">
        <x:v>-0.3367811490464025</x:v>
      </x:c>
      <x:c r="F277" s="23" t="n">
        <x:v>0.3505</x:v>
      </x:c>
      <x:c r="G277" s="23" t="n">
        <x:v>-0.011984259347069419</x:v>
      </x:c>
      <x:c r="H277" s="23" t="n">
        <x:v>-0.126486198065711</x:v>
      </x:c>
      <x:c r="I277" s="24" t="n">
        <x:v>2000</x:v>
      </x:c>
      <x:c r="J277" s="25" t="n">
        <x:v>46210.552701967594</x:v>
      </x:c>
      <x:c r="K277" s="24" t="n">
        <x:v>8902245</x:v>
      </x:c>
      <x:c r="L277" t="str">
        <x:v>40355b29bce094aef0e99358bdfd4011b92e72a54440a67760de4afae4883c33</x:v>
      </x:c>
      <x:c r="M277" t="str">
        <x:v>legacy_common_sample_8902245</x:v>
      </x:c>
      <x:c r="N277" t="str">
        <x:v>factor_report/gtja191_batch/gtja_095/ic_summary.csv</x:v>
      </x:c>
    </x:row>
    <x:row r="278">
      <x:c r="A278" t="str">
        <x:v>gtja_095</x:v>
      </x:c>
      <x:c r="B278" s="22" t="n">
        <x:v>5</x:v>
      </x:c>
      <x:c r="C278" s="23" t="n">
        <x:v>-0.07331536821708363</x:v>
      </x:c>
      <x:c r="D278" s="23" t="n">
        <x:v>0.14077378962152806</x:v>
      </x:c>
      <x:c r="E278" s="23" t="n">
        <x:v>-0.5208026892945969</x:v>
      </x:c>
      <x:c r="F278" s="23" t="n">
        <x:v>0.30060120240480964</x:v>
      </x:c>
      <x:c r="G278" s="23" t="n">
        <x:v>-0.024208314408942333</x:v>
      </x:c>
      <x:c r="H278" s="23" t="n">
        <x:v>-0.2572881309042293</x:v>
      </x:c>
      <x:c r="I278" s="24" t="n">
        <x:v>1996</x:v>
      </x:c>
      <x:c r="J278" s="25" t="n">
        <x:v>46210.552701967594</x:v>
      </x:c>
      <x:c r="K278" s="24" t="n">
        <x:v>8902245</x:v>
      </x:c>
      <x:c r="L278" t="str">
        <x:v>40355b29bce094aef0e99358bdfd4011b92e72a54440a67760de4afae4883c33</x:v>
      </x:c>
      <x:c r="M278" t="str">
        <x:v>legacy_common_sample_8902245</x:v>
      </x:c>
      <x:c r="N278" t="str">
        <x:v>factor_report/gtja191_batch/gtja_095/ic_summary.csv</x:v>
      </x:c>
    </x:row>
    <x:row r="279">
      <x:c r="A279" t="str">
        <x:v>gtja_095</x:v>
      </x:c>
      <x:c r="B279" s="22" t="n">
        <x:v>10</x:v>
      </x:c>
      <x:c r="C279" s="23" t="n">
        <x:v>-0.08771344028321716</x:v>
      </x:c>
      <x:c r="D279" s="23" t="n">
        <x:v>0.1441482190729027</x:v>
      </x:c>
      <x:c r="E279" s="23" t="n">
        <x:v>-0.6084947899276941</x:v>
      </x:c>
      <x:c r="F279" s="23" t="n">
        <x:v>0.27071823204419887</x:v>
      </x:c>
      <x:c r="G279" s="23" t="n">
        <x:v>-0.030328495999467023</x:v>
      </x:c>
      <x:c r="H279" s="23" t="n">
        <x:v>-0.3167190072356366</x:v>
      </x:c>
      <x:c r="I279" s="24" t="n">
        <x:v>1991</x:v>
      </x:c>
      <x:c r="J279" s="25" t="n">
        <x:v>46210.552701967594</x:v>
      </x:c>
      <x:c r="K279" s="24" t="n">
        <x:v>8902245</x:v>
      </x:c>
      <x:c r="L279" t="str">
        <x:v>40355b29bce094aef0e99358bdfd4011b92e72a54440a67760de4afae4883c33</x:v>
      </x:c>
      <x:c r="M279" t="str">
        <x:v>legacy_common_sample_8902245</x:v>
      </x:c>
      <x:c r="N279" t="str">
        <x:v>factor_report/gtja191_batch/gtja_095/ic_summary.csv</x:v>
      </x:c>
    </x:row>
    <x:row r="280">
      <x:c r="A280" t="str">
        <x:v>gtja_095</x:v>
      </x:c>
      <x:c r="B280" s="22" t="n">
        <x:v>20</x:v>
      </x:c>
      <x:c r="C280" s="23" t="n">
        <x:v>-0.105969151091301</x:v>
      </x:c>
      <x:c r="D280" s="23" t="n">
        <x:v>0.15069290894524742</x:v>
      </x:c>
      <x:c r="E280" s="23" t="n">
        <x:v>-0.7032125919727498</x:v>
      </x:c>
      <x:c r="F280" s="23" t="n">
        <x:v>0.24280666330136294</x:v>
      </x:c>
      <x:c r="G280" s="23" t="n">
        <x:v>-0.036968472511070265</x:v>
      </x:c>
      <x:c r="H280" s="23" t="n">
        <x:v>-0.3695029070288653</x:v>
      </x:c>
      <x:c r="I280" s="24" t="n">
        <x:v>1981</x:v>
      </x:c>
      <x:c r="J280" s="25" t="n">
        <x:v>46210.552701967594</x:v>
      </x:c>
      <x:c r="K280" s="24" t="n">
        <x:v>8902245</x:v>
      </x:c>
      <x:c r="L280" t="str">
        <x:v>40355b29bce094aef0e99358bdfd4011b92e72a54440a67760de4afae4883c33</x:v>
      </x:c>
      <x:c r="M280" t="str">
        <x:v>legacy_common_sample_8902245</x:v>
      </x:c>
      <x:c r="N280" t="str">
        <x:v>factor_report/gtja191_batch/gtja_095/ic_summary.csv</x:v>
      </x:c>
    </x:row>
    <x:row r="281">
      <x:c r="A281" t="str">
        <x:v>gtja_096</x:v>
      </x:c>
      <x:c r="B281" s="22" t="n">
        <x:v>10</x:v>
      </x:c>
      <x:c r="C281" s="23" t="n">
        <x:v>-0.019271218597420786</x:v>
      </x:c>
      <x:c r="D281" s="23" t="n">
        <x:v>0.12348850301471394</x:v>
      </x:c>
      <x:c r="E281" s="23" t="n">
        <x:v>-0.1560567836434504</x:v>
      </x:c>
      <x:c r="F281" s="23" t="n">
        <x:v>0.44701155198392767</x:v>
      </x:c>
      <x:c r="G281" s="23" t="n">
        <x:v>-0.008787530753116446</x:v>
      </x:c>
      <x:c r="H281" s="23" t="n">
        <x:v>-0.08319278621972914</x:v>
      </x:c>
      <x:c r="I281" s="24" t="n">
        <x:v>1991</x:v>
      </x:c>
      <x:c r="J281" s="25" t="n">
        <x:v>46211.3433033912</x:v>
      </x:c>
      <x:c r="K281" s="24" t="n">
        <x:v>8902245</x:v>
      </x:c>
      <x:c r="L281" t="str">
        <x:v>8f7e606554926462248cbcc654181861438ca768a0063f6b317223ede37d16fb</x:v>
      </x:c>
      <x:c r="M281" t="str">
        <x:v>legacy_common_sample_8902245</x:v>
      </x:c>
      <x:c r="N281" t="str">
        <x:v>factor_report/gtja191_batch/gtja_096/ic_summary.csv</x:v>
      </x:c>
    </x:row>
    <x:row r="282">
      <x:c r="A282" t="str">
        <x:v>gtja_096</x:v>
      </x:c>
      <x:c r="B282" s="22" t="n">
        <x:v>20</x:v>
      </x:c>
      <x:c r="C282" s="23" t="n">
        <x:v>-0.024734146091325928</x:v>
      </x:c>
      <x:c r="D282" s="23" t="n">
        <x:v>0.1261525972250322</x:v>
      </x:c>
      <x:c r="E282" s="23" t="n">
        <x:v>-0.19606529421827856</x:v>
      </x:c>
      <x:c r="F282" s="23" t="n">
        <x:v>0.44926804644119134</x:v>
      </x:c>
      <x:c r="G282" s="23" t="n">
        <x:v>-0.013362805894152022</x:v>
      </x:c>
      <x:c r="H282" s="23" t="n">
        <x:v>-0.12387441235259407</x:v>
      </x:c>
      <x:c r="I282" s="24" t="n">
        <x:v>1981</x:v>
      </x:c>
      <x:c r="J282" s="25" t="n">
        <x:v>46211.3433033912</x:v>
      </x:c>
      <x:c r="K282" s="24" t="n">
        <x:v>8902245</x:v>
      </x:c>
      <x:c r="L282" t="str">
        <x:v>8f7e606554926462248cbcc654181861438ca768a0063f6b317223ede37d16fb</x:v>
      </x:c>
      <x:c r="M282" t="str">
        <x:v>legacy_common_sample_8902245</x:v>
      </x:c>
      <x:c r="N282" t="str">
        <x:v>factor_report/gtja191_batch/gtja_096/ic_summary.csv</x:v>
      </x:c>
    </x:row>
    <x:row r="283">
      <x:c r="A283" t="str">
        <x:v>gtja_097</x:v>
      </x:c>
      <x:c r="B283" s="22" t="n">
        <x:v>1</x:v>
      </x:c>
      <x:c r="C283" s="23" t="n">
        <x:v>-0.03532552806568151</x:v>
      </x:c>
      <x:c r="D283" s="23" t="n">
        <x:v>0.11300004558093152</x:v>
      </x:c>
      <x:c r="E283" s="23" t="n">
        <x:v>-0.31261516651673465</x:v>
      </x:c>
      <x:c r="F283" s="23" t="n">
        <x:v>0.3645</x:v>
      </x:c>
      <x:c r="G283" s="23" t="n">
        <x:v>-0.012462132070351238</x:v>
      </x:c>
      <x:c r="H283" s="23" t="n">
        <x:v>-0.16854467356977973</x:v>
      </x:c>
      <x:c r="I283" s="24" t="n">
        <x:v>2000</x:v>
      </x:c>
      <x:c r="J283" s="25" t="n">
        <x:v>46210.56247660879</x:v>
      </x:c>
      <x:c r="K283" s="24" t="n">
        <x:v>8902245</x:v>
      </x:c>
      <x:c r="L283" t="str">
        <x:v>40355b29bce094aef0e99358bdfd4011b92e72a54440a67760de4afae4883c33</x:v>
      </x:c>
      <x:c r="M283" t="str">
        <x:v>legacy_common_sample_8902245</x:v>
      </x:c>
      <x:c r="N283" t="str">
        <x:v>factor_report/gtja191_batch/gtja_097/ic_summary.csv</x:v>
      </x:c>
    </x:row>
    <x:row r="284">
      <x:c r="A284" t="str">
        <x:v>gtja_097</x:v>
      </x:c>
      <x:c r="B284" s="22" t="n">
        <x:v>5</x:v>
      </x:c>
      <x:c r="C284" s="23" t="n">
        <x:v>-0.05356832684070194</x:v>
      </x:c>
      <x:c r="D284" s="23" t="n">
        <x:v>0.11532928119474124</x:v>
      </x:c>
      <x:c r="E284" s="23" t="n">
        <x:v>-0.4644815807899489</x:v>
      </x:c>
      <x:c r="F284" s="23" t="n">
        <x:v>0.3046092184368738</x:v>
      </x:c>
      <x:c r="G284" s="23" t="n">
        <x:v>-0.02325302910022705</x:v>
      </x:c>
      <x:c r="H284" s="23" t="n">
        <x:v>-0.3186145680396801</x:v>
      </x:c>
      <x:c r="I284" s="24" t="n">
        <x:v>1996</x:v>
      </x:c>
      <x:c r="J284" s="25" t="n">
        <x:v>46210.56247660879</x:v>
      </x:c>
      <x:c r="K284" s="24" t="n">
        <x:v>8902245</x:v>
      </x:c>
      <x:c r="L284" t="str">
        <x:v>40355b29bce094aef0e99358bdfd4011b92e72a54440a67760de4afae4883c33</x:v>
      </x:c>
      <x:c r="M284" t="str">
        <x:v>legacy_common_sample_8902245</x:v>
      </x:c>
      <x:c r="N284" t="str">
        <x:v>factor_report/gtja191_batch/gtja_097/ic_summary.csv</x:v>
      </x:c>
    </x:row>
    <x:row r="285">
      <x:c r="A285" t="str">
        <x:v>gtja_097</x:v>
      </x:c>
      <x:c r="B285" s="22" t="n">
        <x:v>10</x:v>
      </x:c>
      <x:c r="C285" s="23" t="n">
        <x:v>-0.06181873112019193</x:v>
      </x:c>
      <x:c r="D285" s="23" t="n">
        <x:v>0.11410947849101559</x:v>
      </x:c>
      <x:c r="E285" s="23" t="n">
        <x:v>-0.5417493089766353</x:v>
      </x:c>
      <x:c r="F285" s="23" t="n">
        <x:v>0.27071823204419887</x:v>
      </x:c>
      <x:c r="G285" s="23" t="n">
        <x:v>-0.028328322957232505</x:v>
      </x:c>
      <x:c r="H285" s="23" t="n">
        <x:v>-0.3973865605499423</x:v>
      </x:c>
      <x:c r="I285" s="24" t="n">
        <x:v>1991</x:v>
      </x:c>
      <x:c r="J285" s="25" t="n">
        <x:v>46210.56247660879</x:v>
      </x:c>
      <x:c r="K285" s="24" t="n">
        <x:v>8902245</x:v>
      </x:c>
      <x:c r="L285" t="str">
        <x:v>40355b29bce094aef0e99358bdfd4011b92e72a54440a67760de4afae4883c33</x:v>
      </x:c>
      <x:c r="M285" t="str">
        <x:v>legacy_common_sample_8902245</x:v>
      </x:c>
      <x:c r="N285" t="str">
        <x:v>factor_report/gtja191_batch/gtja_097/ic_summary.csv</x:v>
      </x:c>
    </x:row>
    <x:row r="286">
      <x:c r="A286" t="str">
        <x:v>gtja_097</x:v>
      </x:c>
      <x:c r="B286" s="22" t="n">
        <x:v>20</x:v>
      </x:c>
      <x:c r="C286" s="23" t="n">
        <x:v>-0.07161198384764317</x:v>
      </x:c>
      <x:c r="D286" s="23" t="n">
        <x:v>0.11078584357941788</x:v>
      </x:c>
      <x:c r="E286" s="23" t="n">
        <x:v>-0.6464001314058455</x:v>
      </x:c>
      <x:c r="F286" s="23" t="n">
        <x:v>0.2629984856133266</x:v>
      </x:c>
      <x:c r="G286" s="23" t="n">
        <x:v>-0.03379655198093672</x:v>
      </x:c>
      <x:c r="H286" s="23" t="n">
        <x:v>-0.4873622436744548</x:v>
      </x:c>
      <x:c r="I286" s="24" t="n">
        <x:v>1981</x:v>
      </x:c>
      <x:c r="J286" s="25" t="n">
        <x:v>46210.56247660879</x:v>
      </x:c>
      <x:c r="K286" s="24" t="n">
        <x:v>8902245</x:v>
      </x:c>
      <x:c r="L286" t="str">
        <x:v>40355b29bce094aef0e99358bdfd4011b92e72a54440a67760de4afae4883c33</x:v>
      </x:c>
      <x:c r="M286" t="str">
        <x:v>legacy_common_sample_8902245</x:v>
      </x:c>
      <x:c r="N286" t="str">
        <x:v>factor_report/gtja191_batch/gtja_097/ic_summary.csv</x:v>
      </x:c>
    </x:row>
    <x:row r="287">
      <x:c r="A287" t="str">
        <x:v>gtja_098</x:v>
      </x:c>
      <x:c r="B287" s="22" t="n">
        <x:v>10</x:v>
      </x:c>
      <x:c r="C287" s="23" t="n">
        <x:v>0.029519967003921076</x:v>
      </x:c>
      <x:c r="D287" s="23" t="n">
        <x:v>0.10716074914773877</x:v>
      </x:c>
      <x:c r="E287" s="23" t="n">
        <x:v>0.27547369012158485</x:v>
      </x:c>
      <x:c r="F287" s="23" t="n">
        <x:v>0.6112506278252134</x:v>
      </x:c>
      <x:c r="G287" s="23" t="n">
        <x:v>0.019006160800267687</x:v>
      </x:c>
      <x:c r="H287" s="23" t="n">
        <x:v>0.27274099341698826</x:v>
      </x:c>
      <x:c r="I287" s="24" t="n">
        <x:v>1991</x:v>
      </x:c>
      <x:c r="J287" s="25" t="n">
        <x:v>46211.34572662037</x:v>
      </x:c>
      <x:c r="K287" s="24" t="n">
        <x:v>8902245</x:v>
      </x:c>
      <x:c r="L287" t="str">
        <x:v>8f7e606554926462248cbcc654181861438ca768a0063f6b317223ede37d16fb</x:v>
      </x:c>
      <x:c r="M287" t="str">
        <x:v>legacy_common_sample_8902245</x:v>
      </x:c>
      <x:c r="N287" t="str">
        <x:v>factor_report/gtja191_batch/gtja_098/ic_summary.csv</x:v>
      </x:c>
    </x:row>
    <x:row r="288">
      <x:c r="A288" t="str">
        <x:v>gtja_098</x:v>
      </x:c>
      <x:c r="B288" s="22" t="n">
        <x:v>20</x:v>
      </x:c>
      <x:c r="C288" s="23" t="n">
        <x:v>0.03461128060512544</x:v>
      </x:c>
      <x:c r="D288" s="23" t="n">
        <x:v>0.1071797678042114</x:v>
      </x:c>
      <x:c r="E288" s="23" t="n">
        <x:v>0.32292737066151267</x:v>
      </x:c>
      <x:c r="F288" s="23" t="n">
        <x:v>0.6274608783442706</x:v>
      </x:c>
      <x:c r="G288" s="23" t="n">
        <x:v>0.021525996097851705</x:v>
      </x:c>
      <x:c r="H288" s="23" t="n">
        <x:v>0.30392466114727695</x:v>
      </x:c>
      <x:c r="I288" s="24" t="n">
        <x:v>1981</x:v>
      </x:c>
      <x:c r="J288" s="25" t="n">
        <x:v>46211.34572662037</x:v>
      </x:c>
      <x:c r="K288" s="24" t="n">
        <x:v>8902245</x:v>
      </x:c>
      <x:c r="L288" t="str">
        <x:v>8f7e606554926462248cbcc654181861438ca768a0063f6b317223ede37d16fb</x:v>
      </x:c>
      <x:c r="M288" t="str">
        <x:v>legacy_common_sample_8902245</x:v>
      </x:c>
      <x:c r="N288" t="str">
        <x:v>factor_report/gtja191_batch/gtja_098/ic_summary.csv</x:v>
      </x:c>
    </x:row>
    <x:row r="289">
      <x:c r="A289" t="str">
        <x:v>gtja_099</x:v>
      </x:c>
      <x:c r="B289" s="22" t="n">
        <x:v>10</x:v>
      </x:c>
      <x:c r="C289" s="23" t="n">
        <x:v>0.05085190347772375</x:v>
      </x:c>
      <x:c r="D289" s="23" t="n">
        <x:v>0.06362683782511426</x:v>
      </x:c>
      <x:c r="E289" s="23" t="n">
        <x:v>0.799220976806927</x:v>
      </x:c>
      <x:c r="F289" s="23" t="n">
        <x:v>0.8011049723756906</x:v>
      </x:c>
      <x:c r="G289" s="23" t="n">
        <x:v>0.02235359328550537</x:v>
      </x:c>
      <x:c r="H289" s="23" t="n">
        <x:v>0.390678935390109</x:v>
      </x:c>
      <x:c r="I289" s="24" t="n">
        <x:v>1991</x:v>
      </x:c>
      <x:c r="J289" s="25" t="n">
        <x:v>46211.34822918982</x:v>
      </x:c>
      <x:c r="K289" s="24" t="n">
        <x:v>8902245</x:v>
      </x:c>
      <x:c r="L289" t="str">
        <x:v>8f7e606554926462248cbcc654181861438ca768a0063f6b317223ede37d16fb</x:v>
      </x:c>
      <x:c r="M289" t="str">
        <x:v>legacy_common_sample_8902245</x:v>
      </x:c>
      <x:c r="N289" t="str">
        <x:v>factor_report/gtja191_batch/gtja_099/ic_summary.csv</x:v>
      </x:c>
    </x:row>
    <x:row r="290">
      <x:c r="A290" t="str">
        <x:v>gtja_099</x:v>
      </x:c>
      <x:c r="B290" s="22" t="n">
        <x:v>20</x:v>
      </x:c>
      <x:c r="C290" s="23" t="n">
        <x:v>0.05377091383717746</x:v>
      </x:c>
      <x:c r="D290" s="23" t="n">
        <x:v>0.06086357969076099</x:v>
      </x:c>
      <x:c r="E290" s="23" t="n">
        <x:v>0.8834661732086687</x:v>
      </x:c>
      <x:c r="F290" s="23" t="n">
        <x:v>0.8096920747097426</x:v>
      </x:c>
      <x:c r="G290" s="23" t="n">
        <x:v>0.025400174579974764</x:v>
      </x:c>
      <x:c r="H290" s="23" t="n">
        <x:v>0.46386913694587983</x:v>
      </x:c>
      <x:c r="I290" s="24" t="n">
        <x:v>1981</x:v>
      </x:c>
      <x:c r="J290" s="25" t="n">
        <x:v>46211.34822918982</x:v>
      </x:c>
      <x:c r="K290" s="24" t="n">
        <x:v>8902245</x:v>
      </x:c>
      <x:c r="L290" t="str">
        <x:v>8f7e606554926462248cbcc654181861438ca768a0063f6b317223ede37d16fb</x:v>
      </x:c>
      <x:c r="M290" t="str">
        <x:v>legacy_common_sample_8902245</x:v>
      </x:c>
      <x:c r="N290" t="str">
        <x:v>factor_report/gtja191_batch/gtja_099/ic_summary.csv</x:v>
      </x:c>
    </x:row>
    <x:row r="291">
      <x:c r="A291" t="str">
        <x:v>gtja_100</x:v>
      </x:c>
      <x:c r="B291" s="22" t="n">
        <x:v>1</x:v>
      </x:c>
      <x:c r="C291" s="23" t="n">
        <x:v>-0.031128903404202553</x:v>
      </x:c>
      <x:c r="D291" s="23" t="n">
        <x:v>0.1131469466346593</x:v>
      </x:c>
      <x:c r="E291" s="23" t="n">
        <x:v>-0.27511925270696713</x:v>
      </x:c>
      <x:c r="F291" s="23" t="n">
        <x:v>0.3785</x:v>
      </x:c>
      <x:c r="G291" s="23" t="n">
        <x:v>-0.011241422894140748</x:v>
      </x:c>
      <x:c r="H291" s="23" t="n">
        <x:v>-0.15360598792063915</x:v>
      </x:c>
      <x:c r="I291" s="24" t="n">
        <x:v>2000</x:v>
      </x:c>
      <x:c r="J291" s="25" t="n">
        <x:v>46210.57471123843</x:v>
      </x:c>
      <x:c r="K291" s="24" t="n">
        <x:v>8902245</x:v>
      </x:c>
      <x:c r="L291" t="str">
        <x:v>40355b29bce094aef0e99358bdfd4011b92e72a54440a67760de4afae4883c33</x:v>
      </x:c>
      <x:c r="M291" t="str">
        <x:v>legacy_common_sample_8902245</x:v>
      </x:c>
      <x:c r="N291" t="str">
        <x:v>factor_report/gtja191_batch/gtja_100/ic_summary.csv</x:v>
      </x:c>
    </x:row>
    <x:row r="292">
      <x:c r="A292" t="str">
        <x:v>gtja_100</x:v>
      </x:c>
      <x:c r="B292" s="22" t="n">
        <x:v>5</x:v>
      </x:c>
      <x:c r="C292" s="23" t="n">
        <x:v>-0.04902324119801506</x:v>
      </x:c>
      <x:c r="D292" s="23" t="n">
        <x:v>0.11593442760293625</x:v>
      </x:c>
      <x:c r="E292" s="23" t="n">
        <x:v>-0.42285317840111075</x:v>
      </x:c>
      <x:c r="F292" s="23" t="n">
        <x:v>0.32615230460921846</x:v>
      </x:c>
      <x:c r="G292" s="23" t="n">
        <x:v>-0.02193543976541335</x:v>
      </x:c>
      <x:c r="H292" s="23" t="n">
        <x:v>-0.30086761805430046</x:v>
      </x:c>
      <x:c r="I292" s="24" t="n">
        <x:v>1996</x:v>
      </x:c>
      <x:c r="J292" s="25" t="n">
        <x:v>46210.57471123843</x:v>
      </x:c>
      <x:c r="K292" s="24" t="n">
        <x:v>8902245</x:v>
      </x:c>
      <x:c r="L292" t="str">
        <x:v>40355b29bce094aef0e99358bdfd4011b92e72a54440a67760de4afae4883c33</x:v>
      </x:c>
      <x:c r="M292" t="str">
        <x:v>legacy_common_sample_8902245</x:v>
      </x:c>
      <x:c r="N292" t="str">
        <x:v>factor_report/gtja191_batch/gtja_100/ic_summary.csv</x:v>
      </x:c>
    </x:row>
    <x:row r="293">
      <x:c r="A293" t="str">
        <x:v>gtja_100</x:v>
      </x:c>
      <x:c r="B293" s="22" t="n">
        <x:v>10</x:v>
      </x:c>
      <x:c r="C293" s="23" t="n">
        <x:v>-0.05734235822146127</x:v>
      </x:c>
      <x:c r="D293" s="23" t="n">
        <x:v>0.11369962468884873</x:v>
      </x:c>
      <x:c r="E293" s="23" t="n">
        <x:v>-0.5043319921097789</x:v>
      </x:c>
      <x:c r="F293" s="23" t="n">
        <x:v>0.2933199397287795</x:v>
      </x:c>
      <x:c r="G293" s="23" t="n">
        <x:v>-0.027055506842539476</x:v>
      </x:c>
      <x:c r="H293" s="23" t="n">
        <x:v>-0.37765348154942463</x:v>
      </x:c>
      <x:c r="I293" s="24" t="n">
        <x:v>1991</x:v>
      </x:c>
      <x:c r="J293" s="25" t="n">
        <x:v>46210.57471123843</x:v>
      </x:c>
      <x:c r="K293" s="24" t="n">
        <x:v>8902245</x:v>
      </x:c>
      <x:c r="L293" t="str">
        <x:v>40355b29bce094aef0e99358bdfd4011b92e72a54440a67760de4afae4883c33</x:v>
      </x:c>
      <x:c r="M293" t="str">
        <x:v>legacy_common_sample_8902245</x:v>
      </x:c>
      <x:c r="N293" t="str">
        <x:v>factor_report/gtja191_batch/gtja_100/ic_summary.csv</x:v>
      </x:c>
    </x:row>
    <x:row r="294">
      <x:c r="A294" t="str">
        <x:v>gtja_100</x:v>
      </x:c>
      <x:c r="B294" s="22" t="n">
        <x:v>20</x:v>
      </x:c>
      <x:c r="C294" s="23" t="n">
        <x:v>-0.06784085347520025</x:v>
      </x:c>
      <x:c r="D294" s="23" t="n">
        <x:v>0.11006825550796548</x:v>
      </x:c>
      <x:c r="E294" s="23" t="n">
        <x:v>-0.6163525819693827</x:v>
      </x:c>
      <x:c r="F294" s="23" t="n">
        <x:v>0.2756183745583039</x:v>
      </x:c>
      <x:c r="G294" s="23" t="n">
        <x:v>-0.03199033881805518</x:v>
      </x:c>
      <x:c r="H294" s="23" t="n">
        <x:v>-0.45306963708695036</x:v>
      </x:c>
      <x:c r="I294" s="24" t="n">
        <x:v>1981</x:v>
      </x:c>
      <x:c r="J294" s="25" t="n">
        <x:v>46210.57471123843</x:v>
      </x:c>
      <x:c r="K294" s="24" t="n">
        <x:v>8902245</x:v>
      </x:c>
      <x:c r="L294" t="str">
        <x:v>40355b29bce094aef0e99358bdfd4011b92e72a54440a67760de4afae4883c33</x:v>
      </x:c>
      <x:c r="M294" t="str">
        <x:v>legacy_common_sample_8902245</x:v>
      </x:c>
      <x:c r="N294" t="str">
        <x:v>factor_report/gtja191_batch/gtja_100/ic_summary.csv</x:v>
      </x:c>
    </x:row>
    <x:row r="295">
      <x:c r="A295" t="str">
        <x:v>gtja_101</x:v>
      </x:c>
      <x:c r="B295" s="22" t="n">
        <x:v>10</x:v>
      </x:c>
      <x:c r="C295" s="23" t="n">
        <x:v>0.02186142074971069</x:v>
      </x:c>
      <x:c r="D295" s="23" t="n">
        <x:v>0.05539518381716089</x:v>
      </x:c>
      <x:c r="E295" s="23" t="n">
        <x:v>0.3946447911765613</x:v>
      </x:c>
      <x:c r="F295" s="23" t="n">
        <x:v>0.6598984771573604</x:v>
      </x:c>
      <x:c r="G295" s="23" t="n">
        <x:v>0.00847595045019612</x:v>
      </x:c>
      <x:c r="H295" s="23" t="n">
        <x:v>0.18420296965357227</x:v>
      </x:c>
      <x:c r="I295" s="24" t="n">
        <x:v>1970</x:v>
      </x:c>
      <x:c r="J295" s="25" t="n">
        <x:v>46211.35053340278</x:v>
      </x:c>
      <x:c r="K295" s="24" t="n">
        <x:v>8902245</x:v>
      </x:c>
      <x:c r="L295" t="str">
        <x:v>8f7e606554926462248cbcc654181861438ca768a0063f6b317223ede37d16fb</x:v>
      </x:c>
      <x:c r="M295" t="str">
        <x:v>legacy_common_sample_8902245</x:v>
      </x:c>
      <x:c r="N295" t="str">
        <x:v>factor_report/gtja191_batch/gtja_101/ic_summary.csv</x:v>
      </x:c>
    </x:row>
    <x:row r="296">
      <x:c r="A296" t="str">
        <x:v>gtja_101</x:v>
      </x:c>
      <x:c r="B296" s="22" t="n">
        <x:v>20</x:v>
      </x:c>
      <x:c r="C296" s="23" t="n">
        <x:v>0.024210244793398127</x:v>
      </x:c>
      <x:c r="D296" s="23" t="n">
        <x:v>0.056029940687683</x:v>
      </x:c>
      <x:c r="E296" s="23" t="n">
        <x:v>0.4320947781891948</x:v>
      </x:c>
      <x:c r="F296" s="23" t="n">
        <x:v>0.6678571428571428</x:v>
      </x:c>
      <x:c r="G296" s="23" t="n">
        <x:v>0.010982358911862194</x:v>
      </x:c>
      <x:c r="H296" s="23" t="n">
        <x:v>0.2307257816810398</x:v>
      </x:c>
      <x:c r="I296" s="24" t="n">
        <x:v>1960</x:v>
      </x:c>
      <x:c r="J296" s="25" t="n">
        <x:v>46211.35053340278</x:v>
      </x:c>
      <x:c r="K296" s="24" t="n">
        <x:v>8902245</x:v>
      </x:c>
      <x:c r="L296" t="str">
        <x:v>8f7e606554926462248cbcc654181861438ca768a0063f6b317223ede37d16fb</x:v>
      </x:c>
      <x:c r="M296" t="str">
        <x:v>legacy_common_sample_8902245</x:v>
      </x:c>
      <x:c r="N296" t="str">
        <x:v>factor_report/gtja191_batch/gtja_101/ic_summary.csv</x:v>
      </x:c>
    </x:row>
    <x:row r="297">
      <x:c r="A297" t="str">
        <x:v>gtja_102</x:v>
      </x:c>
      <x:c r="B297" s="22" t="n">
        <x:v>1</x:v>
      </x:c>
      <x:c r="C297" s="23" t="n">
        <x:v>-0.026220389903831815</x:v>
      </x:c>
      <x:c r="D297" s="23" t="n">
        <x:v>0.09115886649878942</x:v>
      </x:c>
      <x:c r="E297" s="23" t="n">
        <x:v>-0.28763400545552</x:v>
      </x:c>
      <x:c r="F297" s="23" t="n">
        <x:v>0.3715</x:v>
      </x:c>
      <x:c r="G297" s="23" t="n">
        <x:v>-0.017823841472461105</x:v>
      </x:c>
      <x:c r="H297" s="23" t="n">
        <x:v>-0.21970461847223544</x:v>
      </x:c>
      <x:c r="I297" s="24" t="n">
        <x:v>2000</x:v>
      </x:c>
      <x:c r="J297" s="25" t="n">
        <x:v>46210.58357934028</x:v>
      </x:c>
      <x:c r="K297" s="24" t="n">
        <x:v>8902245</x:v>
      </x:c>
      <x:c r="L297" t="str">
        <x:v>40355b29bce094aef0e99358bdfd4011b92e72a54440a67760de4afae4883c33</x:v>
      </x:c>
      <x:c r="M297" t="str">
        <x:v>legacy_common_sample_8902245</x:v>
      </x:c>
      <x:c r="N297" t="str">
        <x:v>factor_report/gtja191_batch/gtja_102/ic_summary.csv</x:v>
      </x:c>
    </x:row>
    <x:row r="298">
      <x:c r="A298" t="str">
        <x:v>gtja_102</x:v>
      </x:c>
      <x:c r="B298" s="22" t="n">
        <x:v>5</x:v>
      </x:c>
      <x:c r="C298" s="23" t="n">
        <x:v>-0.02261074637807211</x:v>
      </x:c>
      <x:c r="D298" s="23" t="n">
        <x:v>0.08383631979732782</x:v>
      </x:c>
      <x:c r="E298" s="23" t="n">
        <x:v>-0.2697010845983342</x:v>
      </x:c>
      <x:c r="F298" s="23" t="n">
        <x:v>0.3787575150300601</x:v>
      </x:c>
      <x:c r="G298" s="23" t="n">
        <x:v>-0.021192900436921402</x:v>
      </x:c>
      <x:c r="H298" s="23" t="n">
        <x:v>-0.294328100497922</x:v>
      </x:c>
      <x:c r="I298" s="24" t="n">
        <x:v>1996</x:v>
      </x:c>
      <x:c r="J298" s="25" t="n">
        <x:v>46210.58357934028</x:v>
      </x:c>
      <x:c r="K298" s="24" t="n">
        <x:v>8902245</x:v>
      </x:c>
      <x:c r="L298" t="str">
        <x:v>40355b29bce094aef0e99358bdfd4011b92e72a54440a67760de4afae4883c33</x:v>
      </x:c>
      <x:c r="M298" t="str">
        <x:v>legacy_common_sample_8902245</x:v>
      </x:c>
      <x:c r="N298" t="str">
        <x:v>factor_report/gtja191_batch/gtja_102/ic_summary.csv</x:v>
      </x:c>
    </x:row>
    <x:row r="299">
      <x:c r="A299" t="str">
        <x:v>gtja_102</x:v>
      </x:c>
      <x:c r="B299" s="22" t="n">
        <x:v>10</x:v>
      </x:c>
      <x:c r="C299" s="23" t="n">
        <x:v>-0.020352867178194785</x:v>
      </x:c>
      <x:c r="D299" s="23" t="n">
        <x:v>0.08028253890730953</x:v>
      </x:c>
      <x:c r="E299" s="23" t="n">
        <x:v>-0.2535154898588005</x:v>
      </x:c>
      <x:c r="F299" s="23" t="n">
        <x:v>0.3907584128578604</x:v>
      </x:c>
      <x:c r="G299" s="23" t="n">
        <x:v>-0.02063103421074769</x:v>
      </x:c>
      <x:c r="H299" s="23" t="n">
        <x:v>-0.30285786741832277</x:v>
      </x:c>
      <x:c r="I299" s="24" t="n">
        <x:v>1991</x:v>
      </x:c>
      <x:c r="J299" s="25" t="n">
        <x:v>46210.58357934028</x:v>
      </x:c>
      <x:c r="K299" s="24" t="n">
        <x:v>8902245</x:v>
      </x:c>
      <x:c r="L299" t="str">
        <x:v>40355b29bce094aef0e99358bdfd4011b92e72a54440a67760de4afae4883c33</x:v>
      </x:c>
      <x:c r="M299" t="str">
        <x:v>legacy_common_sample_8902245</x:v>
      </x:c>
      <x:c r="N299" t="str">
        <x:v>factor_report/gtja191_batch/gtja_102/ic_summary.csv</x:v>
      </x:c>
    </x:row>
    <x:row r="300">
      <x:c r="A300" t="str">
        <x:v>gtja_102</x:v>
      </x:c>
      <x:c r="B300" s="22" t="n">
        <x:v>20</x:v>
      </x:c>
      <x:c r="C300" s="23" t="n">
        <x:v>-0.020542291091252312</x:v>
      </x:c>
      <x:c r="D300" s="23" t="n">
        <x:v>0.07633524818921955</x:v>
      </x:c>
      <x:c r="E300" s="23" t="n">
        <x:v>-0.26910623307770154</x:v>
      </x:c>
      <x:c r="F300" s="23" t="n">
        <x:v>0.3806158505805149</x:v>
      </x:c>
      <x:c r="G300" s="23" t="n">
        <x:v>-0.020596459777454</x:v>
      </x:c>
      <x:c r="H300" s="23" t="n">
        <x:v>-0.3260132199080772</x:v>
      </x:c>
      <x:c r="I300" s="24" t="n">
        <x:v>1981</x:v>
      </x:c>
      <x:c r="J300" s="25" t="n">
        <x:v>46210.58357934028</x:v>
      </x:c>
      <x:c r="K300" s="24" t="n">
        <x:v>8902245</x:v>
      </x:c>
      <x:c r="L300" t="str">
        <x:v>40355b29bce094aef0e99358bdfd4011b92e72a54440a67760de4afae4883c33</x:v>
      </x:c>
      <x:c r="M300" t="str">
        <x:v>legacy_common_sample_8902245</x:v>
      </x:c>
      <x:c r="N300" t="str">
        <x:v>factor_report/gtja191_batch/gtja_102/ic_summary.csv</x:v>
      </x:c>
    </x:row>
    <x:row r="301">
      <x:c r="A301" t="str">
        <x:v>gtja_103</x:v>
      </x:c>
      <x:c r="B301" s="22" t="n">
        <x:v>10</x:v>
      </x:c>
      <x:c r="C301" s="23" t="n">
        <x:v>0.03330244144600269</x:v>
      </x:c>
      <x:c r="D301" s="23" t="n">
        <x:v>0.10277969324317926</x:v>
      </x:c>
      <x:c r="E301" s="23" t="n">
        <x:v>0.32401771590433043</x:v>
      </x:c>
      <x:c r="F301" s="23" t="n">
        <x:v>0.6017076845806127</x:v>
      </x:c>
      <x:c r="G301" s="23" t="n">
        <x:v>0.016119395577333318</x:v>
      </x:c>
      <x:c r="H301" s="23" t="n">
        <x:v>0.1845054853124663</x:v>
      </x:c>
      <x:c r="I301" s="24" t="n">
        <x:v>1991</x:v>
      </x:c>
      <x:c r="J301" s="25" t="n">
        <x:v>46211.35333019676</x:v>
      </x:c>
      <x:c r="K301" s="24" t="n">
        <x:v>8902245</x:v>
      </x:c>
      <x:c r="L301" t="str">
        <x:v>8f7e606554926462248cbcc654181861438ca768a0063f6b317223ede37d16fb</x:v>
      </x:c>
      <x:c r="M301" t="str">
        <x:v>legacy_common_sample_8902245</x:v>
      </x:c>
      <x:c r="N301" t="str">
        <x:v>factor_report/gtja191_batch/gtja_103/ic_summary.csv</x:v>
      </x:c>
    </x:row>
    <x:row r="302">
      <x:c r="A302" t="str">
        <x:v>gtja_103</x:v>
      </x:c>
      <x:c r="B302" s="22" t="n">
        <x:v>20</x:v>
      </x:c>
      <x:c r="C302" s="23" t="n">
        <x:v>0.03790450316082415</x:v>
      </x:c>
      <x:c r="D302" s="23" t="n">
        <x:v>0.104257390630995</x:v>
      </x:c>
      <x:c r="E302" s="23" t="n">
        <x:v>0.36356658200838765</x:v>
      </x:c>
      <x:c r="F302" s="23" t="n">
        <x:v>0.6264512872286724</x:v>
      </x:c>
      <x:c r="G302" s="23" t="n">
        <x:v>0.01957322597659048</x:v>
      </x:c>
      <x:c r="H302" s="23" t="n">
        <x:v>0.22248367280994413</x:v>
      </x:c>
      <x:c r="I302" s="24" t="n">
        <x:v>1981</x:v>
      </x:c>
      <x:c r="J302" s="25" t="n">
        <x:v>46211.35333019676</x:v>
      </x:c>
      <x:c r="K302" s="24" t="n">
        <x:v>8902245</x:v>
      </x:c>
      <x:c r="L302" t="str">
        <x:v>8f7e606554926462248cbcc654181861438ca768a0063f6b317223ede37d16fb</x:v>
      </x:c>
      <x:c r="M302" t="str">
        <x:v>legacy_common_sample_8902245</x:v>
      </x:c>
      <x:c r="N302" t="str">
        <x:v>factor_report/gtja191_batch/gtja_103/ic_summary.csv</x:v>
      </x:c>
    </x:row>
    <x:row r="303">
      <x:c r="A303" t="str">
        <x:v>gtja_104</x:v>
      </x:c>
      <x:c r="B303" s="22" t="n">
        <x:v>10</x:v>
      </x:c>
      <x:c r="C303" s="23" t="n">
        <x:v>0.007983525906834345</x:v>
      </x:c>
      <x:c r="D303" s="23" t="n">
        <x:v>0.057706998425646236</x:v>
      </x:c>
      <x:c r="E303" s="23" t="n">
        <x:v>0.13834588740776188</x:v>
      </x:c>
      <x:c r="F303" s="23" t="n">
        <x:v>0.5560020090406831</x:v>
      </x:c>
      <x:c r="G303" s="23" t="n">
        <x:v>0.0044983787062534315</x:v>
      </x:c>
      <x:c r="H303" s="23" t="n">
        <x:v>0.09880325160244813</x:v>
      </x:c>
      <x:c r="I303" s="24" t="n">
        <x:v>1991</x:v>
      </x:c>
      <x:c r="J303" s="25" t="n">
        <x:v>46211.35578873842</x:v>
      </x:c>
      <x:c r="K303" s="24" t="n">
        <x:v>8902245</x:v>
      </x:c>
      <x:c r="L303" t="str">
        <x:v>8f7e606554926462248cbcc654181861438ca768a0063f6b317223ede37d16fb</x:v>
      </x:c>
      <x:c r="M303" t="str">
        <x:v>legacy_common_sample_8902245</x:v>
      </x:c>
      <x:c r="N303" t="str">
        <x:v>factor_report/gtja191_batch/gtja_104/ic_summary.csv</x:v>
      </x:c>
    </x:row>
    <x:row r="304">
      <x:c r="A304" t="str">
        <x:v>gtja_104</x:v>
      </x:c>
      <x:c r="B304" s="22" t="n">
        <x:v>20</x:v>
      </x:c>
      <x:c r="C304" s="23" t="n">
        <x:v>0.007791365466936186</x:v>
      </x:c>
      <x:c r="D304" s="23" t="n">
        <x:v>0.05490881430977608</x:v>
      </x:c>
      <x:c r="E304" s="23" t="n">
        <x:v>0.14189644349229727</x:v>
      </x:c>
      <x:c r="F304" s="23" t="n">
        <x:v>0.5739525492175669</x:v>
      </x:c>
      <x:c r="G304" s="23" t="n">
        <x:v>0.0043717867857987315</x:v>
      </x:c>
      <x:c r="H304" s="23" t="n">
        <x:v>0.10010130745756136</x:v>
      </x:c>
      <x:c r="I304" s="24" t="n">
        <x:v>1981</x:v>
      </x:c>
      <x:c r="J304" s="25" t="n">
        <x:v>46211.35578873842</x:v>
      </x:c>
      <x:c r="K304" s="24" t="n">
        <x:v>8902245</x:v>
      </x:c>
      <x:c r="L304" t="str">
        <x:v>8f7e606554926462248cbcc654181861438ca768a0063f6b317223ede37d16fb</x:v>
      </x:c>
      <x:c r="M304" t="str">
        <x:v>legacy_common_sample_8902245</x:v>
      </x:c>
      <x:c r="N304" t="str">
        <x:v>factor_report/gtja191_batch/gtja_104/ic_summary.csv</x:v>
      </x:c>
    </x:row>
    <x:row r="305">
      <x:c r="A305" t="str">
        <x:v>gtja_105</x:v>
      </x:c>
      <x:c r="B305" s="22" t="n">
        <x:v>10</x:v>
      </x:c>
      <x:c r="C305" s="23" t="n">
        <x:v>0.03704915011384955</x:v>
      </x:c>
      <x:c r="D305" s="23" t="n">
        <x:v>0.055502901526657475</x:v>
      </x:c>
      <x:c r="E305" s="23" t="n">
        <x:v>0.6675173566566646</x:v>
      </x:c>
      <x:c r="F305" s="23" t="n">
        <x:v>0.747865394274234</x:v>
      </x:c>
      <x:c r="G305" s="23" t="n">
        <x:v>0.020292949114401323</x:v>
      </x:c>
      <x:c r="H305" s="23" t="n">
        <x:v>0.4189409009037812</x:v>
      </x:c>
      <x:c r="I305" s="24" t="n">
        <x:v>1991</x:v>
      </x:c>
      <x:c r="J305" s="25" t="n">
        <x:v>46211.35838456018</x:v>
      </x:c>
      <x:c r="K305" s="24" t="n">
        <x:v>8902245</x:v>
      </x:c>
      <x:c r="L305" t="str">
        <x:v>8f7e606554926462248cbcc654181861438ca768a0063f6b317223ede37d16fb</x:v>
      </x:c>
      <x:c r="M305" t="str">
        <x:v>legacy_common_sample_8902245</x:v>
      </x:c>
      <x:c r="N305" t="str">
        <x:v>factor_report/gtja191_batch/gtja_105/ic_summary.csv</x:v>
      </x:c>
    </x:row>
    <x:row r="306">
      <x:c r="A306" t="str">
        <x:v>gtja_105</x:v>
      </x:c>
      <x:c r="B306" s="22" t="n">
        <x:v>20</x:v>
      </x:c>
      <x:c r="C306" s="23" t="n">
        <x:v>0.03959051741431011</x:v>
      </x:c>
      <x:c r="D306" s="23" t="n">
        <x:v>0.052563513803642214</x:v>
      </x:c>
      <x:c r="E306" s="23" t="n">
        <x:v>0.7531938896285663</x:v>
      </x:c>
      <x:c r="F306" s="23" t="n">
        <x:v>0.7864714790509844</x:v>
      </x:c>
      <x:c r="G306" s="23" t="n">
        <x:v>0.022268918285801444</x:v>
      </x:c>
      <x:c r="H306" s="23" t="n">
        <x:v>0.4844841154880074</x:v>
      </x:c>
      <x:c r="I306" s="24" t="n">
        <x:v>1981</x:v>
      </x:c>
      <x:c r="J306" s="25" t="n">
        <x:v>46211.35838456018</x:v>
      </x:c>
      <x:c r="K306" s="24" t="n">
        <x:v>8902245</x:v>
      </x:c>
      <x:c r="L306" t="str">
        <x:v>8f7e606554926462248cbcc654181861438ca768a0063f6b317223ede37d16fb</x:v>
      </x:c>
      <x:c r="M306" t="str">
        <x:v>legacy_common_sample_8902245</x:v>
      </x:c>
      <x:c r="N306" t="str">
        <x:v>factor_report/gtja191_batch/gtja_105/ic_summary.csv</x:v>
      </x:c>
    </x:row>
    <x:row r="307">
      <x:c r="A307" t="str">
        <x:v>gtja_106</x:v>
      </x:c>
      <x:c r="B307" s="22" t="n">
        <x:v>1</x:v>
      </x:c>
      <x:c r="C307" s="23" t="n">
        <x:v>-0.03326993748448418</x:v>
      </x:c>
      <x:c r="D307" s="23" t="n">
        <x:v>0.14904942953497802</x:v>
      </x:c>
      <x:c r="E307" s="23" t="n">
        <x:v>-0.2232141215721768</x:v>
      </x:c>
      <x:c r="F307" s="23" t="n">
        <x:v>0.397</x:v>
      </x:c>
      <x:c r="G307" s="23" t="n">
        <x:v>-0.009978226127687893</x:v>
      </x:c>
      <x:c r="H307" s="23" t="n">
        <x:v>-0.10237120257051785</x:v>
      </x:c>
      <x:c r="I307" s="24" t="n">
        <x:v>2000</x:v>
      </x:c>
      <x:c r="J307" s="25" t="n">
        <x:v>46210.59962833333</x:v>
      </x:c>
      <x:c r="K307" s="24" t="n">
        <x:v>8902245</x:v>
      </x:c>
      <x:c r="L307" t="str">
        <x:v>40355b29bce094aef0e99358bdfd4011b92e72a54440a67760de4afae4883c33</x:v>
      </x:c>
      <x:c r="M307" t="str">
        <x:v>legacy_common_sample_8902245</x:v>
      </x:c>
      <x:c r="N307" t="str">
        <x:v>factor_report/gtja191_batch/gtja_106/ic_summary.csv</x:v>
      </x:c>
    </x:row>
    <x:row r="308">
      <x:c r="A308" t="str">
        <x:v>gtja_106</x:v>
      </x:c>
      <x:c r="B308" s="22" t="n">
        <x:v>5</x:v>
      </x:c>
      <x:c r="C308" s="23" t="n">
        <x:v>-0.04773475370395385</x:v>
      </x:c>
      <x:c r="D308" s="23" t="n">
        <x:v>0.1395649126330913</x:v>
      </x:c>
      <x:c r="E308" s="23" t="n">
        <x:v>-0.342025461868385</x:v>
      </x:c>
      <x:c r="F308" s="23" t="n">
        <x:v>0.36122244488977956</x:v>
      </x:c>
      <x:c r="G308" s="23" t="n">
        <x:v>-0.01787729215532497</x:v>
      </x:c>
      <x:c r="H308" s="23" t="n">
        <x:v>-0.20159184414391554</x:v>
      </x:c>
      <x:c r="I308" s="24" t="n">
        <x:v>1996</x:v>
      </x:c>
      <x:c r="J308" s="25" t="n">
        <x:v>46210.59962833333</x:v>
      </x:c>
      <x:c r="K308" s="24" t="n">
        <x:v>8902245</x:v>
      </x:c>
      <x:c r="L308" t="str">
        <x:v>40355b29bce094aef0e99358bdfd4011b92e72a54440a67760de4afae4883c33</x:v>
      </x:c>
      <x:c r="M308" t="str">
        <x:v>legacy_common_sample_8902245</x:v>
      </x:c>
      <x:c r="N308" t="str">
        <x:v>factor_report/gtja191_batch/gtja_106/ic_summary.csv</x:v>
      </x:c>
    </x:row>
    <x:row r="309">
      <x:c r="A309" t="str">
        <x:v>gtja_106</x:v>
      </x:c>
      <x:c r="B309" s="22" t="n">
        <x:v>10</x:v>
      </x:c>
      <x:c r="C309" s="23" t="n">
        <x:v>-0.05564072753484768</x:v>
      </x:c>
      <x:c r="D309" s="23" t="n">
        <x:v>0.13400703726279667</x:v>
      </x:c>
      <x:c r="E309" s="23" t="n">
        <x:v>-0.4152075045561416</x:v>
      </x:c>
      <x:c r="F309" s="23" t="n">
        <x:v>0.33802109492717225</x:v>
      </x:c>
      <x:c r="G309" s="23" t="n">
        <x:v>-0.02134008016224203</x:v>
      </x:c>
      <x:c r="H309" s="23" t="n">
        <x:v>-0.2503869839462407</x:v>
      </x:c>
      <x:c r="I309" s="24" t="n">
        <x:v>1991</x:v>
      </x:c>
      <x:c r="J309" s="25" t="n">
        <x:v>46210.59962833333</x:v>
      </x:c>
      <x:c r="K309" s="24" t="n">
        <x:v>8902245</x:v>
      </x:c>
      <x:c r="L309" t="str">
        <x:v>40355b29bce094aef0e99358bdfd4011b92e72a54440a67760de4afae4883c33</x:v>
      </x:c>
      <x:c r="M309" t="str">
        <x:v>legacy_common_sample_8902245</x:v>
      </x:c>
      <x:c r="N309" t="str">
        <x:v>factor_report/gtja191_batch/gtja_106/ic_summary.csv</x:v>
      </x:c>
    </x:row>
    <x:row r="310">
      <x:c r="A310" t="str">
        <x:v>gtja_106</x:v>
      </x:c>
      <x:c r="B310" s="22" t="n">
        <x:v>20</x:v>
      </x:c>
      <x:c r="C310" s="23" t="n">
        <x:v>-0.061357020390763045</x:v>
      </x:c>
      <x:c r="D310" s="23" t="n">
        <x:v>0.13516592332054503</x:v>
      </x:c>
      <x:c r="E310" s="23" t="n">
        <x:v>-0.4539385289090602</x:v>
      </x:c>
      <x:c r="F310" s="23" t="n">
        <x:v>0.32609793033821305</x:v>
      </x:c>
      <x:c r="G310" s="23" t="n">
        <x:v>-0.022001386611756456</x:v>
      </x:c>
      <x:c r="H310" s="23" t="n">
        <x:v>-0.24964928340636516</x:v>
      </x:c>
      <x:c r="I310" s="24" t="n">
        <x:v>1981</x:v>
      </x:c>
      <x:c r="J310" s="25" t="n">
        <x:v>46210.59962833333</x:v>
      </x:c>
      <x:c r="K310" s="24" t="n">
        <x:v>8902245</x:v>
      </x:c>
      <x:c r="L310" t="str">
        <x:v>40355b29bce094aef0e99358bdfd4011b92e72a54440a67760de4afae4883c33</x:v>
      </x:c>
      <x:c r="M310" t="str">
        <x:v>legacy_common_sample_8902245</x:v>
      </x:c>
      <x:c r="N310" t="str">
        <x:v>factor_report/gtja191_batch/gtja_106/ic_summary.csv</x:v>
      </x:c>
    </x:row>
    <x:row r="311">
      <x:c r="A311" t="str">
        <x:v>gtja_107</x:v>
      </x:c>
      <x:c r="B311" s="22" t="n">
        <x:v>1</x:v>
      </x:c>
      <x:c r="C311" s="23" t="n">
        <x:v>-0.009023508854960031</x:v>
      </x:c>
      <x:c r="D311" s="23" t="n">
        <x:v>0.09409368196588189</x:v>
      </x:c>
      <x:c r="E311" s="23" t="n">
        <x:v>-0.09589920031221577</x:v>
      </x:c>
      <x:c r="F311" s="23" t="n">
        <x:v>0.4345</x:v>
      </x:c>
      <x:c r="G311" s="23" t="n">
        <x:v>0.002817934487308848</x:v>
      </x:c>
      <x:c r="H311" s="23" t="n">
        <x:v>0.038946367861893295</x:v>
      </x:c>
      <x:c r="I311" s="24" t="n">
        <x:v>2000</x:v>
      </x:c>
      <x:c r="J311" s="25" t="n">
        <x:v>46210.60368208333</x:v>
      </x:c>
      <x:c r="K311" s="24" t="n">
        <x:v>8902245</x:v>
      </x:c>
      <x:c r="L311" t="str">
        <x:v>40355b29bce094aef0e99358bdfd4011b92e72a54440a67760de4afae4883c33</x:v>
      </x:c>
      <x:c r="M311" t="str">
        <x:v>legacy_common_sample_8902245</x:v>
      </x:c>
      <x:c r="N311" t="str">
        <x:v>factor_report/gtja191_batch/gtja_107/ic_summary.csv</x:v>
      </x:c>
    </x:row>
    <x:row r="312">
      <x:c r="A312" t="str">
        <x:v>gtja_107</x:v>
      </x:c>
      <x:c r="B312" s="22" t="n">
        <x:v>5</x:v>
      </x:c>
      <x:c r="C312" s="23" t="n">
        <x:v>-0.017552950821608838</x:v>
      </x:c>
      <x:c r="D312" s="23" t="n">
        <x:v>0.09107505686524468</x:v>
      </x:c>
      <x:c r="E312" s="23" t="n">
        <x:v>-0.19273060512693735</x:v>
      </x:c>
      <x:c r="F312" s="23" t="n">
        <x:v>0.3907815631262525</x:v>
      </x:c>
      <x:c r="G312" s="23" t="n">
        <x:v>0.004901579677995906</x:v>
      </x:c>
      <x:c r="H312" s="23" t="n">
        <x:v>0.07123642902141221</x:v>
      </x:c>
      <x:c r="I312" s="24" t="n">
        <x:v>1996</x:v>
      </x:c>
      <x:c r="J312" s="25" t="n">
        <x:v>46210.60368208333</x:v>
      </x:c>
      <x:c r="K312" s="24" t="n">
        <x:v>8902245</x:v>
      </x:c>
      <x:c r="L312" t="str">
        <x:v>40355b29bce094aef0e99358bdfd4011b92e72a54440a67760de4afae4883c33</x:v>
      </x:c>
      <x:c r="M312" t="str">
        <x:v>legacy_common_sample_8902245</x:v>
      </x:c>
      <x:c r="N312" t="str">
        <x:v>factor_report/gtja191_batch/gtja_107/ic_summary.csv</x:v>
      </x:c>
    </x:row>
    <x:row r="313">
      <x:c r="A313" t="str">
        <x:v>gtja_107</x:v>
      </x:c>
      <x:c r="B313" s="22" t="n">
        <x:v>10</x:v>
      </x:c>
      <x:c r="C313" s="23" t="n">
        <x:v>-0.022211442200144024</x:v>
      </x:c>
      <x:c r="D313" s="23" t="n">
        <x:v>0.09177100230858579</x:v>
      </x:c>
      <x:c r="E313" s="23" t="n">
        <x:v>-0.2420311606214853</x:v>
      </x:c>
      <x:c r="F313" s="23" t="n">
        <x:v>0.37920642893018586</x:v>
      </x:c>
      <x:c r="G313" s="23" t="n">
        <x:v>0.004073234886513534</x:v>
      </x:c>
      <x:c r="H313" s="23" t="n">
        <x:v>0.05960643291249547</x:v>
      </x:c>
      <x:c r="I313" s="24" t="n">
        <x:v>1991</x:v>
      </x:c>
      <x:c r="J313" s="25" t="n">
        <x:v>46210.60368208333</x:v>
      </x:c>
      <x:c r="K313" s="24" t="n">
        <x:v>8902245</x:v>
      </x:c>
      <x:c r="L313" t="str">
        <x:v>40355b29bce094aef0e99358bdfd4011b92e72a54440a67760de4afae4883c33</x:v>
      </x:c>
      <x:c r="M313" t="str">
        <x:v>legacy_common_sample_8902245</x:v>
      </x:c>
      <x:c r="N313" t="str">
        <x:v>factor_report/gtja191_batch/gtja_107/ic_summary.csv</x:v>
      </x:c>
    </x:row>
    <x:row r="314">
      <x:c r="A314" t="str">
        <x:v>gtja_107</x:v>
      </x:c>
      <x:c r="B314" s="22" t="n">
        <x:v>20</x:v>
      </x:c>
      <x:c r="C314" s="23" t="n">
        <x:v>-0.025765554587392003</x:v>
      </x:c>
      <x:c r="D314" s="23" t="n">
        <x:v>0.09210562377100583</x:v>
      </x:c>
      <x:c r="E314" s="23" t="n">
        <x:v>-0.2797392117060154</x:v>
      </x:c>
      <x:c r="F314" s="23" t="n">
        <x:v>0.36092882382635033</x:v>
      </x:c>
      <x:c r="G314" s="23" t="n">
        <x:v>0.0041274602293355465</x:v>
      </x:c>
      <x:c r="H314" s="23" t="n">
        <x:v>0.061312754173038574</x:v>
      </x:c>
      <x:c r="I314" s="24" t="n">
        <x:v>1981</x:v>
      </x:c>
      <x:c r="J314" s="25" t="n">
        <x:v>46210.60368208333</x:v>
      </x:c>
      <x:c r="K314" s="24" t="n">
        <x:v>8902245</x:v>
      </x:c>
      <x:c r="L314" t="str">
        <x:v>40355b29bce094aef0e99358bdfd4011b92e72a54440a67760de4afae4883c33</x:v>
      </x:c>
      <x:c r="M314" t="str">
        <x:v>legacy_common_sample_8902245</x:v>
      </x:c>
      <x:c r="N314" t="str">
        <x:v>factor_report/gtja191_batch/gtja_107/ic_summary.csv</x:v>
      </x:c>
    </x:row>
    <x:row r="315">
      <x:c r="A315" t="str">
        <x:v>gtja_108</x:v>
      </x:c>
      <x:c r="B315" s="22" t="n">
        <x:v>10</x:v>
      </x:c>
      <x:c r="C315" s="23" t="n">
        <x:v>0.021305135627949195</x:v>
      </x:c>
      <x:c r="D315" s="23" t="n">
        <x:v>0.07875033393800031</x:v>
      </x:c>
      <x:c r="E315" s="23" t="n">
        <x:v>0.2705402575781153</x:v>
      </x:c>
      <x:c r="F315" s="23" t="n">
        <x:v>0.6093506493506493</x:v>
      </x:c>
      <x:c r="G315" s="23" t="n">
        <x:v>0.007696022181379278</x:v>
      </x:c>
      <x:c r="H315" s="23" t="n">
        <x:v>0.12098458268346816</x:v>
      </x:c>
      <x:c r="I315" s="24" t="n">
        <x:v>1925</x:v>
      </x:c>
      <x:c r="J315" s="25" t="n">
        <x:v>46211.360724976854</x:v>
      </x:c>
      <x:c r="K315" s="24" t="n">
        <x:v>8902245</x:v>
      </x:c>
      <x:c r="L315" t="str">
        <x:v>8f7e606554926462248cbcc654181861438ca768a0063f6b317223ede37d16fb</x:v>
      </x:c>
      <x:c r="M315" t="str">
        <x:v>legacy_common_sample_8902245</x:v>
      </x:c>
      <x:c r="N315" t="str">
        <x:v>factor_report/gtja191_batch/gtja_108/ic_summary.csv</x:v>
      </x:c>
    </x:row>
    <x:row r="316">
      <x:c r="A316" t="str">
        <x:v>gtja_108</x:v>
      </x:c>
      <x:c r="B316" s="22" t="n">
        <x:v>20</x:v>
      </x:c>
      <x:c r="C316" s="23" t="n">
        <x:v>0.02396255458178034</x:v>
      </x:c>
      <x:c r="D316" s="23" t="n">
        <x:v>0.08005244515589131</x:v>
      </x:c>
      <x:c r="E316" s="23" t="n">
        <x:v>0.2993356984301542</x:v>
      </x:c>
      <x:c r="F316" s="23" t="n">
        <x:v>0.6276762402088772</x:v>
      </x:c>
      <x:c r="G316" s="23" t="n">
        <x:v>0.008326181966024906</x:v>
      </x:c>
      <x:c r="H316" s="23" t="n">
        <x:v>0.12806002273653538</x:v>
      </x:c>
      <x:c r="I316" s="24" t="n">
        <x:v>1915</x:v>
      </x:c>
      <x:c r="J316" s="25" t="n">
        <x:v>46211.360724976854</x:v>
      </x:c>
      <x:c r="K316" s="24" t="n">
        <x:v>8902245</x:v>
      </x:c>
      <x:c r="L316" t="str">
        <x:v>8f7e606554926462248cbcc654181861438ca768a0063f6b317223ede37d16fb</x:v>
      </x:c>
      <x:c r="M316" t="str">
        <x:v>legacy_common_sample_8902245</x:v>
      </x:c>
      <x:c r="N316" t="str">
        <x:v>factor_report/gtja191_batch/gtja_108/ic_summary.csv</x:v>
      </x:c>
    </x:row>
    <x:row r="317">
      <x:c r="A317" t="str">
        <x:v>gtja_109</x:v>
      </x:c>
      <x:c r="B317" s="22" t="n">
        <x:v>1</x:v>
      </x:c>
      <x:c r="C317" s="23" t="n">
        <x:v>-0.0301935078494394</x:v>
      </x:c>
      <x:c r="D317" s="23" t="n">
        <x:v>0.10088783360164288</x:v>
      </x:c>
      <x:c r="E317" s="23" t="n">
        <x:v>-0.29927798795500865</x:v>
      </x:c>
      <x:c r="F317" s="23" t="n">
        <x:v>0.366</x:v>
      </x:c>
      <x:c r="G317" s="23" t="n">
        <x:v>-0.017535338487725875</x:v>
      </x:c>
      <x:c r="H317" s="23" t="n">
        <x:v>-0.2006141383564526</x:v>
      </x:c>
      <x:c r="I317" s="24" t="n">
        <x:v>2000</x:v>
      </x:c>
      <x:c r="J317" s="25" t="n">
        <x:v>46210.612487280094</x:v>
      </x:c>
      <x:c r="K317" s="24" t="n">
        <x:v>8902245</x:v>
      </x:c>
      <x:c r="L317" t="str">
        <x:v>40355b29bce094aef0e99358bdfd4011b92e72a54440a67760de4afae4883c33</x:v>
      </x:c>
      <x:c r="M317" t="str">
        <x:v>legacy_common_sample_8902245</x:v>
      </x:c>
      <x:c r="N317" t="str">
        <x:v>factor_report/gtja191_batch/gtja_109/ic_summary.csv</x:v>
      </x:c>
    </x:row>
    <x:row r="318">
      <x:c r="A318" t="str">
        <x:v>gtja_109</x:v>
      </x:c>
      <x:c r="B318" s="22" t="n">
        <x:v>5</x:v>
      </x:c>
      <x:c r="C318" s="23" t="n">
        <x:v>-0.031379071152616365</x:v>
      </x:c>
      <x:c r="D318" s="23" t="n">
        <x:v>0.093247062144085</x:v>
      </x:c>
      <x:c r="E318" s="23" t="n">
        <x:v>-0.336515386448632</x:v>
      </x:c>
      <x:c r="F318" s="23" t="n">
        <x:v>0.37625250501002006</x:v>
      </x:c>
      <x:c r="G318" s="23" t="n">
        <x:v>-0.02571860473555216</x:v>
      </x:c>
      <x:c r="H318" s="23" t="n">
        <x:v>-0.3316922032680048</x:v>
      </x:c>
      <x:c r="I318" s="24" t="n">
        <x:v>1996</x:v>
      </x:c>
      <x:c r="J318" s="25" t="n">
        <x:v>46210.612487280094</x:v>
      </x:c>
      <x:c r="K318" s="24" t="n">
        <x:v>8902245</x:v>
      </x:c>
      <x:c r="L318" t="str">
        <x:v>40355b29bce094aef0e99358bdfd4011b92e72a54440a67760de4afae4883c33</x:v>
      </x:c>
      <x:c r="M318" t="str">
        <x:v>legacy_common_sample_8902245</x:v>
      </x:c>
      <x:c r="N318" t="str">
        <x:v>factor_report/gtja191_batch/gtja_109/ic_summary.csv</x:v>
      </x:c>
    </x:row>
    <x:row r="319">
      <x:c r="A319" t="str">
        <x:v>gtja_109</x:v>
      </x:c>
      <x:c r="B319" s="22" t="n">
        <x:v>10</x:v>
      </x:c>
      <x:c r="C319" s="23" t="n">
        <x:v>-0.03266799806433209</x:v>
      </x:c>
      <x:c r="D319" s="23" t="n">
        <x:v>0.08834138438122036</x:v>
      </x:c>
      <x:c r="E319" s="23" t="n">
        <x:v>-0.3697926888190884</x:v>
      </x:c>
      <x:c r="F319" s="23" t="n">
        <x:v>0.347564038171773</x:v>
      </x:c>
      <x:c r="G319" s="23" t="n">
        <x:v>-0.027631555426648767</x:v>
      </x:c>
      <x:c r="H319" s="23" t="n">
        <x:v>-0.3792458527601481</x:v>
      </x:c>
      <x:c r="I319" s="24" t="n">
        <x:v>1991</x:v>
      </x:c>
      <x:c r="J319" s="25" t="n">
        <x:v>46210.612487280094</x:v>
      </x:c>
      <x:c r="K319" s="24" t="n">
        <x:v>8902245</x:v>
      </x:c>
      <x:c r="L319" t="str">
        <x:v>40355b29bce094aef0e99358bdfd4011b92e72a54440a67760de4afae4883c33</x:v>
      </x:c>
      <x:c r="M319" t="str">
        <x:v>legacy_common_sample_8902245</x:v>
      </x:c>
      <x:c r="N319" t="str">
        <x:v>factor_report/gtja191_batch/gtja_109/ic_summary.csv</x:v>
      </x:c>
    </x:row>
    <x:row r="320">
      <x:c r="A320" t="str">
        <x:v>gtja_109</x:v>
      </x:c>
      <x:c r="B320" s="22" t="n">
        <x:v>20</x:v>
      </x:c>
      <x:c r="C320" s="23" t="n">
        <x:v>-0.03460018068250707</x:v>
      </x:c>
      <x:c r="D320" s="23" t="n">
        <x:v>0.08447591976966186</x:v>
      </x:c>
      <x:c r="E320" s="23" t="n">
        <x:v>-0.409586314974142</x:v>
      </x:c>
      <x:c r="F320" s="23" t="n">
        <x:v>0.34780413932357396</x:v>
      </x:c>
      <x:c r="G320" s="23" t="n">
        <x:v>-0.028208219434979646</x:v>
      </x:c>
      <x:c r="H320" s="23" t="n">
        <x:v>-0.4225609102210926</x:v>
      </x:c>
      <x:c r="I320" s="24" t="n">
        <x:v>1981</x:v>
      </x:c>
      <x:c r="J320" s="25" t="n">
        <x:v>46210.612487280094</x:v>
      </x:c>
      <x:c r="K320" s="24" t="n">
        <x:v>8902245</x:v>
      </x:c>
      <x:c r="L320" t="str">
        <x:v>40355b29bce094aef0e99358bdfd4011b92e72a54440a67760de4afae4883c33</x:v>
      </x:c>
      <x:c r="M320" t="str">
        <x:v>legacy_common_sample_8902245</x:v>
      </x:c>
      <x:c r="N320" t="str">
        <x:v>factor_report/gtja191_batch/gtja_109/ic_summary.csv</x:v>
      </x:c>
    </x:row>
    <x:row r="321">
      <x:c r="A321" t="str">
        <x:v>gtja_110</x:v>
      </x:c>
      <x:c r="B321" s="22" t="n">
        <x:v>1</x:v>
      </x:c>
      <x:c r="C321" s="23" t="n">
        <x:v>-0.031266266000029894</x:v>
      </x:c>
      <x:c r="D321" s="23" t="n">
        <x:v>0.12816456054666622</x:v>
      </x:c>
      <x:c r="E321" s="23" t="n">
        <x:v>-0.24395406863385982</x:v>
      </x:c>
      <x:c r="F321" s="23" t="n">
        <x:v>0.399</x:v>
      </x:c>
      <x:c r="G321" s="23" t="n">
        <x:v>-0.007436050582305297</x:v>
      </x:c>
      <x:c r="H321" s="23" t="n">
        <x:v>-0.06334383159964369</x:v>
      </x:c>
      <x:c r="I321" s="24" t="n">
        <x:v>2000</x:v>
      </x:c>
      <x:c r="J321" s="25" t="n">
        <x:v>46210.616483287034</x:v>
      </x:c>
      <x:c r="K321" s="24" t="n">
        <x:v>8902245</x:v>
      </x:c>
      <x:c r="L321" t="str">
        <x:v>40355b29bce094aef0e99358bdfd4011b92e72a54440a67760de4afae4883c33</x:v>
      </x:c>
      <x:c r="M321" t="str">
        <x:v>legacy_common_sample_8902245</x:v>
      </x:c>
      <x:c r="N321" t="str">
        <x:v>factor_report/gtja191_batch/gtja_110/ic_summary.csv</x:v>
      </x:c>
    </x:row>
    <x:row r="322">
      <x:c r="A322" t="str">
        <x:v>gtja_110</x:v>
      </x:c>
      <x:c r="B322" s="22" t="n">
        <x:v>5</x:v>
      </x:c>
      <x:c r="C322" s="23" t="n">
        <x:v>-0.03999776918303655</x:v>
      </x:c>
      <x:c r="D322" s="23" t="n">
        <x:v>0.1180851782269463</x:v>
      </x:c>
      <x:c r="E322" s="23" t="n">
        <x:v>-0.33871964105575875</x:v>
      </x:c>
      <x:c r="F322" s="23" t="n">
        <x:v>0.3652304609218437</x:v>
      </x:c>
      <x:c r="G322" s="23" t="n">
        <x:v>-0.01594200363319705</x:v>
      </x:c>
      <x:c r="H322" s="23" t="n">
        <x:v>-0.1478037435200101</x:v>
      </x:c>
      <x:c r="I322" s="24" t="n">
        <x:v>1996</x:v>
      </x:c>
      <x:c r="J322" s="25" t="n">
        <x:v>46210.616483287034</x:v>
      </x:c>
      <x:c r="K322" s="24" t="n">
        <x:v>8902245</x:v>
      </x:c>
      <x:c r="L322" t="str">
        <x:v>40355b29bce094aef0e99358bdfd4011b92e72a54440a67760de4afae4883c33</x:v>
      </x:c>
      <x:c r="M322" t="str">
        <x:v>legacy_common_sample_8902245</x:v>
      </x:c>
      <x:c r="N322" t="str">
        <x:v>factor_report/gtja191_batch/gtja_110/ic_summary.csv</x:v>
      </x:c>
    </x:row>
    <x:row r="323">
      <x:c r="A323" t="str">
        <x:v>gtja_110</x:v>
      </x:c>
      <x:c r="B323" s="22" t="n">
        <x:v>10</x:v>
      </x:c>
      <x:c r="C323" s="23" t="n">
        <x:v>-0.043642664763510655</x:v>
      </x:c>
      <x:c r="D323" s="23" t="n">
        <x:v>0.11457595385262612</x:v>
      </x:c>
      <x:c r="E323" s="23" t="n">
        <x:v>-0.3809059693244731</x:v>
      </x:c>
      <x:c r="F323" s="23" t="n">
        <x:v>0.3420391762933199</x:v>
      </x:c>
      <x:c r="G323" s="23" t="n">
        <x:v>-0.01791632772608471</x:v>
      </x:c>
      <x:c r="H323" s="23" t="n">
        <x:v>-0.17280861109522086</x:v>
      </x:c>
      <x:c r="I323" s="24" t="n">
        <x:v>1991</x:v>
      </x:c>
      <x:c r="J323" s="25" t="n">
        <x:v>46210.616483287034</x:v>
      </x:c>
      <x:c r="K323" s="24" t="n">
        <x:v>8902245</x:v>
      </x:c>
      <x:c r="L323" t="str">
        <x:v>40355b29bce094aef0e99358bdfd4011b92e72a54440a67760de4afae4883c33</x:v>
      </x:c>
      <x:c r="M323" t="str">
        <x:v>legacy_common_sample_8902245</x:v>
      </x:c>
      <x:c r="N323" t="str">
        <x:v>factor_report/gtja191_batch/gtja_110/ic_summary.csv</x:v>
      </x:c>
    </x:row>
    <x:row r="324">
      <x:c r="A324" t="str">
        <x:v>gtja_110</x:v>
      </x:c>
      <x:c r="B324" s="22" t="n">
        <x:v>20</x:v>
      </x:c>
      <x:c r="C324" s="23" t="n">
        <x:v>-0.04728066301414187</x:v>
      </x:c>
      <x:c r="D324" s="23" t="n">
        <x:v>0.11878454260773844</x:v>
      </x:c>
      <x:c r="E324" s="23" t="n">
        <x:v>-0.3980371686093581</x:v>
      </x:c>
      <x:c r="F324" s="23" t="n">
        <x:v>0.35386168601716306</x:v>
      </x:c>
      <x:c r="G324" s="23" t="n">
        <x:v>-0.018371692613840696</x:v>
      </x:c>
      <x:c r="H324" s="23" t="n">
        <x:v>-0.17399743714816532</x:v>
      </x:c>
      <x:c r="I324" s="24" t="n">
        <x:v>1981</x:v>
      </x:c>
      <x:c r="J324" s="25" t="n">
        <x:v>46210.616483287034</x:v>
      </x:c>
      <x:c r="K324" s="24" t="n">
        <x:v>8902245</x:v>
      </x:c>
      <x:c r="L324" t="str">
        <x:v>40355b29bce094aef0e99358bdfd4011b92e72a54440a67760de4afae4883c33</x:v>
      </x:c>
      <x:c r="M324" t="str">
        <x:v>legacy_common_sample_8902245</x:v>
      </x:c>
      <x:c r="N324" t="str">
        <x:v>factor_report/gtja191_batch/gtja_110/ic_summary.csv</x:v>
      </x:c>
    </x:row>
    <x:row r="325">
      <x:c r="A325" t="str">
        <x:v>gtja_111</x:v>
      </x:c>
      <x:c r="B325" s="22" t="n">
        <x:v>10</x:v>
      </x:c>
      <x:c r="C325" s="23" t="n">
        <x:v>0.0043128644724922645</x:v>
      </x:c>
      <x:c r="D325" s="23" t="n">
        <x:v>0.09278976456057449</x:v>
      </x:c>
      <x:c r="E325" s="23" t="n">
        <x:v>0.04647995921658757</x:v>
      </x:c>
      <x:c r="F325" s="23" t="n">
        <x:v>0.5193370165745856</x:v>
      </x:c>
      <x:c r="G325" s="23" t="n">
        <x:v>0.001058935699121825</x:v>
      </x:c>
      <x:c r="H325" s="23" t="n">
        <x:v>0.019571586283574142</x:v>
      </x:c>
      <x:c r="I325" s="24" t="n">
        <x:v>1991</x:v>
      </x:c>
      <x:c r="J325" s="25" t="n">
        <x:v>46211.36424368055</x:v>
      </x:c>
      <x:c r="K325" s="24" t="n">
        <x:v>8902245</x:v>
      </x:c>
      <x:c r="L325" t="str">
        <x:v>8f7e606554926462248cbcc654181861438ca768a0063f6b317223ede37d16fb</x:v>
      </x:c>
      <x:c r="M325" t="str">
        <x:v>legacy_common_sample_8902245</x:v>
      </x:c>
      <x:c r="N325" t="str">
        <x:v>factor_report/gtja191_batch/gtja_111/ic_summary.csv</x:v>
      </x:c>
    </x:row>
    <x:row r="326">
      <x:c r="A326" t="str">
        <x:v>gtja_111</x:v>
      </x:c>
      <x:c r="B326" s="22" t="n">
        <x:v>20</x:v>
      </x:c>
      <x:c r="C326" s="23" t="n">
        <x:v>0.0019995421900137846</x:v>
      </x:c>
      <x:c r="D326" s="23" t="n">
        <x:v>0.09244376042151504</x:v>
      </x:c>
      <x:c r="E326" s="23" t="n">
        <x:v>0.021629823158388288</x:v>
      </x:c>
      <x:c r="F326" s="23" t="n">
        <x:v>0.5133770822816759</x:v>
      </x:c>
      <x:c r="G326" s="23" t="n">
        <x:v>0.000835907293425099</x:v>
      </x:c>
      <x:c r="H326" s="23" t="n">
        <x:v>0.016122805143020134</x:v>
      </x:c>
      <x:c r="I326" s="24" t="n">
        <x:v>1981</x:v>
      </x:c>
      <x:c r="J326" s="25" t="n">
        <x:v>46211.36424368055</x:v>
      </x:c>
      <x:c r="K326" s="24" t="n">
        <x:v>8902245</x:v>
      </x:c>
      <x:c r="L326" t="str">
        <x:v>8f7e606554926462248cbcc654181861438ca768a0063f6b317223ede37d16fb</x:v>
      </x:c>
      <x:c r="M326" t="str">
        <x:v>legacy_common_sample_8902245</x:v>
      </x:c>
      <x:c r="N326" t="str">
        <x:v>factor_report/gtja191_batch/gtja_111/ic_summary.csv</x:v>
      </x:c>
    </x:row>
    <x:row r="327">
      <x:c r="A327" t="str">
        <x:v>gtja_112</x:v>
      </x:c>
      <x:c r="B327" s="22" t="n">
        <x:v>1</x:v>
      </x:c>
      <x:c r="C327" s="23" t="n">
        <x:v>-0.027561529749791445</x:v>
      </x:c>
      <x:c r="D327" s="23" t="n">
        <x:v>0.13690243834353577</x:v>
      </x:c>
      <x:c r="E327" s="23" t="n">
        <x:v>-0.20132241677558727</x:v>
      </x:c>
      <x:c r="F327" s="23" t="n">
        <x:v>0.4125</x:v>
      </x:c>
      <x:c r="G327" s="23" t="n">
        <x:v>-0.008568629330849353</x:v>
      </x:c>
      <x:c r="H327" s="23" t="n">
        <x:v>-0.07148292651063903</x:v>
      </x:c>
      <x:c r="I327" s="24" t="n">
        <x:v>2000</x:v>
      </x:c>
      <x:c r="J327" s="25" t="n">
        <x:v>46210.62560251157</x:v>
      </x:c>
      <x:c r="K327" s="24" t="n">
        <x:v>8902245</x:v>
      </x:c>
      <x:c r="L327" t="str">
        <x:v>40355b29bce094aef0e99358bdfd4011b92e72a54440a67760de4afae4883c33</x:v>
      </x:c>
      <x:c r="M327" t="str">
        <x:v>legacy_common_sample_8902245</x:v>
      </x:c>
      <x:c r="N327" t="str">
        <x:v>factor_report/gtja191_batch/gtja_112/ic_summary.csv</x:v>
      </x:c>
    </x:row>
    <x:row r="328">
      <x:c r="A328" t="str">
        <x:v>gtja_112</x:v>
      </x:c>
      <x:c r="B328" s="22" t="n">
        <x:v>5</x:v>
      </x:c>
      <x:c r="C328" s="23" t="n">
        <x:v>-0.032204877514276226</x:v>
      </x:c>
      <x:c r="D328" s="23" t="n">
        <x:v>0.12866584858977353</x:v>
      </x:c>
      <x:c r="E328" s="23" t="n">
        <x:v>-0.25029856692551977</x:v>
      </x:c>
      <x:c r="F328" s="23" t="n">
        <x:v>0.3997995991983968</x:v>
      </x:c>
      <x:c r="G328" s="23" t="n">
        <x:v>-0.014697537729523553</x:v>
      </x:c>
      <x:c r="H328" s="23" t="n">
        <x:v>-0.13296281697467457</x:v>
      </x:c>
      <x:c r="I328" s="24" t="n">
        <x:v>1996</x:v>
      </x:c>
      <x:c r="J328" s="25" t="n">
        <x:v>46210.62560251157</x:v>
      </x:c>
      <x:c r="K328" s="24" t="n">
        <x:v>8902245</x:v>
      </x:c>
      <x:c r="L328" t="str">
        <x:v>40355b29bce094aef0e99358bdfd4011b92e72a54440a67760de4afae4883c33</x:v>
      </x:c>
      <x:c r="M328" t="str">
        <x:v>legacy_common_sample_8902245</x:v>
      </x:c>
      <x:c r="N328" t="str">
        <x:v>factor_report/gtja191_batch/gtja_112/ic_summary.csv</x:v>
      </x:c>
    </x:row>
    <x:row r="329">
      <x:c r="A329" t="str">
        <x:v>gtja_112</x:v>
      </x:c>
      <x:c r="B329" s="22" t="n">
        <x:v>10</x:v>
      </x:c>
      <x:c r="C329" s="23" t="n">
        <x:v>-0.03326163017810002</x:v>
      </x:c>
      <x:c r="D329" s="23" t="n">
        <x:v>0.12499538795255624</x:v>
      </x:c>
      <x:c r="E329" s="23" t="n">
        <x:v>-0.26610285965690944</x:v>
      </x:c>
      <x:c r="F329" s="23" t="n">
        <x:v>0.39678553490708185</x:v>
      </x:c>
      <x:c r="G329" s="23" t="n">
        <x:v>-0.015010345689516157</x:v>
      </x:c>
      <x:c r="H329" s="23" t="n">
        <x:v>-0.14058271491296429</x:v>
      </x:c>
      <x:c r="I329" s="24" t="n">
        <x:v>1991</x:v>
      </x:c>
      <x:c r="J329" s="25" t="n">
        <x:v>46210.62560251157</x:v>
      </x:c>
      <x:c r="K329" s="24" t="n">
        <x:v>8902245</x:v>
      </x:c>
      <x:c r="L329" t="str">
        <x:v>40355b29bce094aef0e99358bdfd4011b92e72a54440a67760de4afae4883c33</x:v>
      </x:c>
      <x:c r="M329" t="str">
        <x:v>legacy_common_sample_8902245</x:v>
      </x:c>
      <x:c r="N329" t="str">
        <x:v>factor_report/gtja191_batch/gtja_112/ic_summary.csv</x:v>
      </x:c>
    </x:row>
    <x:row r="330">
      <x:c r="A330" t="str">
        <x:v>gtja_112</x:v>
      </x:c>
      <x:c r="B330" s="22" t="n">
        <x:v>20</x:v>
      </x:c>
      <x:c r="C330" s="23" t="n">
        <x:v>-0.03934198871690689</x:v>
      </x:c>
      <x:c r="D330" s="23" t="n">
        <x:v>0.12549142083652348</x:v>
      </x:c>
      <x:c r="E330" s="23" t="n">
        <x:v>-0.3135034128600499</x:v>
      </x:c>
      <x:c r="F330" s="23" t="n">
        <x:v>0.37657748611812214</x:v>
      </x:c>
      <x:c r="G330" s="23" t="n">
        <x:v>-0.01939666482043524</x:v>
      </x:c>
      <x:c r="H330" s="23" t="n">
        <x:v>-0.17949992460885567</x:v>
      </x:c>
      <x:c r="I330" s="24" t="n">
        <x:v>1981</x:v>
      </x:c>
      <x:c r="J330" s="25" t="n">
        <x:v>46210.62560251157</x:v>
      </x:c>
      <x:c r="K330" s="24" t="n">
        <x:v>8902245</x:v>
      </x:c>
      <x:c r="L330" t="str">
        <x:v>40355b29bce094aef0e99358bdfd4011b92e72a54440a67760de4afae4883c33</x:v>
      </x:c>
      <x:c r="M330" t="str">
        <x:v>legacy_common_sample_8902245</x:v>
      </x:c>
      <x:c r="N330" t="str">
        <x:v>factor_report/gtja191_batch/gtja_112/ic_summary.csv</x:v>
      </x:c>
    </x:row>
    <x:row r="331">
      <x:c r="A331" t="str">
        <x:v>gtja_113</x:v>
      </x:c>
      <x:c r="B331" s="22" t="n">
        <x:v>10</x:v>
      </x:c>
      <x:c r="C331" s="23" t="n">
        <x:v>0.022923565843053446</x:v>
      </x:c>
      <x:c r="D331" s="23" t="n">
        <x:v>0.05654185175707284</x:v>
      </x:c>
      <x:c r="E331" s="23" t="n">
        <x:v>0.40542651382453054</x:v>
      </x:c>
      <x:c r="F331" s="23" t="n">
        <x:v>0.6659969864389754</x:v>
      </x:c>
      <x:c r="G331" s="23" t="n">
        <x:v>0.010329781544707673</x:v>
      </x:c>
      <x:c r="H331" s="23" t="n">
        <x:v>0.2600827851709144</x:v>
      </x:c>
      <x:c r="I331" s="24" t="n">
        <x:v>1991</x:v>
      </x:c>
      <x:c r="J331" s="25" t="n">
        <x:v>46211.366626724535</x:v>
      </x:c>
      <x:c r="K331" s="24" t="n">
        <x:v>8902245</x:v>
      </x:c>
      <x:c r="L331" t="str">
        <x:v>8f7e606554926462248cbcc654181861438ca768a0063f6b317223ede37d16fb</x:v>
      </x:c>
      <x:c r="M331" t="str">
        <x:v>legacy_common_sample_8902245</x:v>
      </x:c>
      <x:c r="N331" t="str">
        <x:v>factor_report/gtja191_batch/gtja_113/ic_summary.csv</x:v>
      </x:c>
    </x:row>
    <x:row r="332">
      <x:c r="A332" t="str">
        <x:v>gtja_113</x:v>
      </x:c>
      <x:c r="B332" s="22" t="n">
        <x:v>20</x:v>
      </x:c>
      <x:c r="C332" s="23" t="n">
        <x:v>0.024701835081301665</x:v>
      </x:c>
      <x:c r="D332" s="23" t="n">
        <x:v>0.05625777151537266</x:v>
      </x:c>
      <x:c r="E332" s="23" t="n">
        <x:v>0.4390830709416172</x:v>
      </x:c>
      <x:c r="F332" s="23" t="n">
        <x:v>0.6784452296819788</x:v>
      </x:c>
      <x:c r="G332" s="23" t="n">
        <x:v>0.011169753408305116</x:v>
      </x:c>
      <x:c r="H332" s="23" t="n">
        <x:v>0.27841829904901494</x:v>
      </x:c>
      <x:c r="I332" s="24" t="n">
        <x:v>1981</x:v>
      </x:c>
      <x:c r="J332" s="25" t="n">
        <x:v>46211.366626724535</x:v>
      </x:c>
      <x:c r="K332" s="24" t="n">
        <x:v>8902245</x:v>
      </x:c>
      <x:c r="L332" t="str">
        <x:v>8f7e606554926462248cbcc654181861438ca768a0063f6b317223ede37d16fb</x:v>
      </x:c>
      <x:c r="M332" t="str">
        <x:v>legacy_common_sample_8902245</x:v>
      </x:c>
      <x:c r="N332" t="str">
        <x:v>factor_report/gtja191_batch/gtja_113/ic_summary.csv</x:v>
      </x:c>
    </x:row>
    <x:row r="333">
      <x:c r="A333" t="str">
        <x:v>gtja_114</x:v>
      </x:c>
      <x:c r="B333" s="22" t="n">
        <x:v>10</x:v>
      </x:c>
      <x:c r="C333" s="23" t="n">
        <x:v>0.00891392515696735</x:v>
      </x:c>
      <x:c r="D333" s="23" t="n">
        <x:v>0.11771309318310749</x:v>
      </x:c>
      <x:c r="E333" s="23" t="n">
        <x:v>0.07572585951081395</x:v>
      </x:c>
      <x:c r="F333" s="23" t="n">
        <x:v>0.520843797086891</x:v>
      </x:c>
      <x:c r="G333" s="23" t="n">
        <x:v>0.00835341194681204</x:v>
      </x:c>
      <x:c r="H333" s="23" t="n">
        <x:v>0.10359262390925891</x:v>
      </x:c>
      <x:c r="I333" s="24" t="n">
        <x:v>1991</x:v>
      </x:c>
      <x:c r="J333" s="25" t="n">
        <x:v>46211.36905150463</x:v>
      </x:c>
      <x:c r="K333" s="24" t="n">
        <x:v>8902245</x:v>
      </x:c>
      <x:c r="L333" t="str">
        <x:v>8f7e606554926462248cbcc654181861438ca768a0063f6b317223ede37d16fb</x:v>
      </x:c>
      <x:c r="M333" t="str">
        <x:v>legacy_common_sample_8902245</x:v>
      </x:c>
      <x:c r="N333" t="str">
        <x:v>factor_report/gtja191_batch/gtja_114/ic_summary.csv</x:v>
      </x:c>
    </x:row>
    <x:row r="334">
      <x:c r="A334" t="str">
        <x:v>gtja_114</x:v>
      </x:c>
      <x:c r="B334" s="22" t="n">
        <x:v>20</x:v>
      </x:c>
      <x:c r="C334" s="23" t="n">
        <x:v>0.010344839356969794</x:v>
      </x:c>
      <x:c r="D334" s="23" t="n">
        <x:v>0.11697512778055173</x:v>
      </x:c>
      <x:c r="E334" s="23" t="n">
        <x:v>0.0884362304470141</x:v>
      </x:c>
      <x:c r="F334" s="23" t="n">
        <x:v>0.5406360424028268</x:v>
      </x:c>
      <x:c r="G334" s="23" t="n">
        <x:v>0.008468263186138265</x:v>
      </x:c>
      <x:c r="H334" s="23" t="n">
        <x:v>0.10295757346360793</x:v>
      </x:c>
      <x:c r="I334" s="24" t="n">
        <x:v>1981</x:v>
      </x:c>
      <x:c r="J334" s="25" t="n">
        <x:v>46211.36905150463</x:v>
      </x:c>
      <x:c r="K334" s="24" t="n">
        <x:v>8902245</x:v>
      </x:c>
      <x:c r="L334" t="str">
        <x:v>8f7e606554926462248cbcc654181861438ca768a0063f6b317223ede37d16fb</x:v>
      </x:c>
      <x:c r="M334" t="str">
        <x:v>legacy_common_sample_8902245</x:v>
      </x:c>
      <x:c r="N334" t="str">
        <x:v>factor_report/gtja191_batch/gtja_114/ic_summary.csv</x:v>
      </x:c>
    </x:row>
    <x:row r="335">
      <x:c r="A335" t="str">
        <x:v>gtja_115</x:v>
      </x:c>
      <x:c r="B335" s="22" t="n">
        <x:v>10</x:v>
      </x:c>
      <x:c r="C335" s="23" t="n">
        <x:v>0.007737353715511953</x:v>
      </x:c>
      <x:c r="D335" s="23" t="n">
        <x:v>0.0643886303941607</x:v>
      </x:c>
      <x:c r="E335" s="23" t="n">
        <x:v>0.12016645901841765</x:v>
      </x:c>
      <x:c r="F335" s="23" t="n">
        <x:v>0.5374183827222502</x:v>
      </x:c>
      <x:c r="G335" s="23" t="n">
        <x:v>0.0007154570961561749</x:v>
      </x:c>
      <x:c r="H335" s="23" t="n">
        <x:v>0.014222325401612383</x:v>
      </x:c>
      <x:c r="I335" s="24" t="n">
        <x:v>1991</x:v>
      </x:c>
      <x:c r="J335" s="25" t="n">
        <x:v>46211.375733472225</x:v>
      </x:c>
      <x:c r="K335" s="24" t="n">
        <x:v>8902245</x:v>
      </x:c>
      <x:c r="L335" t="str">
        <x:v>8f7e606554926462248cbcc654181861438ca768a0063f6b317223ede37d16fb</x:v>
      </x:c>
      <x:c r="M335" t="str">
        <x:v>legacy_common_sample_8902245</x:v>
      </x:c>
      <x:c r="N335" t="str">
        <x:v>factor_report/gtja191_batch/gtja_115/ic_summary.csv</x:v>
      </x:c>
    </x:row>
    <x:row r="336">
      <x:c r="A336" t="str">
        <x:v>gtja_115</x:v>
      </x:c>
      <x:c r="B336" s="22" t="n">
        <x:v>20</x:v>
      </x:c>
      <x:c r="C336" s="23" t="n">
        <x:v>0.012895301921902426</x:v>
      </x:c>
      <x:c r="D336" s="23" t="n">
        <x:v>0.0644420066476776</x:v>
      </x:c>
      <x:c r="E336" s="23" t="n">
        <x:v>0.2001070822081105</x:v>
      </x:c>
      <x:c r="F336" s="23" t="n">
        <x:v>0.5825340737001514</x:v>
      </x:c>
      <x:c r="G336" s="23" t="n">
        <x:v>0.005901347869941031</x:v>
      </x:c>
      <x:c r="H336" s="23" t="n">
        <x:v>0.11424912347910093</x:v>
      </x:c>
      <x:c r="I336" s="24" t="n">
        <x:v>1981</x:v>
      </x:c>
      <x:c r="J336" s="25" t="n">
        <x:v>46211.375733472225</x:v>
      </x:c>
      <x:c r="K336" s="24" t="n">
        <x:v>8902245</x:v>
      </x:c>
      <x:c r="L336" t="str">
        <x:v>8f7e606554926462248cbcc654181861438ca768a0063f6b317223ede37d16fb</x:v>
      </x:c>
      <x:c r="M336" t="str">
        <x:v>legacy_common_sample_8902245</x:v>
      </x:c>
      <x:c r="N336" t="str">
        <x:v>factor_report/gtja191_batch/gtja_115/ic_summary.csv</x:v>
      </x:c>
    </x:row>
    <x:row r="337">
      <x:c r="A337" t="str">
        <x:v>gtja_116</x:v>
      </x:c>
      <x:c r="B337" s="22" t="n">
        <x:v>1</x:v>
      </x:c>
      <x:c r="C337" s="23" t="n">
        <x:v>-0.02825792301025803</x:v>
      </x:c>
      <x:c r="D337" s="23" t="n">
        <x:v>0.14494862761653346</x:v>
      </x:c>
      <x:c r="E337" s="23" t="n">
        <x:v>-0.19495129740045095</x:v>
      </x:c>
      <x:c r="F337" s="23" t="n">
        <x:v>0.4065</x:v>
      </x:c>
      <x:c r="G337" s="23" t="n">
        <x:v>-0.008576746406097286</x:v>
      </x:c>
      <x:c r="H337" s="23" t="n">
        <x:v>-0.09106312959505562</x:v>
      </x:c>
      <x:c r="I337" s="24" t="n">
        <x:v>2000</x:v>
      </x:c>
      <x:c r="J337" s="25" t="n">
        <x:v>46210.64638673611</x:v>
      </x:c>
      <x:c r="K337" s="24" t="n">
        <x:v>8902245</x:v>
      </x:c>
      <x:c r="L337" t="str">
        <x:v>40355b29bce094aef0e99358bdfd4011b92e72a54440a67760de4afae4883c33</x:v>
      </x:c>
      <x:c r="M337" t="str">
        <x:v>legacy_common_sample_8902245</x:v>
      </x:c>
      <x:c r="N337" t="str">
        <x:v>factor_report/gtja191_batch/gtja_116/ic_summary.csv</x:v>
      </x:c>
    </x:row>
    <x:row r="338">
      <x:c r="A338" t="str">
        <x:v>gtja_116</x:v>
      </x:c>
      <x:c r="B338" s="22" t="n">
        <x:v>5</x:v>
      </x:c>
      <x:c r="C338" s="23" t="n">
        <x:v>-0.04277419174351928</x:v>
      </x:c>
      <x:c r="D338" s="23" t="n">
        <x:v>0.13411963971571836</x:v>
      </x:c>
      <x:c r="E338" s="23" t="n">
        <x:v>-0.3189256385879352</x:v>
      </x:c>
      <x:c r="F338" s="23" t="n">
        <x:v>0.36773547094188375</x:v>
      </x:c>
      <x:c r="G338" s="23" t="n">
        <x:v>-0.016269891531622453</x:v>
      </x:c>
      <x:c r="H338" s="23" t="n">
        <x:v>-0.19034864129722978</x:v>
      </x:c>
      <x:c r="I338" s="24" t="n">
        <x:v>1996</x:v>
      </x:c>
      <x:c r="J338" s="25" t="n">
        <x:v>46210.64638673611</x:v>
      </x:c>
      <x:c r="K338" s="24" t="n">
        <x:v>8902245</x:v>
      </x:c>
      <x:c r="L338" t="str">
        <x:v>40355b29bce094aef0e99358bdfd4011b92e72a54440a67760de4afae4883c33</x:v>
      </x:c>
      <x:c r="M338" t="str">
        <x:v>legacy_common_sample_8902245</x:v>
      </x:c>
      <x:c r="N338" t="str">
        <x:v>factor_report/gtja191_batch/gtja_116/ic_summary.csv</x:v>
      </x:c>
    </x:row>
    <x:row r="339">
      <x:c r="A339" t="str">
        <x:v>gtja_116</x:v>
      </x:c>
      <x:c r="B339" s="22" t="n">
        <x:v>10</x:v>
      </x:c>
      <x:c r="C339" s="23" t="n">
        <x:v>-0.05109072393000672</x:v>
      </x:c>
      <x:c r="D339" s="23" t="n">
        <x:v>0.12925864328246975</x:v>
      </x:c>
      <x:c r="E339" s="23" t="n">
        <x:v>-0.3952596331864464</x:v>
      </x:c>
      <x:c r="F339" s="23" t="n">
        <x:v>0.34907081868407835</x:v>
      </x:c>
      <x:c r="G339" s="23" t="n">
        <x:v>-0.020086110537147</x:v>
      </x:c>
      <x:c r="H339" s="23" t="n">
        <x:v>-0.24364339376027772</x:v>
      </x:c>
      <x:c r="I339" s="24" t="n">
        <x:v>1991</x:v>
      </x:c>
      <x:c r="J339" s="25" t="n">
        <x:v>46210.64638673611</x:v>
      </x:c>
      <x:c r="K339" s="24" t="n">
        <x:v>8902245</x:v>
      </x:c>
      <x:c r="L339" t="str">
        <x:v>40355b29bce094aef0e99358bdfd4011b92e72a54440a67760de4afae4883c33</x:v>
      </x:c>
      <x:c r="M339" t="str">
        <x:v>legacy_common_sample_8902245</x:v>
      </x:c>
      <x:c r="N339" t="str">
        <x:v>factor_report/gtja191_batch/gtja_116/ic_summary.csv</x:v>
      </x:c>
    </x:row>
    <x:row r="340">
      <x:c r="A340" t="str">
        <x:v>gtja_116</x:v>
      </x:c>
      <x:c r="B340" s="22" t="n">
        <x:v>20</x:v>
      </x:c>
      <x:c r="C340" s="23" t="n">
        <x:v>-0.056171338403911066</x:v>
      </x:c>
      <x:c r="D340" s="23" t="n">
        <x:v>0.13222457679161828</x:v>
      </x:c>
      <x:c r="E340" s="23" t="n">
        <x:v>-0.42481768342080084</x:v>
      </x:c>
      <x:c r="F340" s="23" t="n">
        <x:v>0.34174659262998486</x:v>
      </x:c>
      <x:c r="G340" s="23" t="n">
        <x:v>-0.020312846266858864</x:v>
      </x:c>
      <x:c r="H340" s="23" t="n">
        <x:v>-0.23599073504679421</x:v>
      </x:c>
      <x:c r="I340" s="24" t="n">
        <x:v>1981</x:v>
      </x:c>
      <x:c r="J340" s="25" t="n">
        <x:v>46210.64638673611</x:v>
      </x:c>
      <x:c r="K340" s="24" t="n">
        <x:v>8902245</x:v>
      </x:c>
      <x:c r="L340" t="str">
        <x:v>40355b29bce094aef0e99358bdfd4011b92e72a54440a67760de4afae4883c33</x:v>
      </x:c>
      <x:c r="M340" t="str">
        <x:v>legacy_common_sample_8902245</x:v>
      </x:c>
      <x:c r="N340" t="str">
        <x:v>factor_report/gtja191_batch/gtja_116/ic_summary.csv</x:v>
      </x:c>
    </x:row>
    <x:row r="341">
      <x:c r="A341" t="str">
        <x:v>gtja_117</x:v>
      </x:c>
      <x:c r="B341" s="22" t="n">
        <x:v>10</x:v>
      </x:c>
      <x:c r="C341" s="23" t="n">
        <x:v>0.010421149081802894</x:v>
      </x:c>
      <x:c r="D341" s="23" t="n">
        <x:v>0.0934284991523459</x:v>
      </x:c>
      <x:c r="E341" s="23" t="n">
        <x:v>0.11154143731678717</x:v>
      </x:c>
      <x:c r="F341" s="23" t="n">
        <x:v>0.5213460572576595</x:v>
      </x:c>
      <x:c r="G341" s="23" t="n">
        <x:v>0.0019411650931367747</x:v>
      </x:c>
      <x:c r="H341" s="23" t="n">
        <x:v>0.0285956506623602</x:v>
      </x:c>
      <x:c r="I341" s="24" t="n">
        <x:v>1991</x:v>
      </x:c>
      <x:c r="J341" s="25" t="n">
        <x:v>46211.384815150464</x:v>
      </x:c>
      <x:c r="K341" s="24" t="n">
        <x:v>8902245</x:v>
      </x:c>
      <x:c r="L341" t="str">
        <x:v>8f7e606554926462248cbcc654181861438ca768a0063f6b317223ede37d16fb</x:v>
      </x:c>
      <x:c r="M341" t="str">
        <x:v>legacy_common_sample_8902245</x:v>
      </x:c>
      <x:c r="N341" t="str">
        <x:v>factor_report/gtja191_batch/gtja_117/ic_summary.csv</x:v>
      </x:c>
    </x:row>
    <x:row r="342">
      <x:c r="A342" t="str">
        <x:v>gtja_117</x:v>
      </x:c>
      <x:c r="B342" s="22" t="n">
        <x:v>20</x:v>
      </x:c>
      <x:c r="C342" s="23" t="n">
        <x:v>0.011127967456839522</x:v>
      </x:c>
      <x:c r="D342" s="23" t="n">
        <x:v>0.09143562000060194</x:v>
      </x:c>
      <x:c r="E342" s="23" t="n">
        <x:v>0.12170276153610883</x:v>
      </x:c>
      <x:c r="F342" s="23" t="n">
        <x:v>0.546693589096416</x:v>
      </x:c>
      <x:c r="G342" s="23" t="n">
        <x:v>0.0024560288262330575</x:v>
      </x:c>
      <x:c r="H342" s="23" t="n">
        <x:v>0.03649705911701092</x:v>
      </x:c>
      <x:c r="I342" s="24" t="n">
        <x:v>1981</x:v>
      </x:c>
      <x:c r="J342" s="25" t="n">
        <x:v>46211.384815150464</x:v>
      </x:c>
      <x:c r="K342" s="24" t="n">
        <x:v>8902245</x:v>
      </x:c>
      <x:c r="L342" t="str">
        <x:v>8f7e606554926462248cbcc654181861438ca768a0063f6b317223ede37d16fb</x:v>
      </x:c>
      <x:c r="M342" t="str">
        <x:v>legacy_common_sample_8902245</x:v>
      </x:c>
      <x:c r="N342" t="str">
        <x:v>factor_report/gtja191_batch/gtja_117/ic_summary.csv</x:v>
      </x:c>
    </x:row>
    <x:row r="343">
      <x:c r="A343" t="str">
        <x:v>gtja_118</x:v>
      </x:c>
      <x:c r="B343" s="22" t="n">
        <x:v>1</x:v>
      </x:c>
      <x:c r="C343" s="23" t="n">
        <x:v>-0.03659425054575604</x:v>
      </x:c>
      <x:c r="D343" s="23" t="n">
        <x:v>0.12263239759030531</x:v>
      </x:c>
      <x:c r="E343" s="23" t="n">
        <x:v>-0.29840605961249667</x:v>
      </x:c>
      <x:c r="F343" s="23" t="n">
        <x:v>0.3765</x:v>
      </x:c>
      <x:c r="G343" s="23" t="n">
        <x:v>-0.011092812338611906</x:v>
      </x:c>
      <x:c r="H343" s="23" t="n">
        <x:v>-0.09775302932833466</x:v>
      </x:c>
      <x:c r="I343" s="24" t="n">
        <x:v>2000</x:v>
      </x:c>
      <x:c r="J343" s="25" t="n">
        <x:v>46210.66222452546</x:v>
      </x:c>
      <x:c r="K343" s="24" t="n">
        <x:v>8902245</x:v>
      </x:c>
      <x:c r="L343" t="str">
        <x:v>40355b29bce094aef0e99358bdfd4011b92e72a54440a67760de4afae4883c33</x:v>
      </x:c>
      <x:c r="M343" t="str">
        <x:v>legacy_common_sample_8902245</x:v>
      </x:c>
      <x:c r="N343" t="str">
        <x:v>factor_report/gtja191_batch/gtja_118/ic_summary.csv</x:v>
      </x:c>
    </x:row>
    <x:row r="344">
      <x:c r="A344" t="str">
        <x:v>gtja_118</x:v>
      </x:c>
      <x:c r="B344" s="22" t="n">
        <x:v>5</x:v>
      </x:c>
      <x:c r="C344" s="23" t="n">
        <x:v>-0.04965633935073342</x:v>
      </x:c>
      <x:c r="D344" s="23" t="n">
        <x:v>0.11379580319430964</x:v>
      </x:c>
      <x:c r="E344" s="23" t="n">
        <x:v>-0.43636353852122106</x:v>
      </x:c>
      <x:c r="F344" s="23" t="n">
        <x:v>0.3191382765531062</x:v>
      </x:c>
      <x:c r="G344" s="23" t="n">
        <x:v>-0.02302955398630403</x:v>
      </x:c>
      <x:c r="H344" s="23" t="n">
        <x:v>-0.2201010606747516</x:v>
      </x:c>
      <x:c r="I344" s="24" t="n">
        <x:v>1996</x:v>
      </x:c>
      <x:c r="J344" s="25" t="n">
        <x:v>46210.66222452546</x:v>
      </x:c>
      <x:c r="K344" s="24" t="n">
        <x:v>8902245</x:v>
      </x:c>
      <x:c r="L344" t="str">
        <x:v>40355b29bce094aef0e99358bdfd4011b92e72a54440a67760de4afae4883c33</x:v>
      </x:c>
      <x:c r="M344" t="str">
        <x:v>legacy_common_sample_8902245</x:v>
      </x:c>
      <x:c r="N344" t="str">
        <x:v>factor_report/gtja191_batch/gtja_118/ic_summary.csv</x:v>
      </x:c>
    </x:row>
    <x:row r="345">
      <x:c r="A345" t="str">
        <x:v>gtja_118</x:v>
      </x:c>
      <x:c r="B345" s="22" t="n">
        <x:v>10</x:v>
      </x:c>
      <x:c r="C345" s="23" t="n">
        <x:v>-0.0569573609939469</x:v>
      </x:c>
      <x:c r="D345" s="23" t="n">
        <x:v>0.11069269906997063</x:v>
      </x:c>
      <x:c r="E345" s="23" t="n">
        <x:v>-0.5145539089072464</x:v>
      </x:c>
      <x:c r="F345" s="23" t="n">
        <x:v>0.30135610246107486</x:v>
      </x:c>
      <x:c r="G345" s="23" t="n">
        <x:v>-0.02831518925244119</x:v>
      </x:c>
      <x:c r="H345" s="23" t="n">
        <x:v>-0.27817118083436365</x:v>
      </x:c>
      <x:c r="I345" s="24" t="n">
        <x:v>1991</x:v>
      </x:c>
      <x:c r="J345" s="25" t="n">
        <x:v>46210.66222452546</x:v>
      </x:c>
      <x:c r="K345" s="24" t="n">
        <x:v>8902245</x:v>
      </x:c>
      <x:c r="L345" t="str">
        <x:v>40355b29bce094aef0e99358bdfd4011b92e72a54440a67760de4afae4883c33</x:v>
      </x:c>
      <x:c r="M345" t="str">
        <x:v>legacy_common_sample_8902245</x:v>
      </x:c>
      <x:c r="N345" t="str">
        <x:v>factor_report/gtja191_batch/gtja_118/ic_summary.csv</x:v>
      </x:c>
    </x:row>
    <x:row r="346">
      <x:c r="A346" t="str">
        <x:v>gtja_118</x:v>
      </x:c>
      <x:c r="B346" s="22" t="n">
        <x:v>20</x:v>
      </x:c>
      <x:c r="C346" s="23" t="n">
        <x:v>-0.06584152426254862</x:v>
      </x:c>
      <x:c r="D346" s="23" t="n">
        <x:v>0.1101985543429542</x:v>
      </x:c>
      <x:c r="E346" s="23" t="n">
        <x:v>-0.5974808349811928</x:v>
      </x:c>
      <x:c r="F346" s="23" t="n">
        <x:v>0.2756183745583039</x:v>
      </x:c>
      <x:c r="G346" s="23" t="n">
        <x:v>-0.03319199642386431</x:v>
      </x:c>
      <x:c r="H346" s="23" t="n">
        <x:v>-0.3324393248634844</x:v>
      </x:c>
      <x:c r="I346" s="24" t="n">
        <x:v>1981</x:v>
      </x:c>
      <x:c r="J346" s="25" t="n">
        <x:v>46210.66222452546</x:v>
      </x:c>
      <x:c r="K346" s="24" t="n">
        <x:v>8902245</x:v>
      </x:c>
      <x:c r="L346" t="str">
        <x:v>40355b29bce094aef0e99358bdfd4011b92e72a54440a67760de4afae4883c33</x:v>
      </x:c>
      <x:c r="M346" t="str">
        <x:v>legacy_common_sample_8902245</x:v>
      </x:c>
      <x:c r="N346" t="str">
        <x:v>factor_report/gtja191_batch/gtja_118/ic_summary.csv</x:v>
      </x:c>
    </x:row>
    <x:row r="347">
      <x:c r="A347" t="str">
        <x:v>gtja_119</x:v>
      </x:c>
      <x:c r="B347" s="22" t="n">
        <x:v>10</x:v>
      </x:c>
      <x:c r="C347" s="23" t="n">
        <x:v>0.0011128183046609727</x:v>
      </x:c>
      <x:c r="D347" s="23" t="n">
        <x:v>0.05215670566259264</x:v>
      </x:c>
      <x:c r="E347" s="23" t="n">
        <x:v>0.021336054310253306</x:v>
      </x:c>
      <x:c r="F347" s="23" t="n">
        <x:v>0.5143144148669011</x:v>
      </x:c>
      <x:c r="G347" s="23" t="n">
        <x:v>0.0004498752061187341</x:v>
      </x:c>
      <x:c r="H347" s="23" t="n">
        <x:v>0.010578173882792438</x:v>
      </x:c>
      <x:c r="I347" s="24" t="n">
        <x:v>1991</x:v>
      </x:c>
      <x:c r="J347" s="25" t="n">
        <x:v>46211.39142025463</x:v>
      </x:c>
      <x:c r="K347" s="24" t="n">
        <x:v>8902245</x:v>
      </x:c>
      <x:c r="L347" t="str">
        <x:v>8f7e606554926462248cbcc654181861438ca768a0063f6b317223ede37d16fb</x:v>
      </x:c>
      <x:c r="M347" t="str">
        <x:v>legacy_common_sample_8902245</x:v>
      </x:c>
      <x:c r="N347" t="str">
        <x:v>factor_report/gtja191_batch/gtja_119/ic_summary.csv</x:v>
      </x:c>
    </x:row>
    <x:row r="348">
      <x:c r="A348" t="str">
        <x:v>gtja_119</x:v>
      </x:c>
      <x:c r="B348" s="22" t="n">
        <x:v>20</x:v>
      </x:c>
      <x:c r="C348" s="23" t="n">
        <x:v>0.004066268877884704</x:v>
      </x:c>
      <x:c r="D348" s="23" t="n">
        <x:v>0.05056207116361191</x:v>
      </x:c>
      <x:c r="E348" s="23" t="n">
        <x:v>0.08042132737653916</x:v>
      </x:c>
      <x:c r="F348" s="23" t="n">
        <x:v>0.5209490156486623</x:v>
      </x:c>
      <x:c r="G348" s="23" t="n">
        <x:v>0.002627076568463947</x:v>
      </x:c>
      <x:c r="H348" s="23" t="n">
        <x:v>0.06156243036944384</x:v>
      </x:c>
      <x:c r="I348" s="24" t="n">
        <x:v>1981</x:v>
      </x:c>
      <x:c r="J348" s="25" t="n">
        <x:v>46211.39142025463</x:v>
      </x:c>
      <x:c r="K348" s="24" t="n">
        <x:v>8902245</x:v>
      </x:c>
      <x:c r="L348" t="str">
        <x:v>8f7e606554926462248cbcc654181861438ca768a0063f6b317223ede37d16fb</x:v>
      </x:c>
      <x:c r="M348" t="str">
        <x:v>legacy_common_sample_8902245</x:v>
      </x:c>
      <x:c r="N348" t="str">
        <x:v>factor_report/gtja191_batch/gtja_119/ic_summary.csv</x:v>
      </x:c>
    </x:row>
    <x:row r="349">
      <x:c r="A349" t="str">
        <x:v>gtja_120</x:v>
      </x:c>
      <x:c r="B349" s="22" t="n">
        <x:v>10</x:v>
      </x:c>
      <x:c r="C349" s="23" t="n">
        <x:v>0.04280983328161368</x:v>
      </x:c>
      <x:c r="D349" s="23" t="n">
        <x:v>0.14817752102517875</x:v>
      </x:c>
      <x:c r="E349" s="23" t="n">
        <x:v>0.2889090935347698</x:v>
      </x:c>
      <x:c r="F349" s="23" t="n">
        <x:v>0.6057257659467604</x:v>
      </x:c>
      <x:c r="G349" s="23" t="n">
        <x:v>0.011589263433386444</x:v>
      </x:c>
      <x:c r="H349" s="23" t="n">
        <x:v>0.29039432628402406</x:v>
      </x:c>
      <x:c r="I349" s="24" t="n">
        <x:v>1991</x:v>
      </x:c>
      <x:c r="J349" s="25" t="n">
        <x:v>46211.39541752315</x:v>
      </x:c>
      <x:c r="K349" s="24" t="n">
        <x:v>8902245</x:v>
      </x:c>
      <x:c r="L349" t="str">
        <x:v>8f7e606554926462248cbcc654181861438ca768a0063f6b317223ede37d16fb</x:v>
      </x:c>
      <x:c r="M349" t="str">
        <x:v>legacy_common_sample_8902245</x:v>
      </x:c>
      <x:c r="N349" t="str">
        <x:v>factor_report/gtja191_batch/gtja_120/ic_summary.csv</x:v>
      </x:c>
    </x:row>
    <x:row r="350">
      <x:c r="A350" t="str">
        <x:v>gtja_120</x:v>
      </x:c>
      <x:c r="B350" s="22" t="n">
        <x:v>20</x:v>
      </x:c>
      <x:c r="C350" s="23" t="n">
        <x:v>0.05357793930772217</x:v>
      </x:c>
      <x:c r="D350" s="23" t="n">
        <x:v>0.15056080826428653</x:v>
      </x:c>
      <x:c r="E350" s="23" t="n">
        <x:v>0.3558558161674735</x:v>
      </x:c>
      <x:c r="F350" s="23" t="n">
        <x:v>0.618879353861686</x:v>
      </x:c>
      <x:c r="G350" s="23" t="n">
        <x:v>0.01746689160102537</x:v>
      </x:c>
      <x:c r="H350" s="23" t="n">
        <x:v>0.3958965719893244</x:v>
      </x:c>
      <x:c r="I350" s="24" t="n">
        <x:v>1981</x:v>
      </x:c>
      <x:c r="J350" s="25" t="n">
        <x:v>46211.39541752315</x:v>
      </x:c>
      <x:c r="K350" s="24" t="n">
        <x:v>8902245</x:v>
      </x:c>
      <x:c r="L350" t="str">
        <x:v>8f7e606554926462248cbcc654181861438ca768a0063f6b317223ede37d16fb</x:v>
      </x:c>
      <x:c r="M350" t="str">
        <x:v>legacy_common_sample_8902245</x:v>
      </x:c>
      <x:c r="N350" t="str">
        <x:v>factor_report/gtja191_batch/gtja_120/ic_summary.csv</x:v>
      </x:c>
    </x:row>
    <x:row r="351">
      <x:c r="A351" t="str">
        <x:v>gtja_121</x:v>
      </x:c>
      <x:c r="B351" s="22" t="n">
        <x:v>10</x:v>
      </x:c>
      <x:c r="C351" s="23" t="n">
        <x:v>0.052749039392317676</x:v>
      </x:c>
      <x:c r="D351" s="23" t="n">
        <x:v>0.13027001578266867</x:v>
      </x:c>
      <x:c r="E351" s="23" t="n">
        <x:v>0.40492080295990485</x:v>
      </x:c>
      <x:c r="F351" s="23" t="n">
        <x:v>0.6609137055837564</x:v>
      </x:c>
      <x:c r="G351" s="23" t="n">
        <x:v>0.02038620272927772</x:v>
      </x:c>
      <x:c r="H351" s="23" t="n">
        <x:v>0.19155717872444428</x:v>
      </x:c>
      <x:c r="I351" s="24" t="n">
        <x:v>1970</x:v>
      </x:c>
      <x:c r="J351" s="25" t="n">
        <x:v>46211.40481090278</x:v>
      </x:c>
      <x:c r="K351" s="24" t="n">
        <x:v>8902245</x:v>
      </x:c>
      <x:c r="L351" t="str">
        <x:v>8f7e606554926462248cbcc654181861438ca768a0063f6b317223ede37d16fb</x:v>
      </x:c>
      <x:c r="M351" t="str">
        <x:v>legacy_common_sample_8902245</x:v>
      </x:c>
      <x:c r="N351" t="str">
        <x:v>factor_report/gtja191_batch/gtja_121/ic_summary.csv</x:v>
      </x:c>
    </x:row>
    <x:row r="352">
      <x:c r="A352" t="str">
        <x:v>gtja_121</x:v>
      </x:c>
      <x:c r="B352" s="22" t="n">
        <x:v>20</x:v>
      </x:c>
      <x:c r="C352" s="23" t="n">
        <x:v>0.06405034880037078</x:v>
      </x:c>
      <x:c r="D352" s="23" t="n">
        <x:v>0.13772742519142997</x:v>
      </x:c>
      <x:c r="E352" s="23" t="n">
        <x:v>0.4650515226821817</x:v>
      </x:c>
      <x:c r="F352" s="23" t="n">
        <x:v>0.6795918367346939</x:v>
      </x:c>
      <x:c r="G352" s="23" t="n">
        <x:v>0.028098970307278197</x:v>
      </x:c>
      <x:c r="H352" s="23" t="n">
        <x:v>0.24546113299902123</x:v>
      </x:c>
      <x:c r="I352" s="24" t="n">
        <x:v>1960</x:v>
      </x:c>
      <x:c r="J352" s="25" t="n">
        <x:v>46211.40481090278</x:v>
      </x:c>
      <x:c r="K352" s="24" t="n">
        <x:v>8902245</x:v>
      </x:c>
      <x:c r="L352" t="str">
        <x:v>8f7e606554926462248cbcc654181861438ca768a0063f6b317223ede37d16fb</x:v>
      </x:c>
      <x:c r="M352" t="str">
        <x:v>legacy_common_sample_8902245</x:v>
      </x:c>
      <x:c r="N352" t="str">
        <x:v>factor_report/gtja191_batch/gtja_121/ic_summary.csv</x:v>
      </x:c>
    </x:row>
    <x:row r="353">
      <x:c r="A353" t="str">
        <x:v>gtja_122</x:v>
      </x:c>
      <x:c r="B353" s="22" t="n">
        <x:v>1</x:v>
      </x:c>
      <x:c r="C353" s="23" t="n">
        <x:v>-0.02822400894571206</x:v>
      </x:c>
      <x:c r="D353" s="23" t="n">
        <x:v>0.1507267404559917</x:v>
      </x:c>
      <x:c r="E353" s="23" t="n">
        <x:v>-0.18725283158334297</x:v>
      </x:c>
      <x:c r="F353" s="23" t="n">
        <x:v>0.417</x:v>
      </x:c>
      <x:c r="G353" s="23" t="n">
        <x:v>-0.009656895618250182</x:v>
      </x:c>
      <x:c r="H353" s="23" t="n">
        <x:v>-0.08723322585850121</x:v>
      </x:c>
      <x:c r="I353" s="24" t="n">
        <x:v>2000</x:v>
      </x:c>
      <x:c r="J353" s="25" t="n">
        <x:v>46210.69213701389</x:v>
      </x:c>
      <x:c r="K353" s="24" t="n">
        <x:v>8902245</x:v>
      </x:c>
      <x:c r="L353" t="str">
        <x:v>40355b29bce094aef0e99358bdfd4011b92e72a54440a67760de4afae4883c33</x:v>
      </x:c>
      <x:c r="M353" t="str">
        <x:v>legacy_common_sample_8902245</x:v>
      </x:c>
      <x:c r="N353" t="str">
        <x:v>factor_report/gtja191_batch/gtja_122/ic_summary.csv</x:v>
      </x:c>
    </x:row>
    <x:row r="354">
      <x:c r="A354" t="str">
        <x:v>gtja_122</x:v>
      </x:c>
      <x:c r="B354" s="22" t="n">
        <x:v>5</x:v>
      </x:c>
      <x:c r="C354" s="23" t="n">
        <x:v>-0.0438131005715145</x:v>
      </x:c>
      <x:c r="D354" s="23" t="n">
        <x:v>0.14336684303355327</x:v>
      </x:c>
      <x:c r="E354" s="23" t="n">
        <x:v>-0.3056013485716539</x:v>
      </x:c>
      <x:c r="F354" s="23" t="n">
        <x:v>0.3907815631262525</x:v>
      </x:c>
      <x:c r="G354" s="23" t="n">
        <x:v>-0.01916637976853975</x:v>
      </x:c>
      <x:c r="H354" s="23" t="n">
        <x:v>-0.17842723010506098</x:v>
      </x:c>
      <x:c r="I354" s="24" t="n">
        <x:v>1996</x:v>
      </x:c>
      <x:c r="J354" s="25" t="n">
        <x:v>46210.69213701389</x:v>
      </x:c>
      <x:c r="K354" s="24" t="n">
        <x:v>8902245</x:v>
      </x:c>
      <x:c r="L354" t="str">
        <x:v>40355b29bce094aef0e99358bdfd4011b92e72a54440a67760de4afae4883c33</x:v>
      </x:c>
      <x:c r="M354" t="str">
        <x:v>legacy_common_sample_8902245</x:v>
      </x:c>
      <x:c r="N354" t="str">
        <x:v>factor_report/gtja191_batch/gtja_122/ic_summary.csv</x:v>
      </x:c>
    </x:row>
    <x:row r="355">
      <x:c r="A355" t="str">
        <x:v>gtja_122</x:v>
      </x:c>
      <x:c r="B355" s="22" t="n">
        <x:v>10</x:v>
      </x:c>
      <x:c r="C355" s="23" t="n">
        <x:v>-0.052148612256162144</x:v>
      </x:c>
      <x:c r="D355" s="23" t="n">
        <x:v>0.14035188011403266</x:v>
      </x:c>
      <x:c r="E355" s="23" t="n">
        <x:v>-0.3715562072541715</x:v>
      </x:c>
      <x:c r="F355" s="23" t="n">
        <x:v>0.3666499246609744</x:v>
      </x:c>
      <x:c r="G355" s="23" t="n">
        <x:v>-0.024475143507692615</x:v>
      </x:c>
      <x:c r="H355" s="23" t="n">
        <x:v>-0.2295061932223889</x:v>
      </x:c>
      <x:c r="I355" s="24" t="n">
        <x:v>1991</x:v>
      </x:c>
      <x:c r="J355" s="25" t="n">
        <x:v>46210.69213701389</x:v>
      </x:c>
      <x:c r="K355" s="24" t="n">
        <x:v>8902245</x:v>
      </x:c>
      <x:c r="L355" t="str">
        <x:v>40355b29bce094aef0e99358bdfd4011b92e72a54440a67760de4afae4883c33</x:v>
      </x:c>
      <x:c r="M355" t="str">
        <x:v>legacy_common_sample_8902245</x:v>
      </x:c>
      <x:c r="N355" t="str">
        <x:v>factor_report/gtja191_batch/gtja_122/ic_summary.csv</x:v>
      </x:c>
    </x:row>
    <x:row r="356">
      <x:c r="A356" t="str">
        <x:v>gtja_122</x:v>
      </x:c>
      <x:c r="B356" s="22" t="n">
        <x:v>20</x:v>
      </x:c>
      <x:c r="C356" s="23" t="n">
        <x:v>-0.06169555004624976</x:v>
      </x:c>
      <x:c r="D356" s="23" t="n">
        <x:v>0.14376589309802157</x:v>
      </x:c>
      <x:c r="E356" s="23" t="n">
        <x:v>-0.42913898920507443</x:v>
      </x:c>
      <x:c r="F356" s="23" t="n">
        <x:v>0.3432609793033821</x:v>
      </x:c>
      <x:c r="G356" s="23" t="n">
        <x:v>-0.02894877316253272</x:v>
      </x:c>
      <x:c r="H356" s="23" t="n">
        <x:v>-0.2647693230893919</x:v>
      </x:c>
      <x:c r="I356" s="24" t="n">
        <x:v>1981</x:v>
      </x:c>
      <x:c r="J356" s="25" t="n">
        <x:v>46210.69213701389</x:v>
      </x:c>
      <x:c r="K356" s="24" t="n">
        <x:v>8902245</x:v>
      </x:c>
      <x:c r="L356" t="str">
        <x:v>40355b29bce094aef0e99358bdfd4011b92e72a54440a67760de4afae4883c33</x:v>
      </x:c>
      <x:c r="M356" t="str">
        <x:v>legacy_common_sample_8902245</x:v>
      </x:c>
      <x:c r="N356" t="str">
        <x:v>factor_report/gtja191_batch/gtja_122/ic_summary.csv</x:v>
      </x:c>
    </x:row>
    <x:row r="357">
      <x:c r="A357" t="str">
        <x:v>gtja_123</x:v>
      </x:c>
      <x:c r="B357" s="22" t="n">
        <x:v>10</x:v>
      </x:c>
      <x:c r="C357" s="23" t="n">
        <x:v>0.011980777322754587</x:v>
      </x:c>
      <x:c r="D357" s="23" t="n">
        <x:v>0.05701727096237239</x:v>
      </x:c>
      <x:c r="E357" s="23" t="n">
        <x:v>0.21012540797789328</x:v>
      </x:c>
      <x:c r="F357" s="23" t="n">
        <x:v>0.58634742740703</x:v>
      </x:c>
      <x:c r="G357" s="23" t="n">
        <x:v>0.0050823766455215065</x:v>
      </x:c>
      <x:c r="H357" s="23" t="n">
        <x:v>0.10671192211240688</x:v>
      </x:c>
      <x:c r="I357" s="24" t="n">
        <x:v>1963</x:v>
      </x:c>
      <x:c r="J357" s="25" t="n">
        <x:v>46211.407905775464</x:v>
      </x:c>
      <x:c r="K357" s="24" t="n">
        <x:v>8902245</x:v>
      </x:c>
      <x:c r="L357" t="str">
        <x:v>8f7e606554926462248cbcc654181861438ca768a0063f6b317223ede37d16fb</x:v>
      </x:c>
      <x:c r="M357" t="str">
        <x:v>legacy_common_sample_8902245</x:v>
      </x:c>
      <x:c r="N357" t="str">
        <x:v>factor_report/gtja191_batch/gtja_123/ic_summary.csv</x:v>
      </x:c>
    </x:row>
    <x:row r="358">
      <x:c r="A358" t="str">
        <x:v>gtja_123</x:v>
      </x:c>
      <x:c r="B358" s="22" t="n">
        <x:v>20</x:v>
      </x:c>
      <x:c r="C358" s="23" t="n">
        <x:v>0.016235807977282926</x:v>
      </x:c>
      <x:c r="D358" s="23" t="n">
        <x:v>0.05607815291636207</x:v>
      </x:c>
      <x:c r="E358" s="23" t="n">
        <x:v>0.2895210903522067</x:v>
      </x:c>
      <x:c r="F358" s="23" t="n">
        <x:v>0.6093189964157706</x:v>
      </x:c>
      <x:c r="G358" s="23" t="n">
        <x:v>0.009017365474724115</x:v>
      </x:c>
      <x:c r="H358" s="23" t="n">
        <x:v>0.19160857793686348</x:v>
      </x:c>
      <x:c r="I358" s="24" t="n">
        <x:v>1953</x:v>
      </x:c>
      <x:c r="J358" s="25" t="n">
        <x:v>46211.407905775464</x:v>
      </x:c>
      <x:c r="K358" s="24" t="n">
        <x:v>8902245</x:v>
      </x:c>
      <x:c r="L358" t="str">
        <x:v>8f7e606554926462248cbcc654181861438ca768a0063f6b317223ede37d16fb</x:v>
      </x:c>
      <x:c r="M358" t="str">
        <x:v>legacy_common_sample_8902245</x:v>
      </x:c>
      <x:c r="N358" t="str">
        <x:v>factor_report/gtja191_batch/gtja_123/ic_summary.csv</x:v>
      </x:c>
    </x:row>
    <x:row r="359">
      <x:c r="A359" t="str">
        <x:v>gtja_124</x:v>
      </x:c>
      <x:c r="B359" s="22" t="n">
        <x:v>10</x:v>
      </x:c>
      <x:c r="C359" s="23" t="n">
        <x:v>-0.0069098824764696155</x:v>
      </x:c>
      <x:c r="D359" s="23" t="n">
        <x:v>0.10527740637951538</x:v>
      </x:c>
      <x:c r="E359" s="23" t="n">
        <x:v>-0.0656349991332435</x:v>
      </x:c>
      <x:c r="F359" s="23" t="n">
        <x:v>0.4776494224008036</x:v>
      </x:c>
      <x:c r="G359" s="23" t="n">
        <x:v>-0.004212034276356584</x:v>
      </x:c>
      <x:c r="H359" s="23" t="n">
        <x:v>-0.08628687778168628</x:v>
      </x:c>
      <x:c r="I359" s="24" t="n">
        <x:v>1991</x:v>
      </x:c>
      <x:c r="J359" s="25" t="n">
        <x:v>46211.41230089121</x:v>
      </x:c>
      <x:c r="K359" s="24" t="n">
        <x:v>8902245</x:v>
      </x:c>
      <x:c r="L359" t="str">
        <x:v>8f7e606554926462248cbcc654181861438ca768a0063f6b317223ede37d16fb</x:v>
      </x:c>
      <x:c r="M359" t="str">
        <x:v>legacy_common_sample_8902245</x:v>
      </x:c>
      <x:c r="N359" t="str">
        <x:v>factor_report/gtja191_batch/gtja_124/ic_summary.csv</x:v>
      </x:c>
    </x:row>
    <x:row r="360">
      <x:c r="A360" t="str">
        <x:v>gtja_124</x:v>
      </x:c>
      <x:c r="B360" s="22" t="n">
        <x:v>20</x:v>
      </x:c>
      <x:c r="C360" s="23" t="n">
        <x:v>-0.0074801309184992035</x:v>
      </x:c>
      <x:c r="D360" s="23" t="n">
        <x:v>0.10189085162260185</x:v>
      </x:c>
      <x:c r="E360" s="23" t="n">
        <x:v>-0.07341317497477791</x:v>
      </x:c>
      <x:c r="F360" s="23" t="n">
        <x:v>0.47147905098435133</x:v>
      </x:c>
      <x:c r="G360" s="23" t="n">
        <x:v>-0.003992852020912438</x:v>
      </x:c>
      <x:c r="H360" s="23" t="n">
        <x:v>-0.08311593540104437</x:v>
      </x:c>
      <x:c r="I360" s="24" t="n">
        <x:v>1981</x:v>
      </x:c>
      <x:c r="J360" s="25" t="n">
        <x:v>46211.41230089121</x:v>
      </x:c>
      <x:c r="K360" s="24" t="n">
        <x:v>8902245</x:v>
      </x:c>
      <x:c r="L360" t="str">
        <x:v>8f7e606554926462248cbcc654181861438ca768a0063f6b317223ede37d16fb</x:v>
      </x:c>
      <x:c r="M360" t="str">
        <x:v>legacy_common_sample_8902245</x:v>
      </x:c>
      <x:c r="N360" t="str">
        <x:v>factor_report/gtja191_batch/gtja_124/ic_summary.csv</x:v>
      </x:c>
    </x:row>
    <x:row r="361">
      <x:c r="A361" t="str">
        <x:v>gtja_125</x:v>
      </x:c>
      <x:c r="B361" s="22" t="n">
        <x:v>10</x:v>
      </x:c>
      <x:c r="C361" s="23" t="n">
        <x:v>0.010222219351592081</x:v>
      </x:c>
      <x:c r="D361" s="23" t="n">
        <x:v>0.0972860472893756</x:v>
      </x:c>
      <x:c r="E361" s="23" t="n">
        <x:v>0.10507384806360026</x:v>
      </x:c>
      <x:c r="F361" s="23" t="n">
        <x:v>0.5281653746770025</x:v>
      </x:c>
      <x:c r="G361" s="23" t="n">
        <x:v>-0.003016157819072808</x:v>
      </x:c>
      <x:c r="H361" s="23" t="n">
        <x:v>-0.08919165421062752</x:v>
      </x:c>
      <x:c r="I361" s="24" t="n">
        <x:v>1935</x:v>
      </x:c>
      <x:c r="J361" s="25" t="n">
        <x:v>46211.41519543981</x:v>
      </x:c>
      <x:c r="K361" s="24" t="n">
        <x:v>8902245</x:v>
      </x:c>
      <x:c r="L361" t="str">
        <x:v>8f7e606554926462248cbcc654181861438ca768a0063f6b317223ede37d16fb</x:v>
      </x:c>
      <x:c r="M361" t="str">
        <x:v>legacy_common_sample_8902245</x:v>
      </x:c>
      <x:c r="N361" t="str">
        <x:v>factor_report/gtja191_batch/gtja_125/ic_summary.csv</x:v>
      </x:c>
    </x:row>
    <x:row r="362">
      <x:c r="A362" t="str">
        <x:v>gtja_125</x:v>
      </x:c>
      <x:c r="B362" s="22" t="n">
        <x:v>20</x:v>
      </x:c>
      <x:c r="C362" s="23" t="n">
        <x:v>0.013164239622034054</x:v>
      </x:c>
      <x:c r="D362" s="23" t="n">
        <x:v>0.09340038588090052</x:v>
      </x:c>
      <x:c r="E362" s="23" t="n">
        <x:v>0.1409441673915612</x:v>
      </x:c>
      <x:c r="F362" s="23" t="n">
        <x:v>0.5402597402597402</x:v>
      </x:c>
      <x:c r="G362" s="23" t="n">
        <x:v>-0.003959758859476357</x:v>
      </x:c>
      <x:c r="H362" s="23" t="n">
        <x:v>-0.1219113561324557</x:v>
      </x:c>
      <x:c r="I362" s="24" t="n">
        <x:v>1925</x:v>
      </x:c>
      <x:c r="J362" s="25" t="n">
        <x:v>46211.41519543981</x:v>
      </x:c>
      <x:c r="K362" s="24" t="n">
        <x:v>8902245</x:v>
      </x:c>
      <x:c r="L362" t="str">
        <x:v>8f7e606554926462248cbcc654181861438ca768a0063f6b317223ede37d16fb</x:v>
      </x:c>
      <x:c r="M362" t="str">
        <x:v>legacy_common_sample_8902245</x:v>
      </x:c>
      <x:c r="N362" t="str">
        <x:v>factor_report/gtja191_batch/gtja_125/ic_summary.csv</x:v>
      </x:c>
    </x:row>
    <x:row r="363">
      <x:c r="A363" t="str">
        <x:v>gtja_126</x:v>
      </x:c>
      <x:c r="B363" s="22" t="n">
        <x:v>1</x:v>
      </x:c>
      <x:c r="C363" s="23" t="n">
        <x:v>-0.021097965625745237</x:v>
      </x:c>
      <x:c r="D363" s="23" t="n">
        <x:v>0.16726477056914993</x:v>
      </x:c>
      <x:c r="E363" s="23" t="n">
        <x:v>-0.1261351422296245</x:v>
      </x:c>
      <x:c r="F363" s="23" t="n">
        <x:v>0.453</x:v>
      </x:c>
      <x:c r="G363" s="23" t="n">
        <x:v>-0.003987116103157289</x:v>
      </x:c>
      <x:c r="H363" s="23" t="n">
        <x:v>-0.04675984736592413</x:v>
      </x:c>
      <x:c r="I363" s="24" t="n">
        <x:v>2000</x:v>
      </x:c>
      <x:c r="J363" s="25" t="n">
        <x:v>46210.70792734954</x:v>
      </x:c>
      <x:c r="K363" s="24" t="n">
        <x:v>8902245</x:v>
      </x:c>
      <x:c r="L363" t="str">
        <x:v>40355b29bce094aef0e99358bdfd4011b92e72a54440a67760de4afae4883c33</x:v>
      </x:c>
      <x:c r="M363" t="str">
        <x:v>legacy_common_sample_8902245</x:v>
      </x:c>
      <x:c r="N363" t="str">
        <x:v>factor_report/gtja191_batch/gtja_126/ic_summary.csv</x:v>
      </x:c>
    </x:row>
    <x:row r="364">
      <x:c r="A364" t="str">
        <x:v>gtja_126</x:v>
      </x:c>
      <x:c r="B364" s="22" t="n">
        <x:v>5</x:v>
      </x:c>
      <x:c r="C364" s="23" t="n">
        <x:v>-0.03298399488289722</x:v>
      </x:c>
      <x:c r="D364" s="23" t="n">
        <x:v>0.17538344160879138</x:v>
      </x:c>
      <x:c r="E364" s="23" t="n">
        <x:v>-0.1880678961499171</x:v>
      </x:c>
      <x:c r="F364" s="23" t="n">
        <x:v>0.46292585170340683</x:v>
      </x:c>
      <x:c r="G364" s="23" t="n">
        <x:v>-0.008052257994891737</x:v>
      </x:c>
      <x:c r="H364" s="23" t="n">
        <x:v>-0.09212895650549541</x:v>
      </x:c>
      <x:c r="I364" s="24" t="n">
        <x:v>1996</x:v>
      </x:c>
      <x:c r="J364" s="25" t="n">
        <x:v>46210.70792734954</x:v>
      </x:c>
      <x:c r="K364" s="24" t="n">
        <x:v>8902245</x:v>
      </x:c>
      <x:c r="L364" t="str">
        <x:v>40355b29bce094aef0e99358bdfd4011b92e72a54440a67760de4afae4883c33</x:v>
      </x:c>
      <x:c r="M364" t="str">
        <x:v>legacy_common_sample_8902245</x:v>
      </x:c>
      <x:c r="N364" t="str">
        <x:v>factor_report/gtja191_batch/gtja_126/ic_summary.csv</x:v>
      </x:c>
    </x:row>
    <x:row r="365">
      <x:c r="A365" t="str">
        <x:v>gtja_126</x:v>
      </x:c>
      <x:c r="B365" s="22" t="n">
        <x:v>10</x:v>
      </x:c>
      <x:c r="C365" s="23" t="n">
        <x:v>-0.042572173846866894</x:v>
      </x:c>
      <x:c r="D365" s="23" t="n">
        <x:v>0.1832020042299717</x:v>
      </x:c>
      <x:c r="E365" s="23" t="n">
        <x:v>-0.2323783193628518</x:v>
      </x:c>
      <x:c r="F365" s="23" t="n">
        <x:v>0.4359618282270216</x:v>
      </x:c>
      <x:c r="G365" s="23" t="n">
        <x:v>-0.011005281052114966</x:v>
      </x:c>
      <x:c r="H365" s="23" t="n">
        <x:v>-0.12050208375655233</x:v>
      </x:c>
      <x:c r="I365" s="24" t="n">
        <x:v>1991</x:v>
      </x:c>
      <x:c r="J365" s="25" t="n">
        <x:v>46210.70792734954</x:v>
      </x:c>
      <x:c r="K365" s="24" t="n">
        <x:v>8902245</x:v>
      </x:c>
      <x:c r="L365" t="str">
        <x:v>40355b29bce094aef0e99358bdfd4011b92e72a54440a67760de4afae4883c33</x:v>
      </x:c>
      <x:c r="M365" t="str">
        <x:v>legacy_common_sample_8902245</x:v>
      </x:c>
      <x:c r="N365" t="str">
        <x:v>factor_report/gtja191_batch/gtja_126/ic_summary.csv</x:v>
      </x:c>
    </x:row>
    <x:row r="366">
      <x:c r="A366" t="str">
        <x:v>gtja_126</x:v>
      </x:c>
      <x:c r="B366" s="22" t="n">
        <x:v>20</x:v>
      </x:c>
      <x:c r="C366" s="23" t="n">
        <x:v>-0.05513131510592174</x:v>
      </x:c>
      <x:c r="D366" s="23" t="n">
        <x:v>0.1863625710510884</x:v>
      </x:c>
      <x:c r="E366" s="23" t="n">
        <x:v>-0.2958282599074486</x:v>
      </x:c>
      <x:c r="F366" s="23" t="n">
        <x:v>0.4194851085310449</x:v>
      </x:c>
      <x:c r="G366" s="23" t="n">
        <x:v>-0.015380521784915257</x:v>
      </x:c>
      <x:c r="H366" s="23" t="n">
        <x:v>-0.1626299700603497</x:v>
      </x:c>
      <x:c r="I366" s="24" t="n">
        <x:v>1981</x:v>
      </x:c>
      <x:c r="J366" s="25" t="n">
        <x:v>46210.70792734954</x:v>
      </x:c>
      <x:c r="K366" s="24" t="n">
        <x:v>8902245</x:v>
      </x:c>
      <x:c r="L366" t="str">
        <x:v>40355b29bce094aef0e99358bdfd4011b92e72a54440a67760de4afae4883c33</x:v>
      </x:c>
      <x:c r="M366" t="str">
        <x:v>legacy_common_sample_8902245</x:v>
      </x:c>
      <x:c r="N366" t="str">
        <x:v>factor_report/gtja191_batch/gtja_126/ic_summary.csv</x:v>
      </x:c>
    </x:row>
    <x:row r="367">
      <x:c r="A367" t="str">
        <x:v>gtja_127</x:v>
      </x:c>
      <x:c r="B367" s="22" t="n">
        <x:v>10</x:v>
      </x:c>
      <x:c r="C367" s="23" t="n">
        <x:v>-0.014248512771221106</x:v>
      </x:c>
      <x:c r="D367" s="23" t="n">
        <x:v>0.15057219371743985</x:v>
      </x:c>
      <x:c r="E367" s="23" t="n">
        <x:v>-0.09462911059102666</x:v>
      </x:c>
      <x:c r="F367" s="23" t="n">
        <x:v>0.4103465595178302</x:v>
      </x:c>
      <x:c r="G367" s="23" t="n">
        <x:v>0.0008891976913548112</x:v>
      </x:c>
      <x:c r="H367" s="23" t="n">
        <x:v>0.007646453648132517</x:v>
      </x:c>
      <x:c r="I367" s="24" t="n">
        <x:v>1991</x:v>
      </x:c>
      <x:c r="J367" s="25" t="n">
        <x:v>46211.417619583335</x:v>
      </x:c>
      <x:c r="K367" s="24" t="n">
        <x:v>8902245</x:v>
      </x:c>
      <x:c r="L367" t="str">
        <x:v>8f7e606554926462248cbcc654181861438ca768a0063f6b317223ede37d16fb</x:v>
      </x:c>
      <x:c r="M367" t="str">
        <x:v>legacy_common_sample_8902245</x:v>
      </x:c>
      <x:c r="N367" t="str">
        <x:v>factor_report/gtja191_batch/gtja_127/ic_summary.csv</x:v>
      </x:c>
    </x:row>
    <x:row r="368">
      <x:c r="A368" t="str">
        <x:v>gtja_127</x:v>
      </x:c>
      <x:c r="B368" s="22" t="n">
        <x:v>20</x:v>
      </x:c>
      <x:c r="C368" s="23" t="n">
        <x:v>-0.018912370048501756</x:v>
      </x:c>
      <x:c r="D368" s="23" t="n">
        <x:v>0.14791666141123277</x:v>
      </x:c>
      <x:c r="E368" s="23" t="n">
        <x:v>-0.1278582809270028</x:v>
      </x:c>
      <x:c r="F368" s="23" t="n">
        <x:v>0.40080767289247854</x:v>
      </x:c>
      <x:c r="G368" s="23" t="n">
        <x:v>-0.002295997627025129</x:v>
      </x:c>
      <x:c r="H368" s="23" t="n">
        <x:v>-0.02045274792572511</x:v>
      </x:c>
      <x:c r="I368" s="24" t="n">
        <x:v>1981</x:v>
      </x:c>
      <x:c r="J368" s="25" t="n">
        <x:v>46211.417619583335</x:v>
      </x:c>
      <x:c r="K368" s="24" t="n">
        <x:v>8902245</x:v>
      </x:c>
      <x:c r="L368" t="str">
        <x:v>8f7e606554926462248cbcc654181861438ca768a0063f6b317223ede37d16fb</x:v>
      </x:c>
      <x:c r="M368" t="str">
        <x:v>legacy_common_sample_8902245</x:v>
      </x:c>
      <x:c r="N368" t="str">
        <x:v>factor_report/gtja191_batch/gtja_127/ic_summary.csv</x:v>
      </x:c>
    </x:row>
    <x:row r="369">
      <x:c r="A369" t="str">
        <x:v>gtja_128</x:v>
      </x:c>
      <x:c r="B369" s="22" t="n">
        <x:v>1</x:v>
      </x:c>
      <x:c r="C369" s="23" t="n">
        <x:v>-0.02612050290307155</x:v>
      </x:c>
      <x:c r="D369" s="23" t="n">
        <x:v>0.11913881159965799</x:v>
      </x:c>
      <x:c r="E369" s="23" t="n">
        <x:v>-0.21924427944475597</x:v>
      </x:c>
      <x:c r="F369" s="23" t="n">
        <x:v>0.4125</x:v>
      </x:c>
      <x:c r="G369" s="23" t="n">
        <x:v>-0.007915514407803907</x:v>
      </x:c>
      <x:c r="H369" s="23" t="n">
        <x:v>-0.07498409100321042</x:v>
      </x:c>
      <x:c r="I369" s="24" t="n">
        <x:v>2000</x:v>
      </x:c>
      <x:c r="J369" s="25" t="n">
        <x:v>46210.71593150463</x:v>
      </x:c>
      <x:c r="K369" s="24" t="n">
        <x:v>8902245</x:v>
      </x:c>
      <x:c r="L369" t="str">
        <x:v>40355b29bce094aef0e99358bdfd4011b92e72a54440a67760de4afae4883c33</x:v>
      </x:c>
      <x:c r="M369" t="str">
        <x:v>legacy_common_sample_8902245</x:v>
      </x:c>
      <x:c r="N369" t="str">
        <x:v>factor_report/gtja191_batch/gtja_128/ic_summary.csv</x:v>
      </x:c>
    </x:row>
    <x:row r="370">
      <x:c r="A370" t="str">
        <x:v>gtja_128</x:v>
      </x:c>
      <x:c r="B370" s="22" t="n">
        <x:v>5</x:v>
      </x:c>
      <x:c r="C370" s="23" t="n">
        <x:v>-0.029563258856496376</x:v>
      </x:c>
      <x:c r="D370" s="23" t="n">
        <x:v>0.11044285158799962</x:v>
      </x:c>
      <x:c r="E370" s="23" t="n">
        <x:v>-0.2676792425351378</x:v>
      </x:c>
      <x:c r="F370" s="23" t="n">
        <x:v>0.38927855711422843</x:v>
      </x:c>
      <x:c r="G370" s="23" t="n">
        <x:v>-0.011354219416152864</x:v>
      </x:c>
      <x:c r="H370" s="23" t="n">
        <x:v>-0.11873708578224827</x:v>
      </x:c>
      <x:c r="I370" s="24" t="n">
        <x:v>1996</x:v>
      </x:c>
      <x:c r="J370" s="25" t="n">
        <x:v>46210.71593150463</x:v>
      </x:c>
      <x:c r="K370" s="24" t="n">
        <x:v>8902245</x:v>
      </x:c>
      <x:c r="L370" t="str">
        <x:v>40355b29bce094aef0e99358bdfd4011b92e72a54440a67760de4afae4883c33</x:v>
      </x:c>
      <x:c r="M370" t="str">
        <x:v>legacy_common_sample_8902245</x:v>
      </x:c>
      <x:c r="N370" t="str">
        <x:v>factor_report/gtja191_batch/gtja_128/ic_summary.csv</x:v>
      </x:c>
    </x:row>
    <x:row r="371">
      <x:c r="A371" t="str">
        <x:v>gtja_128</x:v>
      </x:c>
      <x:c r="B371" s="22" t="n">
        <x:v>10</x:v>
      </x:c>
      <x:c r="C371" s="23" t="n">
        <x:v>-0.032949282801604314</x:v>
      </x:c>
      <x:c r="D371" s="23" t="n">
        <x:v>0.10843444644072324</x:v>
      </x:c>
      <x:c r="E371" s="23" t="n">
        <x:v>-0.30386361422167046</x:v>
      </x:c>
      <x:c r="F371" s="23" t="n">
        <x:v>0.38372677046710196</x:v>
      </x:c>
      <x:c r="G371" s="23" t="n">
        <x:v>-0.013528478648441136</x:v>
      </x:c>
      <x:c r="H371" s="23" t="n">
        <x:v>-0.14388326474367796</x:v>
      </x:c>
      <x:c r="I371" s="24" t="n">
        <x:v>1991</x:v>
      </x:c>
      <x:c r="J371" s="25" t="n">
        <x:v>46210.71593150463</x:v>
      </x:c>
      <x:c r="K371" s="24" t="n">
        <x:v>8902245</x:v>
      </x:c>
      <x:c r="L371" t="str">
        <x:v>40355b29bce094aef0e99358bdfd4011b92e72a54440a67760de4afae4883c33</x:v>
      </x:c>
      <x:c r="M371" t="str">
        <x:v>legacy_common_sample_8902245</x:v>
      </x:c>
      <x:c r="N371" t="str">
        <x:v>factor_report/gtja191_batch/gtja_128/ic_summary.csv</x:v>
      </x:c>
    </x:row>
    <x:row r="372">
      <x:c r="A372" t="str">
        <x:v>gtja_128</x:v>
      </x:c>
      <x:c r="B372" s="22" t="n">
        <x:v>20</x:v>
      </x:c>
      <x:c r="C372" s="23" t="n">
        <x:v>-0.03950094064651557</x:v>
      </x:c>
      <x:c r="D372" s="23" t="n">
        <x:v>0.10841740380872587</x:v>
      </x:c>
      <x:c r="E372" s="23" t="n">
        <x:v>-0.36434132582813583</x:v>
      </x:c>
      <x:c r="F372" s="23" t="n">
        <x:v>0.358909641595154</x:v>
      </x:c>
      <x:c r="G372" s="23" t="n">
        <x:v>-0.018103259969608106</x:v>
      </x:c>
      <x:c r="H372" s="23" t="n">
        <x:v>-0.1928619579913147</x:v>
      </x:c>
      <x:c r="I372" s="24" t="n">
        <x:v>1981</x:v>
      </x:c>
      <x:c r="J372" s="25" t="n">
        <x:v>46210.71593150463</x:v>
      </x:c>
      <x:c r="K372" s="24" t="n">
        <x:v>8902245</x:v>
      </x:c>
      <x:c r="L372" t="str">
        <x:v>40355b29bce094aef0e99358bdfd4011b92e72a54440a67760de4afae4883c33</x:v>
      </x:c>
      <x:c r="M372" t="str">
        <x:v>legacy_common_sample_8902245</x:v>
      </x:c>
      <x:c r="N372" t="str">
        <x:v>factor_report/gtja191_batch/gtja_128/ic_summary.csv</x:v>
      </x:c>
    </x:row>
    <x:row r="373">
      <x:c r="A373" t="str">
        <x:v>gtja_129</x:v>
      </x:c>
      <x:c r="B373" s="22" t="n">
        <x:v>1</x:v>
      </x:c>
      <x:c r="C373" s="23" t="n">
        <x:v>-0.026014001026110307</x:v>
      </x:c>
      <x:c r="D373" s="23" t="n">
        <x:v>0.18433374390009888</x:v>
      </x:c>
      <x:c r="E373" s="23" t="n">
        <x:v>-0.14112446519943087</x:v>
      </x:c>
      <x:c r="F373" s="23" t="n">
        <x:v>0.4445</x:v>
      </x:c>
      <x:c r="G373" s="23" t="n">
        <x:v>-0.0027445690453302965</x:v>
      </x:c>
      <x:c r="H373" s="23" t="n">
        <x:v>-0.025796276935073203</x:v>
      </x:c>
      <x:c r="I373" s="24" t="n">
        <x:v>2000</x:v>
      </x:c>
      <x:c r="J373" s="25" t="n">
        <x:v>46210.71993697916</x:v>
      </x:c>
      <x:c r="K373" s="24" t="n">
        <x:v>8902245</x:v>
      </x:c>
      <x:c r="L373" t="str">
        <x:v>40355b29bce094aef0e99358bdfd4011b92e72a54440a67760de4afae4883c33</x:v>
      </x:c>
      <x:c r="M373" t="str">
        <x:v>legacy_common_sample_8902245</x:v>
      </x:c>
      <x:c r="N373" t="str">
        <x:v>factor_report/gtja191_batch/gtja_129/ic_summary.csv</x:v>
      </x:c>
    </x:row>
    <x:row r="374">
      <x:c r="A374" t="str">
        <x:v>gtja_129</x:v>
      </x:c>
      <x:c r="B374" s="22" t="n">
        <x:v>5</x:v>
      </x:c>
      <x:c r="C374" s="23" t="n">
        <x:v>-0.040516662970927736</x:v>
      </x:c>
      <x:c r="D374" s="23" t="n">
        <x:v>0.18741764953581602</x:v>
      </x:c>
      <x:c r="E374" s="23" t="n">
        <x:v>-0.21618381764618647</x:v>
      </x:c>
      <x:c r="F374" s="23" t="n">
        <x:v>0.4283567134268537</x:v>
      </x:c>
      <x:c r="G374" s="23" t="n">
        <x:v>-0.00844209098426056</x:v>
      </x:c>
      <x:c r="H374" s="23" t="n">
        <x:v>-0.07848953253745342</x:v>
      </x:c>
      <x:c r="I374" s="24" t="n">
        <x:v>1996</x:v>
      </x:c>
      <x:c r="J374" s="25" t="n">
        <x:v>46210.71993697916</x:v>
      </x:c>
      <x:c r="K374" s="24" t="n">
        <x:v>8902245</x:v>
      </x:c>
      <x:c r="L374" t="str">
        <x:v>40355b29bce094aef0e99358bdfd4011b92e72a54440a67760de4afae4883c33</x:v>
      </x:c>
      <x:c r="M374" t="str">
        <x:v>legacy_common_sample_8902245</x:v>
      </x:c>
      <x:c r="N374" t="str">
        <x:v>factor_report/gtja191_batch/gtja_129/ic_summary.csv</x:v>
      </x:c>
    </x:row>
    <x:row r="375">
      <x:c r="A375" t="str">
        <x:v>gtja_129</x:v>
      </x:c>
      <x:c r="B375" s="22" t="n">
        <x:v>10</x:v>
      </x:c>
      <x:c r="C375" s="23" t="n">
        <x:v>-0.0509041396665654</x:v>
      </x:c>
      <x:c r="D375" s="23" t="n">
        <x:v>0.19094637461516814</x:v>
      </x:c>
      <x:c r="E375" s="23" t="n">
        <x:v>-0.2665886679920329</x:v>
      </x:c>
      <x:c r="F375" s="23" t="n">
        <x:v>0.41285786037167255</x:v>
      </x:c>
      <x:c r="G375" s="23" t="n">
        <x:v>-0.012417655079050209</x:v>
      </x:c>
      <x:c r="H375" s="23" t="n">
        <x:v>-0.11267565603851061</x:v>
      </x:c>
      <x:c r="I375" s="24" t="n">
        <x:v>1991</x:v>
      </x:c>
      <x:c r="J375" s="25" t="n">
        <x:v>46210.71993697916</x:v>
      </x:c>
      <x:c r="K375" s="24" t="n">
        <x:v>8902245</x:v>
      </x:c>
      <x:c r="L375" t="str">
        <x:v>40355b29bce094aef0e99358bdfd4011b92e72a54440a67760de4afae4883c33</x:v>
      </x:c>
      <x:c r="M375" t="str">
        <x:v>legacy_common_sample_8902245</x:v>
      </x:c>
      <x:c r="N375" t="str">
        <x:v>factor_report/gtja191_batch/gtja_129/ic_summary.csv</x:v>
      </x:c>
    </x:row>
    <x:row r="376">
      <x:c r="A376" t="str">
        <x:v>gtja_129</x:v>
      </x:c>
      <x:c r="B376" s="22" t="n">
        <x:v>20</x:v>
      </x:c>
      <x:c r="C376" s="23" t="n">
        <x:v>-0.06248063742368558</x:v>
      </x:c>
      <x:c r="D376" s="23" t="n">
        <x:v>0.19097497573467578</x:v>
      </x:c>
      <x:c r="E376" s="23" t="n">
        <x:v>-0.3271666205654651</x:v>
      </x:c>
      <x:c r="F376" s="23" t="n">
        <x:v>0.392226148409894</x:v>
      </x:c>
      <x:c r="G376" s="23" t="n">
        <x:v>-0.01703572837594714</x:v>
      </x:c>
      <x:c r="H376" s="23" t="n">
        <x:v>-0.15176365757794855</x:v>
      </x:c>
      <x:c r="I376" s="24" t="n">
        <x:v>1981</x:v>
      </x:c>
      <x:c r="J376" s="25" t="n">
        <x:v>46210.71993697916</x:v>
      </x:c>
      <x:c r="K376" s="24" t="n">
        <x:v>8902245</x:v>
      </x:c>
      <x:c r="L376" t="str">
        <x:v>40355b29bce094aef0e99358bdfd4011b92e72a54440a67760de4afae4883c33</x:v>
      </x:c>
      <x:c r="M376" t="str">
        <x:v>legacy_common_sample_8902245</x:v>
      </x:c>
      <x:c r="N376" t="str">
        <x:v>factor_report/gtja191_batch/gtja_129/ic_summary.csv</x:v>
      </x:c>
    </x:row>
    <x:row r="377">
      <x:c r="A377" t="str">
        <x:v>gtja_130</x:v>
      </x:c>
      <x:c r="B377" s="22" t="n">
        <x:v>10</x:v>
      </x:c>
      <x:c r="C377" s="23" t="n">
        <x:v>0.019332473959898393</x:v>
      </x:c>
      <x:c r="D377" s="23" t="n">
        <x:v>0.05693808940221937</x:v>
      </x:c>
      <x:c r="E377" s="23" t="n">
        <x:v>0.33953499604334875</x:v>
      </x:c>
      <x:c r="F377" s="23" t="n">
        <x:v>0.6373681567051733</x:v>
      </x:c>
      <x:c r="G377" s="23" t="n">
        <x:v>0.0016325517663179202</x:v>
      </x:c>
      <x:c r="H377" s="23" t="n">
        <x:v>0.08379374696833453</x:v>
      </x:c>
      <x:c r="I377" s="24" t="n">
        <x:v>1991</x:v>
      </x:c>
      <x:c r="J377" s="25" t="n">
        <x:v>46211.42025105324</x:v>
      </x:c>
      <x:c r="K377" s="24" t="n">
        <x:v>8902245</x:v>
      </x:c>
      <x:c r="L377" t="str">
        <x:v>8f7e606554926462248cbcc654181861438ca768a0063f6b317223ede37d16fb</x:v>
      </x:c>
      <x:c r="M377" t="str">
        <x:v>legacy_common_sample_8902245</x:v>
      </x:c>
      <x:c r="N377" t="str">
        <x:v>factor_report/gtja191_batch/gtja_130/ic_summary.csv</x:v>
      </x:c>
    </x:row>
    <x:row r="378">
      <x:c r="A378" t="str">
        <x:v>gtja_130</x:v>
      </x:c>
      <x:c r="B378" s="22" t="n">
        <x:v>20</x:v>
      </x:c>
      <x:c r="C378" s="23" t="n">
        <x:v>0.020724012759167194</x:v>
      </x:c>
      <x:c r="D378" s="23" t="n">
        <x:v>0.05552645919161364</x:v>
      </x:c>
      <x:c r="E378" s="23" t="n">
        <x:v>0.37322770190787197</x:v>
      </x:c>
      <x:c r="F378" s="23" t="n">
        <x:v>0.6567390206966178</x:v>
      </x:c>
      <x:c r="G378" s="23" t="n">
        <x:v>0.0018013498166453861</x:v>
      </x:c>
      <x:c r="H378" s="23" t="n">
        <x:v>0.09683596792459025</x:v>
      </x:c>
      <x:c r="I378" s="24" t="n">
        <x:v>1981</x:v>
      </x:c>
      <x:c r="J378" s="25" t="n">
        <x:v>46211.42025105324</x:v>
      </x:c>
      <x:c r="K378" s="24" t="n">
        <x:v>8902245</x:v>
      </x:c>
      <x:c r="L378" t="str">
        <x:v>8f7e606554926462248cbcc654181861438ca768a0063f6b317223ede37d16fb</x:v>
      </x:c>
      <x:c r="M378" t="str">
        <x:v>legacy_common_sample_8902245</x:v>
      </x:c>
      <x:c r="N378" t="str">
        <x:v>factor_report/gtja191_batch/gtja_130/ic_summary.csv</x:v>
      </x:c>
    </x:row>
    <x:row r="379">
      <x:c r="A379" t="str">
        <x:v>gtja_131</x:v>
      </x:c>
      <x:c r="B379" s="22" t="n">
        <x:v>10</x:v>
      </x:c>
      <x:c r="C379" s="23" t="n">
        <x:v>-0.013333120838158815</x:v>
      </x:c>
      <x:c r="D379" s="23" t="n">
        <x:v>0.09633654628538404</x:v>
      </x:c>
      <x:c r="E379" s="23" t="n">
        <x:v>-0.13840148263838772</x:v>
      </x:c>
      <x:c r="F379" s="23" t="n">
        <x:v>0.4557477110885046</x:v>
      </x:c>
      <x:c r="G379" s="23" t="n">
        <x:v>-0.000763684481806134</x:v>
      </x:c>
      <x:c r="H379" s="23" t="n">
        <x:v>-0.009588950540787329</x:v>
      </x:c>
      <x:c r="I379" s="24" t="n">
        <x:v>1966</x:v>
      </x:c>
      <x:c r="J379" s="25" t="n">
        <x:v>46211.42457349537</x:v>
      </x:c>
      <x:c r="K379" s="24" t="n">
        <x:v>8902245</x:v>
      </x:c>
      <x:c r="L379" t="str">
        <x:v>8f7e606554926462248cbcc654181861438ca768a0063f6b317223ede37d16fb</x:v>
      </x:c>
      <x:c r="M379" t="str">
        <x:v>legacy_common_sample_8902245</x:v>
      </x:c>
      <x:c r="N379" t="str">
        <x:v>factor_report/gtja191_batch/gtja_131/ic_summary.csv</x:v>
      </x:c>
    </x:row>
    <x:row r="380">
      <x:c r="A380" t="str">
        <x:v>gtja_131</x:v>
      </x:c>
      <x:c r="B380" s="22" t="n">
        <x:v>20</x:v>
      </x:c>
      <x:c r="C380" s="23" t="n">
        <x:v>-0.01601436357634598</x:v>
      </x:c>
      <x:c r="D380" s="23" t="n">
        <x:v>0.09665899196007952</x:v>
      </x:c>
      <x:c r="E380" s="23" t="n">
        <x:v>-0.16567898393726233</x:v>
      </x:c>
      <x:c r="F380" s="23" t="n">
        <x:v>0.43098159509202455</x:v>
      </x:c>
      <x:c r="G380" s="23" t="n">
        <x:v>-0.0015775666776282457</x:v>
      </x:c>
      <x:c r="H380" s="23" t="n">
        <x:v>-0.019566177619391688</x:v>
      </x:c>
      <x:c r="I380" s="24" t="n">
        <x:v>1956</x:v>
      </x:c>
      <x:c r="J380" s="25" t="n">
        <x:v>46211.42457349537</x:v>
      </x:c>
      <x:c r="K380" s="24" t="n">
        <x:v>8902245</x:v>
      </x:c>
      <x:c r="L380" t="str">
        <x:v>8f7e606554926462248cbcc654181861438ca768a0063f6b317223ede37d16fb</x:v>
      </x:c>
      <x:c r="M380" t="str">
        <x:v>legacy_common_sample_8902245</x:v>
      </x:c>
      <x:c r="N380" t="str">
        <x:v>factor_report/gtja191_batch/gtja_131/ic_summary.csv</x:v>
      </x:c>
    </x:row>
    <x:row r="381">
      <x:c r="A381" t="str">
        <x:v>gtja_132</x:v>
      </x:c>
      <x:c r="B381" s="22" t="n">
        <x:v>1</x:v>
      </x:c>
      <x:c r="C381" s="23" t="n">
        <x:v>-0.0400158329627083</x:v>
      </x:c>
      <x:c r="D381" s="23" t="n">
        <x:v>0.15018213885727624</x:v>
      </x:c>
      <x:c r="E381" s="23" t="n">
        <x:v>-0.26644868202827277</x:v>
      </x:c>
      <x:c r="F381" s="23" t="n">
        <x:v>0.3785</x:v>
      </x:c>
      <x:c r="G381" s="23" t="n">
        <x:v>-0.007589614799529723</x:v>
      </x:c>
      <x:c r="H381" s="23" t="n">
        <x:v>-0.07921712851025402</x:v>
      </x:c>
      <x:c r="I381" s="24" t="n">
        <x:v>2000</x:v>
      </x:c>
      <x:c r="J381" s="25" t="n">
        <x:v>46210.73378372685</x:v>
      </x:c>
      <x:c r="K381" s="24" t="n">
        <x:v>8902245</x:v>
      </x:c>
      <x:c r="L381" t="str">
        <x:v>40355b29bce094aef0e99358bdfd4011b92e72a54440a67760de4afae4883c33</x:v>
      </x:c>
      <x:c r="M381" t="str">
        <x:v>legacy_common_sample_8902245</x:v>
      </x:c>
      <x:c r="N381" t="str">
        <x:v>factor_report/gtja191_batch/gtja_132/ic_summary.csv</x:v>
      </x:c>
    </x:row>
    <x:row r="382">
      <x:c r="A382" t="str">
        <x:v>gtja_132</x:v>
      </x:c>
      <x:c r="B382" s="22" t="n">
        <x:v>5</x:v>
      </x:c>
      <x:c r="C382" s="23" t="n">
        <x:v>-0.06364398186868406</x:v>
      </x:c>
      <x:c r="D382" s="23" t="n">
        <x:v>0.15174736895427485</x:v>
      </x:c>
      <x:c r="E382" s="23" t="n">
        <x:v>-0.419407481706398</x:v>
      </x:c>
      <x:c r="F382" s="23" t="n">
        <x:v>0.3271543086172345</x:v>
      </x:c>
      <x:c r="G382" s="23" t="n">
        <x:v>-0.016229769982105808</x:v>
      </x:c>
      <x:c r="H382" s="23" t="n">
        <x:v>-0.1667331502656394</x:v>
      </x:c>
      <x:c r="I382" s="24" t="n">
        <x:v>1996</x:v>
      </x:c>
      <x:c r="J382" s="25" t="n">
        <x:v>46210.73378372685</x:v>
      </x:c>
      <x:c r="K382" s="24" t="n">
        <x:v>8902245</x:v>
      </x:c>
      <x:c r="L382" t="str">
        <x:v>40355b29bce094aef0e99358bdfd4011b92e72a54440a67760de4afae4883c33</x:v>
      </x:c>
      <x:c r="M382" t="str">
        <x:v>legacy_common_sample_8902245</x:v>
      </x:c>
      <x:c r="N382" t="str">
        <x:v>factor_report/gtja191_batch/gtja_132/ic_summary.csv</x:v>
      </x:c>
    </x:row>
    <x:row r="383">
      <x:c r="A383" t="str">
        <x:v>gtja_132</x:v>
      </x:c>
      <x:c r="B383" s="22" t="n">
        <x:v>10</x:v>
      </x:c>
      <x:c r="C383" s="23" t="n">
        <x:v>-0.07790170414028826</x:v>
      </x:c>
      <x:c r="D383" s="23" t="n">
        <x:v>0.15629782605035936</x:v>
      </x:c>
      <x:c r="E383" s="23" t="n">
        <x:v>-0.498418347259598</x:v>
      </x:c>
      <x:c r="F383" s="23" t="n">
        <x:v>0.30135610246107486</x:v>
      </x:c>
      <x:c r="G383" s="23" t="n">
        <x:v>-0.020876724380566865</x:v>
      </x:c>
      <x:c r="H383" s="23" t="n">
        <x:v>-0.20861109736453284</x:v>
      </x:c>
      <x:c r="I383" s="24" t="n">
        <x:v>1991</x:v>
      </x:c>
      <x:c r="J383" s="25" t="n">
        <x:v>46210.73378372685</x:v>
      </x:c>
      <x:c r="K383" s="24" t="n">
        <x:v>8902245</x:v>
      </x:c>
      <x:c r="L383" t="str">
        <x:v>40355b29bce094aef0e99358bdfd4011b92e72a54440a67760de4afae4883c33</x:v>
      </x:c>
      <x:c r="M383" t="str">
        <x:v>legacy_common_sample_8902245</x:v>
      </x:c>
      <x:c r="N383" t="str">
        <x:v>factor_report/gtja191_batch/gtja_132/ic_summary.csv</x:v>
      </x:c>
    </x:row>
    <x:row r="384">
      <x:c r="A384" t="str">
        <x:v>gtja_132</x:v>
      </x:c>
      <x:c r="B384" s="22" t="n">
        <x:v>20</x:v>
      </x:c>
      <x:c r="C384" s="23" t="n">
        <x:v>-0.09705993231890751</x:v>
      </x:c>
      <x:c r="D384" s="23" t="n">
        <x:v>0.1631993920248416</x:v>
      </x:c>
      <x:c r="E384" s="23" t="n">
        <x:v>-0.5947321930227131</x:v>
      </x:c>
      <x:c r="F384" s="23" t="n">
        <x:v>0.2670368500757193</x:v>
      </x:c>
      <x:c r="G384" s="23" t="n">
        <x:v>-0.026727221776275147</x:v>
      </x:c>
      <x:c r="H384" s="23" t="n">
        <x:v>-0.25562862121615865</x:v>
      </x:c>
      <x:c r="I384" s="24" t="n">
        <x:v>1981</x:v>
      </x:c>
      <x:c r="J384" s="25" t="n">
        <x:v>46210.73378372685</x:v>
      </x:c>
      <x:c r="K384" s="24" t="n">
        <x:v>8902245</x:v>
      </x:c>
      <x:c r="L384" t="str">
        <x:v>40355b29bce094aef0e99358bdfd4011b92e72a54440a67760de4afae4883c33</x:v>
      </x:c>
      <x:c r="M384" t="str">
        <x:v>legacy_common_sample_8902245</x:v>
      </x:c>
      <x:c r="N384" t="str">
        <x:v>factor_report/gtja191_batch/gtja_132/ic_summary.csv</x:v>
      </x:c>
    </x:row>
    <x:row r="385">
      <x:c r="A385" t="str">
        <x:v>gtja_133</x:v>
      </x:c>
      <x:c r="B385" s="22" t="n">
        <x:v>1</x:v>
      </x:c>
      <x:c r="C385" s="23" t="n">
        <x:v>-0.025732485756695758</x:v>
      </x:c>
      <x:c r="D385" s="23" t="n">
        <x:v>0.12275446187229097</x:v>
      </x:c>
      <x:c r="E385" s="23" t="n">
        <x:v>-0.20962566544804578</x:v>
      </x:c>
      <x:c r="F385" s="23" t="n">
        <x:v>0.4025</x:v>
      </x:c>
      <x:c r="G385" s="23" t="n">
        <x:v>-0.008331753294840667</x:v>
      </x:c>
      <x:c r="H385" s="23" t="n">
        <x:v>-0.07572168468656434</x:v>
      </x:c>
      <x:c r="I385" s="24" t="n">
        <x:v>2000</x:v>
      </x:c>
      <x:c r="J385" s="25" t="n">
        <x:v>46210.73796425926</x:v>
      </x:c>
      <x:c r="K385" s="24" t="n">
        <x:v>8902245</x:v>
      </x:c>
      <x:c r="L385" t="str">
        <x:v>40355b29bce094aef0e99358bdfd4011b92e72a54440a67760de4afae4883c33</x:v>
      </x:c>
      <x:c r="M385" t="str">
        <x:v>legacy_common_sample_8902245</x:v>
      </x:c>
      <x:c r="N385" t="str">
        <x:v>factor_report/gtja191_batch/gtja_133/ic_summary.csv</x:v>
      </x:c>
    </x:row>
    <x:row r="386">
      <x:c r="A386" t="str">
        <x:v>gtja_133</x:v>
      </x:c>
      <x:c r="B386" s="22" t="n">
        <x:v>5</x:v>
      </x:c>
      <x:c r="C386" s="23" t="n">
        <x:v>-0.03565714629846609</x:v>
      </x:c>
      <x:c r="D386" s="23" t="n">
        <x:v>0.11301392384298777</x:v>
      </x:c>
      <x:c r="E386" s="23" t="n">
        <x:v>-0.31551109001405164</x:v>
      </x:c>
      <x:c r="F386" s="23" t="n">
        <x:v>0.375751503006012</x:v>
      </x:c>
      <x:c r="G386" s="23" t="n">
        <x:v>-0.017181223311087495</x:v>
      </x:c>
      <x:c r="H386" s="23" t="n">
        <x:v>-0.17130626832754164</x:v>
      </x:c>
      <x:c r="I386" s="24" t="n">
        <x:v>1996</x:v>
      </x:c>
      <x:c r="J386" s="25" t="n">
        <x:v>46210.73796425926</x:v>
      </x:c>
      <x:c r="K386" s="24" t="n">
        <x:v>8902245</x:v>
      </x:c>
      <x:c r="L386" t="str">
        <x:v>40355b29bce094aef0e99358bdfd4011b92e72a54440a67760de4afae4883c33</x:v>
      </x:c>
      <x:c r="M386" t="str">
        <x:v>legacy_common_sample_8902245</x:v>
      </x:c>
      <x:c r="N386" t="str">
        <x:v>factor_report/gtja191_batch/gtja_133/ic_summary.csv</x:v>
      </x:c>
    </x:row>
    <x:row r="387">
      <x:c r="A387" t="str">
        <x:v>gtja_133</x:v>
      </x:c>
      <x:c r="B387" s="22" t="n">
        <x:v>10</x:v>
      </x:c>
      <x:c r="C387" s="23" t="n">
        <x:v>-0.04084182012441402</x:v>
      </x:c>
      <x:c r="D387" s="23" t="n">
        <x:v>0.11138627748381413</x:v>
      </x:c>
      <x:c r="E387" s="23" t="n">
        <x:v>-0.3666683279755791</x:v>
      </x:c>
      <x:c r="F387" s="23" t="n">
        <x:v>0.3616273229532898</x:v>
      </x:c>
      <x:c r="G387" s="23" t="n">
        <x:v>-0.02139512022640017</x:v>
      </x:c>
      <x:c r="H387" s="23" t="n">
        <x:v>-0.21591297865808465</x:v>
      </x:c>
      <x:c r="I387" s="24" t="n">
        <x:v>1991</x:v>
      </x:c>
      <x:c r="J387" s="25" t="n">
        <x:v>46210.73796425926</x:v>
      </x:c>
      <x:c r="K387" s="24" t="n">
        <x:v>8902245</x:v>
      </x:c>
      <x:c r="L387" t="str">
        <x:v>40355b29bce094aef0e99358bdfd4011b92e72a54440a67760de4afae4883c33</x:v>
      </x:c>
      <x:c r="M387" t="str">
        <x:v>legacy_common_sample_8902245</x:v>
      </x:c>
      <x:c r="N387" t="str">
        <x:v>factor_report/gtja191_batch/gtja_133/ic_summary.csv</x:v>
      </x:c>
    </x:row>
    <x:row r="388">
      <x:c r="A388" t="str">
        <x:v>gtja_133</x:v>
      </x:c>
      <x:c r="B388" s="22" t="n">
        <x:v>20</x:v>
      </x:c>
      <x:c r="C388" s="23" t="n">
        <x:v>-0.04540233891489587</x:v>
      </x:c>
      <x:c r="D388" s="23" t="n">
        <x:v>0.11247178586177452</x:v>
      </x:c>
      <x:c r="E388" s="23" t="n">
        <x:v>-0.40367758515628444</x:v>
      </x:c>
      <x:c r="F388" s="23" t="n">
        <x:v>0.3528520949015649</x:v>
      </x:c>
      <x:c r="G388" s="23" t="n">
        <x:v>-0.025032666612662076</x:v>
      </x:c>
      <x:c r="H388" s="23" t="n">
        <x:v>-0.25072962506660534</x:v>
      </x:c>
      <x:c r="I388" s="24" t="n">
        <x:v>1981</x:v>
      </x:c>
      <x:c r="J388" s="25" t="n">
        <x:v>46210.73796425926</x:v>
      </x:c>
      <x:c r="K388" s="24" t="n">
        <x:v>8902245</x:v>
      </x:c>
      <x:c r="L388" t="str">
        <x:v>40355b29bce094aef0e99358bdfd4011b92e72a54440a67760de4afae4883c33</x:v>
      </x:c>
      <x:c r="M388" t="str">
        <x:v>legacy_common_sample_8902245</x:v>
      </x:c>
      <x:c r="N388" t="str">
        <x:v>factor_report/gtja191_batch/gtja_133/ic_summary.csv</x:v>
      </x:c>
    </x:row>
    <x:row r="389">
      <x:c r="A389" t="str">
        <x:v>gtja_134</x:v>
      </x:c>
      <x:c r="B389" s="22" t="n">
        <x:v>1</x:v>
      </x:c>
      <x:c r="C389" s="23" t="n">
        <x:v>-0.029488529845635405</x:v>
      </x:c>
      <x:c r="D389" s="23" t="n">
        <x:v>0.1253878288436997</x:v>
      </x:c>
      <x:c r="E389" s="23" t="n">
        <x:v>-0.2351785665129738</x:v>
      </x:c>
      <x:c r="F389" s="23" t="n">
        <x:v>0.4075</x:v>
      </x:c>
      <x:c r="G389" s="23" t="n">
        <x:v>-0.016491744495058903</x:v>
      </x:c>
      <x:c r="H389" s="23" t="n">
        <x:v>-0.20362524381587088</x:v>
      </x:c>
      <x:c r="I389" s="24" t="n">
        <x:v>2000</x:v>
      </x:c>
      <x:c r="J389" s="25" t="n">
        <x:v>46210.74197935185</x:v>
      </x:c>
      <x:c r="K389" s="24" t="n">
        <x:v>8902245</x:v>
      </x:c>
      <x:c r="L389" t="str">
        <x:v>40355b29bce094aef0e99358bdfd4011b92e72a54440a67760de4afae4883c33</x:v>
      </x:c>
      <x:c r="M389" t="str">
        <x:v>legacy_common_sample_8902245</x:v>
      </x:c>
      <x:c r="N389" t="str">
        <x:v>factor_report/gtja191_batch/gtja_134/ic_summary.csv</x:v>
      </x:c>
    </x:row>
    <x:row r="390">
      <x:c r="A390" t="str">
        <x:v>gtja_134</x:v>
      </x:c>
      <x:c r="B390" s="22" t="n">
        <x:v>5</x:v>
      </x:c>
      <x:c r="C390" s="23" t="n">
        <x:v>-0.03918308328877937</x:v>
      </x:c>
      <x:c r="D390" s="23" t="n">
        <x:v>0.11489045156386428</x:v>
      </x:c>
      <x:c r="E390" s="23" t="n">
        <x:v>-0.3410473434078081</x:v>
      </x:c>
      <x:c r="F390" s="23" t="n">
        <x:v>0.3692384769539078</x:v>
      </x:c>
      <x:c r="G390" s="23" t="n">
        <x:v>-0.029122360950264457</x:v>
      </x:c>
      <x:c r="H390" s="23" t="n">
        <x:v>-0.39533667907617664</x:v>
      </x:c>
      <x:c r="I390" s="24" t="n">
        <x:v>1996</x:v>
      </x:c>
      <x:c r="J390" s="25" t="n">
        <x:v>46210.74197935185</x:v>
      </x:c>
      <x:c r="K390" s="24" t="n">
        <x:v>8902245</x:v>
      </x:c>
      <x:c r="L390" t="str">
        <x:v>40355b29bce094aef0e99358bdfd4011b92e72a54440a67760de4afae4883c33</x:v>
      </x:c>
      <x:c r="M390" t="str">
        <x:v>legacy_common_sample_8902245</x:v>
      </x:c>
      <x:c r="N390" t="str">
        <x:v>factor_report/gtja191_batch/gtja_134/ic_summary.csv</x:v>
      </x:c>
    </x:row>
    <x:row r="391">
      <x:c r="A391" t="str">
        <x:v>gtja_134</x:v>
      </x:c>
      <x:c r="B391" s="22" t="n">
        <x:v>10</x:v>
      </x:c>
      <x:c r="C391" s="23" t="n">
        <x:v>-0.04263355463572557</x:v>
      </x:c>
      <x:c r="D391" s="23" t="n">
        <x:v>0.10739210958136389</x:v>
      </x:c>
      <x:c r="E391" s="23" t="n">
        <x:v>-0.3969896373385323</x:v>
      </x:c>
      <x:c r="F391" s="23" t="n">
        <x:v>0.3510798593671522</x:v>
      </x:c>
      <x:c r="G391" s="23" t="n">
        <x:v>-0.031779472250284636</x:v>
      </x:c>
      <x:c r="H391" s="23" t="n">
        <x:v>-0.47118741069311776</x:v>
      </x:c>
      <x:c r="I391" s="24" t="n">
        <x:v>1991</x:v>
      </x:c>
      <x:c r="J391" s="25" t="n">
        <x:v>46210.74197935185</x:v>
      </x:c>
      <x:c r="K391" s="24" t="n">
        <x:v>8902245</x:v>
      </x:c>
      <x:c r="L391" t="str">
        <x:v>40355b29bce094aef0e99358bdfd4011b92e72a54440a67760de4afae4883c33</x:v>
      </x:c>
      <x:c r="M391" t="str">
        <x:v>legacy_common_sample_8902245</x:v>
      </x:c>
      <x:c r="N391" t="str">
        <x:v>factor_report/gtja191_batch/gtja_134/ic_summary.csv</x:v>
      </x:c>
    </x:row>
    <x:row r="392">
      <x:c r="A392" t="str">
        <x:v>gtja_134</x:v>
      </x:c>
      <x:c r="B392" s="22" t="n">
        <x:v>20</x:v>
      </x:c>
      <x:c r="C392" s="23" t="n">
        <x:v>-0.04812829792905713</x:v>
      </x:c>
      <x:c r="D392" s="23" t="n">
        <x:v>0.1093001474679385</x:v>
      </x:c>
      <x:c r="E392" s="23" t="n">
        <x:v>-0.4403315004051099</x:v>
      </x:c>
      <x:c r="F392" s="23" t="n">
        <x:v>0.3336698637051994</x:v>
      </x:c>
      <x:c r="G392" s="23" t="n">
        <x:v>-0.03483971241225392</x:v>
      </x:c>
      <x:c r="H392" s="23" t="n">
        <x:v>-0.5588391508712169</x:v>
      </x:c>
      <x:c r="I392" s="24" t="n">
        <x:v>1981</x:v>
      </x:c>
      <x:c r="J392" s="25" t="n">
        <x:v>46210.74197935185</x:v>
      </x:c>
      <x:c r="K392" s="24" t="n">
        <x:v>8902245</x:v>
      </x:c>
      <x:c r="L392" t="str">
        <x:v>40355b29bce094aef0e99358bdfd4011b92e72a54440a67760de4afae4883c33</x:v>
      </x:c>
      <x:c r="M392" t="str">
        <x:v>legacy_common_sample_8902245</x:v>
      </x:c>
      <x:c r="N392" t="str">
        <x:v>factor_report/gtja191_batch/gtja_134/ic_summary.csv</x:v>
      </x:c>
    </x:row>
    <x:row r="393">
      <x:c r="A393" t="str">
        <x:v>gtja_135</x:v>
      </x:c>
      <x:c r="B393" s="22" t="n">
        <x:v>1</x:v>
      </x:c>
      <x:c r="C393" s="23" t="n">
        <x:v>-0.0271013404194672</x:v>
      </x:c>
      <x:c r="D393" s="23" t="n">
        <x:v>0.1602785053973359</x:v>
      </x:c>
      <x:c r="E393" s="23" t="n">
        <x:v>-0.16908905128783205</x:v>
      </x:c>
      <x:c r="F393" s="23" t="n">
        <x:v>0.4275</x:v>
      </x:c>
      <x:c r="G393" s="23" t="n">
        <x:v>-0.011004437969121924</x:v>
      </x:c>
      <x:c r="H393" s="23" t="n">
        <x:v>-0.07879614324855151</x:v>
      </x:c>
      <x:c r="I393" s="24" t="n">
        <x:v>2000</x:v>
      </x:c>
      <x:c r="J393" s="25" t="n">
        <x:v>46210.7465330787</x:v>
      </x:c>
      <x:c r="K393" s="24" t="n">
        <x:v>8902245</x:v>
      </x:c>
      <x:c r="L393" t="str">
        <x:v>40355b29bce094aef0e99358bdfd4011b92e72a54440a67760de4afae4883c33</x:v>
      </x:c>
      <x:c r="M393" t="str">
        <x:v>legacy_common_sample_8902245</x:v>
      </x:c>
      <x:c r="N393" t="str">
        <x:v>factor_report/gtja191_batch/gtja_135/ic_summary.csv</x:v>
      </x:c>
    </x:row>
    <x:row r="394">
      <x:c r="A394" t="str">
        <x:v>gtja_135</x:v>
      </x:c>
      <x:c r="B394" s="22" t="n">
        <x:v>5</x:v>
      </x:c>
      <x:c r="C394" s="23" t="n">
        <x:v>-0.0456536266840207</x:v>
      </x:c>
      <x:c r="D394" s="23" t="n">
        <x:v>0.1502153548533713</x:v>
      </x:c>
      <x:c r="E394" s="23" t="n">
        <x:v>-0.303921171897402</x:v>
      </x:c>
      <x:c r="F394" s="23" t="n">
        <x:v>0.39629258517034066</x:v>
      </x:c>
      <x:c r="G394" s="23" t="n">
        <x:v>-0.023898148126934606</x:v>
      </x:c>
      <x:c r="H394" s="23" t="n">
        <x:v>-0.18145943506799161</x:v>
      </x:c>
      <x:c r="I394" s="24" t="n">
        <x:v>1996</x:v>
      </x:c>
      <x:c r="J394" s="25" t="n">
        <x:v>46210.7465330787</x:v>
      </x:c>
      <x:c r="K394" s="24" t="n">
        <x:v>8902245</x:v>
      </x:c>
      <x:c r="L394" t="str">
        <x:v>40355b29bce094aef0e99358bdfd4011b92e72a54440a67760de4afae4883c33</x:v>
      </x:c>
      <x:c r="M394" t="str">
        <x:v>legacy_common_sample_8902245</x:v>
      </x:c>
      <x:c r="N394" t="str">
        <x:v>factor_report/gtja191_batch/gtja_135/ic_summary.csv</x:v>
      </x:c>
    </x:row>
    <x:row r="395">
      <x:c r="A395" t="str">
        <x:v>gtja_135</x:v>
      </x:c>
      <x:c r="B395" s="22" t="n">
        <x:v>10</x:v>
      </x:c>
      <x:c r="C395" s="23" t="n">
        <x:v>-0.05522083927672666</x:v>
      </x:c>
      <x:c r="D395" s="23" t="n">
        <x:v>0.14657356879982103</x:v>
      </x:c>
      <x:c r="E395" s="23" t="n">
        <x:v>-0.3767448642268038</x:v>
      </x:c>
      <x:c r="F395" s="23" t="n">
        <x:v>0.3676544450025113</x:v>
      </x:c>
      <x:c r="G395" s="23" t="n">
        <x:v>-0.03012833026546205</x:v>
      </x:c>
      <x:c r="H395" s="23" t="n">
        <x:v>-0.23325526645128453</x:v>
      </x:c>
      <x:c r="I395" s="24" t="n">
        <x:v>1991</x:v>
      </x:c>
      <x:c r="J395" s="25" t="n">
        <x:v>46210.7465330787</x:v>
      </x:c>
      <x:c r="K395" s="24" t="n">
        <x:v>8902245</x:v>
      </x:c>
      <x:c r="L395" t="str">
        <x:v>40355b29bce094aef0e99358bdfd4011b92e72a54440a67760de4afae4883c33</x:v>
      </x:c>
      <x:c r="M395" t="str">
        <x:v>legacy_common_sample_8902245</x:v>
      </x:c>
      <x:c r="N395" t="str">
        <x:v>factor_report/gtja191_batch/gtja_135/ic_summary.csv</x:v>
      </x:c>
    </x:row>
    <x:row r="396">
      <x:c r="A396" t="str">
        <x:v>gtja_135</x:v>
      </x:c>
      <x:c r="B396" s="22" t="n">
        <x:v>20</x:v>
      </x:c>
      <x:c r="C396" s="23" t="n">
        <x:v>-0.06280560668826968</x:v>
      </x:c>
      <x:c r="D396" s="23" t="n">
        <x:v>0.14687649250408932</x:v>
      </x:c>
      <x:c r="E396" s="23" t="n">
        <x:v>-0.42760829604179884</x:v>
      </x:c>
      <x:c r="F396" s="23" t="n">
        <x:v>0.3493185259969712</x:v>
      </x:c>
      <x:c r="G396" s="23" t="n">
        <x:v>-0.034791335530482234</x:v>
      </x:c>
      <x:c r="H396" s="23" t="n">
        <x:v>-0.269417896989712</x:v>
      </x:c>
      <x:c r="I396" s="24" t="n">
        <x:v>1981</x:v>
      </x:c>
      <x:c r="J396" s="25" t="n">
        <x:v>46210.7465330787</x:v>
      </x:c>
      <x:c r="K396" s="24" t="n">
        <x:v>8902245</x:v>
      </x:c>
      <x:c r="L396" t="str">
        <x:v>40355b29bce094aef0e99358bdfd4011b92e72a54440a67760de4afae4883c33</x:v>
      </x:c>
      <x:c r="M396" t="str">
        <x:v>legacy_common_sample_8902245</x:v>
      </x:c>
      <x:c r="N396" t="str">
        <x:v>factor_report/gtja191_batch/gtja_135/ic_summary.csv</x:v>
      </x:c>
    </x:row>
    <x:row r="397">
      <x:c r="A397" t="str">
        <x:v>gtja_136</x:v>
      </x:c>
      <x:c r="B397" s="22" t="n">
        <x:v>10</x:v>
      </x:c>
      <x:c r="C397" s="23" t="n">
        <x:v>0.022192194068804304</x:v>
      </x:c>
      <x:c r="D397" s="23" t="n">
        <x:v>0.07372370694543334</x:v>
      </x:c>
      <x:c r="E397" s="23" t="n">
        <x:v>0.301018423900332</x:v>
      </x:c>
      <x:c r="F397" s="23" t="n">
        <x:v>0.6328478151682572</x:v>
      </x:c>
      <x:c r="G397" s="23" t="n">
        <x:v>0.017253119940112763</x:v>
      </x:c>
      <x:c r="H397" s="23" t="n">
        <x:v>0.27831133816329895</x:v>
      </x:c>
      <x:c r="I397" s="24" t="n">
        <x:v>1991</x:v>
      </x:c>
      <x:c r="J397" s="25" t="n">
        <x:v>46211.42709479167</x:v>
      </x:c>
      <x:c r="K397" s="24" t="n">
        <x:v>8902245</x:v>
      </x:c>
      <x:c r="L397" t="str">
        <x:v>8f7e606554926462248cbcc654181861438ca768a0063f6b317223ede37d16fb</x:v>
      </x:c>
      <x:c r="M397" t="str">
        <x:v>legacy_common_sample_8902245</x:v>
      </x:c>
      <x:c r="N397" t="str">
        <x:v>factor_report/gtja191_batch/gtja_136/ic_summary.csv</x:v>
      </x:c>
    </x:row>
    <x:row r="398">
      <x:c r="A398" t="str">
        <x:v>gtja_136</x:v>
      </x:c>
      <x:c r="B398" s="22" t="n">
        <x:v>20</x:v>
      </x:c>
      <x:c r="C398" s="23" t="n">
        <x:v>0.027085990344603763</x:v>
      </x:c>
      <x:c r="D398" s="23" t="n">
        <x:v>0.07234314056502635</x:v>
      </x:c>
      <x:c r="E398" s="23" t="n">
        <x:v>0.37440993206891887</x:v>
      </x:c>
      <x:c r="F398" s="23" t="n">
        <x:v>0.6653205451792025</x:v>
      </x:c>
      <x:c r="G398" s="23" t="n">
        <x:v>0.020172640653936254</x:v>
      </x:c>
      <x:c r="H398" s="23" t="n">
        <x:v>0.3349107457577639</x:v>
      </x:c>
      <x:c r="I398" s="24" t="n">
        <x:v>1981</x:v>
      </x:c>
      <x:c r="J398" s="25" t="n">
        <x:v>46211.42709479167</x:v>
      </x:c>
      <x:c r="K398" s="24" t="n">
        <x:v>8902245</x:v>
      </x:c>
      <x:c r="L398" t="str">
        <x:v>8f7e606554926462248cbcc654181861438ca768a0063f6b317223ede37d16fb</x:v>
      </x:c>
      <x:c r="M398" t="str">
        <x:v>legacy_common_sample_8902245</x:v>
      </x:c>
      <x:c r="N398" t="str">
        <x:v>factor_report/gtja191_batch/gtja_136/ic_summary.csv</x:v>
      </x:c>
    </x:row>
    <x:row r="399">
      <x:c r="A399" t="str">
        <x:v>gtja_137</x:v>
      </x:c>
      <x:c r="B399" s="22" t="n">
        <x:v>1</x:v>
      </x:c>
      <x:c r="C399" s="23" t="n">
        <x:v>-0.023086031715358998</x:v>
      </x:c>
      <x:c r="D399" s="23" t="n">
        <x:v>0.13412611117621895</x:v>
      </x:c>
      <x:c r="E399" s="23" t="n">
        <x:v>-0.17212183006653992</x:v>
      </x:c>
      <x:c r="F399" s="23" t="n">
        <x:v>0.4185</x:v>
      </x:c>
      <x:c r="G399" s="23" t="n">
        <x:v>-0.006441513869083306</x:v>
      </x:c>
      <x:c r="H399" s="23" t="n">
        <x:v>-0.07857066468841128</x:v>
      </x:c>
      <x:c r="I399" s="24" t="n">
        <x:v>2000</x:v>
      </x:c>
      <x:c r="J399" s="25" t="n">
        <x:v>46210.75457434028</x:v>
      </x:c>
      <x:c r="K399" s="24" t="n">
        <x:v>8902245</x:v>
      </x:c>
      <x:c r="L399" t="str">
        <x:v>40355b29bce094aef0e99358bdfd4011b92e72a54440a67760de4afae4883c33</x:v>
      </x:c>
      <x:c r="M399" t="str">
        <x:v>legacy_common_sample_8902245</x:v>
      </x:c>
      <x:c r="N399" t="str">
        <x:v>factor_report/gtja191_batch/gtja_137/ic_summary.csv</x:v>
      </x:c>
    </x:row>
    <x:row r="400">
      <x:c r="A400" t="str">
        <x:v>gtja_137</x:v>
      </x:c>
      <x:c r="B400" s="22" t="n">
        <x:v>5</x:v>
      </x:c>
      <x:c r="C400" s="23" t="n">
        <x:v>-0.024155270959396073</x:v>
      </x:c>
      <x:c r="D400" s="23" t="n">
        <x:v>0.1250716136636533</x:v>
      </x:c>
      <x:c r="E400" s="23" t="n">
        <x:v>-0.1931315208289806</x:v>
      </x:c>
      <x:c r="F400" s="23" t="n">
        <x:v>0.4273547094188377</x:v>
      </x:c>
      <x:c r="G400" s="23" t="n">
        <x:v>-0.01266051186797978</x:v>
      </x:c>
      <x:c r="H400" s="23" t="n">
        <x:v>-0.16646577707550841</x:v>
      </x:c>
      <x:c r="I400" s="24" t="n">
        <x:v>1996</x:v>
      </x:c>
      <x:c r="J400" s="25" t="n">
        <x:v>46210.75457434028</x:v>
      </x:c>
      <x:c r="K400" s="24" t="n">
        <x:v>8902245</x:v>
      </x:c>
      <x:c r="L400" t="str">
        <x:v>40355b29bce094aef0e99358bdfd4011b92e72a54440a67760de4afae4883c33</x:v>
      </x:c>
      <x:c r="M400" t="str">
        <x:v>legacy_common_sample_8902245</x:v>
      </x:c>
      <x:c r="N400" t="str">
        <x:v>factor_report/gtja191_batch/gtja_137/ic_summary.csv</x:v>
      </x:c>
    </x:row>
    <x:row r="401">
      <x:c r="A401" t="str">
        <x:v>gtja_137</x:v>
      </x:c>
      <x:c r="B401" s="22" t="n">
        <x:v>10</x:v>
      </x:c>
      <x:c r="C401" s="23" t="n">
        <x:v>-0.0224102167539663</x:v>
      </x:c>
      <x:c r="D401" s="23" t="n">
        <x:v>0.12250447345976026</x:v>
      </x:c>
      <x:c r="E401" s="23" t="n">
        <x:v>-0.18293386454436303</x:v>
      </x:c>
      <x:c r="F401" s="23" t="n">
        <x:v>0.4339527875439478</x:v>
      </x:c>
      <x:c r="G401" s="23" t="n">
        <x:v>-0.012399249644595468</x:v>
      </x:c>
      <x:c r="H401" s="23" t="n">
        <x:v>-0.1676587357264292</x:v>
      </x:c>
      <x:c r="I401" s="24" t="n">
        <x:v>1991</x:v>
      </x:c>
      <x:c r="J401" s="25" t="n">
        <x:v>46210.75457434028</x:v>
      </x:c>
      <x:c r="K401" s="24" t="n">
        <x:v>8902245</x:v>
      </x:c>
      <x:c r="L401" t="str">
        <x:v>40355b29bce094aef0e99358bdfd4011b92e72a54440a67760de4afae4883c33</x:v>
      </x:c>
      <x:c r="M401" t="str">
        <x:v>legacy_common_sample_8902245</x:v>
      </x:c>
      <x:c r="N401" t="str">
        <x:v>factor_report/gtja191_batch/gtja_137/ic_summary.csv</x:v>
      </x:c>
    </x:row>
    <x:row r="402">
      <x:c r="A402" t="str">
        <x:v>gtja_137</x:v>
      </x:c>
      <x:c r="B402" s="22" t="n">
        <x:v>20</x:v>
      </x:c>
      <x:c r="C402" s="23" t="n">
        <x:v>-0.025883364402236844</x:v>
      </x:c>
      <x:c r="D402" s="23" t="n">
        <x:v>0.12012101145116241</x:v>
      </x:c>
      <x:c r="E402" s="23" t="n">
        <x:v>-0.21547740973493418</x:v>
      </x:c>
      <x:c r="F402" s="23" t="n">
        <x:v>0.4114083796062595</x:v>
      </x:c>
      <x:c r="G402" s="23" t="n">
        <x:v>-0.013691631436601528</x:v>
      </x:c>
      <x:c r="H402" s="23" t="n">
        <x:v>-0.18483944554561232</x:v>
      </x:c>
      <x:c r="I402" s="24" t="n">
        <x:v>1981</x:v>
      </x:c>
      <x:c r="J402" s="25" t="n">
        <x:v>46210.75457434028</x:v>
      </x:c>
      <x:c r="K402" s="24" t="n">
        <x:v>8902245</x:v>
      </x:c>
      <x:c r="L402" t="str">
        <x:v>40355b29bce094aef0e99358bdfd4011b92e72a54440a67760de4afae4883c33</x:v>
      </x:c>
      <x:c r="M402" t="str">
        <x:v>legacy_common_sample_8902245</x:v>
      </x:c>
      <x:c r="N402" t="str">
        <x:v>factor_report/gtja191_batch/gtja_137/ic_summary.csv</x:v>
      </x:c>
    </x:row>
    <x:row r="403">
      <x:c r="A403" t="str">
        <x:v>gtja_138</x:v>
      </x:c>
      <x:c r="B403" s="22" t="n">
        <x:v>10</x:v>
      </x:c>
      <x:c r="C403" s="23" t="n">
        <x:v>0.0028396447418830703</x:v>
      </x:c>
      <x:c r="D403" s="23" t="n">
        <x:v>0.22902868897523224</x:v>
      </x:c>
      <x:c r="E403" s="23" t="n">
        <x:v>0.012398642085359695</x:v>
      </x:c>
      <x:c r="F403" s="23" t="n">
        <x:v>0.5138961719979025</x:v>
      </x:c>
      <x:c r="G403" s="23" t="n">
        <x:v>-0.002562166413133084</x:v>
      </x:c>
      <x:c r="H403" s="23" t="n">
        <x:v>-0.01103966878653815</x:v>
      </x:c>
      <x:c r="I403" s="24" t="n">
        <x:v>1907</x:v>
      </x:c>
      <x:c r="J403" s="25" t="n">
        <x:v>46211.431942800926</x:v>
      </x:c>
      <x:c r="K403" s="24" t="n">
        <x:v>8902245</x:v>
      </x:c>
      <x:c r="L403" t="str">
        <x:v>8f7e606554926462248cbcc654181861438ca768a0063f6b317223ede37d16fb</x:v>
      </x:c>
      <x:c r="M403" t="str">
        <x:v>legacy_common_sample_8902245</x:v>
      </x:c>
      <x:c r="N403" t="str">
        <x:v>factor_report/gtja191_batch/gtja_138/ic_summary.csv</x:v>
      </x:c>
    </x:row>
    <x:row r="404">
      <x:c r="A404" t="str">
        <x:v>gtja_138</x:v>
      </x:c>
      <x:c r="B404" s="22" t="n">
        <x:v>20</x:v>
      </x:c>
      <x:c r="C404" s="23" t="n">
        <x:v>0.007090759251939209</x:v>
      </x:c>
      <x:c r="D404" s="23" t="n">
        <x:v>0.22814400892419004</x:v>
      </x:c>
      <x:c r="E404" s="23" t="n">
        <x:v>0.031080190469938648</x:v>
      </x:c>
      <x:c r="F404" s="23" t="n">
        <x:v>0.5166051660516605</x:v>
      </x:c>
      <x:c r="G404" s="23" t="n">
        <x:v>0.002217765475844256</x:v>
      </x:c>
      <x:c r="H404" s="23" t="n">
        <x:v>0.009581113401784067</x:v>
      </x:c>
      <x:c r="I404" s="24" t="n">
        <x:v>1897</x:v>
      </x:c>
      <x:c r="J404" s="25" t="n">
        <x:v>46211.431942800926</x:v>
      </x:c>
      <x:c r="K404" s="24" t="n">
        <x:v>8902245</x:v>
      </x:c>
      <x:c r="L404" t="str">
        <x:v>8f7e606554926462248cbcc654181861438ca768a0063f6b317223ede37d16fb</x:v>
      </x:c>
      <x:c r="M404" t="str">
        <x:v>legacy_common_sample_8902245</x:v>
      </x:c>
      <x:c r="N404" t="str">
        <x:v>factor_report/gtja191_batch/gtja_138/ic_summary.csv</x:v>
      </x:c>
    </x:row>
    <x:row r="405">
      <x:c r="A405" t="str">
        <x:v>gtja_139</x:v>
      </x:c>
      <x:c r="B405" s="22" t="n">
        <x:v>10</x:v>
      </x:c>
      <x:c r="C405" s="23" t="n">
        <x:v>0.033631748401149325</x:v>
      </x:c>
      <x:c r="D405" s="23" t="n">
        <x:v>0.07414383776056378</x:v>
      </x:c>
      <x:c r="E405" s="23" t="n">
        <x:v>0.45360139718904124</x:v>
      </x:c>
      <x:c r="F405" s="23" t="n">
        <x:v>0.6785534907081868</x:v>
      </x:c>
      <x:c r="G405" s="23" t="n">
        <x:v>0.019617957302175384</x:v>
      </x:c>
      <x:c r="H405" s="23" t="n">
        <x:v>0.309303643943849</x:v>
      </x:c>
      <x:c r="I405" s="24" t="n">
        <x:v>1991</x:v>
      </x:c>
      <x:c r="J405" s="25" t="n">
        <x:v>46211.435147662036</x:v>
      </x:c>
      <x:c r="K405" s="24" t="n">
        <x:v>8902245</x:v>
      </x:c>
      <x:c r="L405" t="str">
        <x:v>8f7e606554926462248cbcc654181861438ca768a0063f6b317223ede37d16fb</x:v>
      </x:c>
      <x:c r="M405" t="str">
        <x:v>legacy_common_sample_8902245</x:v>
      </x:c>
      <x:c r="N405" t="str">
        <x:v>factor_report/gtja191_batch/gtja_139/ic_summary.csv</x:v>
      </x:c>
    </x:row>
    <x:row r="406">
      <x:c r="A406" t="str">
        <x:v>gtja_139</x:v>
      </x:c>
      <x:c r="B406" s="22" t="n">
        <x:v>20</x:v>
      </x:c>
      <x:c r="C406" s="23" t="n">
        <x:v>0.03993494936333283</x:v>
      </x:c>
      <x:c r="D406" s="23" t="n">
        <x:v>0.07257327935758602</x:v>
      </x:c>
      <x:c r="E406" s="23" t="n">
        <x:v>0.5502707017904445</x:v>
      </x:c>
      <x:c r="F406" s="23" t="n">
        <x:v>0.7193336698637052</x:v>
      </x:c>
      <x:c r="G406" s="23" t="n">
        <x:v>0.024047797707480723</x:v>
      </x:c>
      <x:c r="H406" s="23" t="n">
        <x:v>0.39252187875431144</x:v>
      </x:c>
      <x:c r="I406" s="24" t="n">
        <x:v>1981</x:v>
      </x:c>
      <x:c r="J406" s="25" t="n">
        <x:v>46211.435147662036</x:v>
      </x:c>
      <x:c r="K406" s="24" t="n">
        <x:v>8902245</x:v>
      </x:c>
      <x:c r="L406" t="str">
        <x:v>8f7e606554926462248cbcc654181861438ca768a0063f6b317223ede37d16fb</x:v>
      </x:c>
      <x:c r="M406" t="str">
        <x:v>legacy_common_sample_8902245</x:v>
      </x:c>
      <x:c r="N406" t="str">
        <x:v>factor_report/gtja191_batch/gtja_139/ic_summary.csv</x:v>
      </x:c>
    </x:row>
    <x:row r="407">
      <x:c r="A407" t="str">
        <x:v>gtja_140</x:v>
      </x:c>
      <x:c r="B407" s="22" t="n">
        <x:v>10</x:v>
      </x:c>
      <x:c r="C407" s="23" t="n">
        <x:v>0.05335274590122334</x:v>
      </x:c>
      <x:c r="D407" s="23" t="n">
        <x:v>0.09601044245599819</x:v>
      </x:c>
      <x:c r="E407" s="23" t="n">
        <x:v>0.5556973235038993</x:v>
      </x:c>
      <x:c r="F407" s="23" t="n">
        <x:v>0.7295501022494888</x:v>
      </x:c>
      <x:c r="G407" s="23" t="n">
        <x:v>0.013350098470748665</x:v>
      </x:c>
      <x:c r="H407" s="23" t="n">
        <x:v>0.16104400684647405</x:v>
      </x:c>
      <x:c r="I407" s="24" t="n">
        <x:v>1956</x:v>
      </x:c>
      <x:c r="J407" s="25" t="n">
        <x:v>46211.441442916665</x:v>
      </x:c>
      <x:c r="K407" s="24" t="n">
        <x:v>8902245</x:v>
      </x:c>
      <x:c r="L407" t="str">
        <x:v>8f7e606554926462248cbcc654181861438ca768a0063f6b317223ede37d16fb</x:v>
      </x:c>
      <x:c r="M407" t="str">
        <x:v>legacy_common_sample_8902245</x:v>
      </x:c>
      <x:c r="N407" t="str">
        <x:v>factor_report/gtja191_batch/gtja_140/ic_summary.csv</x:v>
      </x:c>
    </x:row>
    <x:row r="408">
      <x:c r="A408" t="str">
        <x:v>gtja_140</x:v>
      </x:c>
      <x:c r="B408" s="22" t="n">
        <x:v>20</x:v>
      </x:c>
      <x:c r="C408" s="23" t="n">
        <x:v>0.058904394386351505</x:v>
      </x:c>
      <x:c r="D408" s="23" t="n">
        <x:v>0.10162398472028311</x:v>
      </x:c>
      <x:c r="E408" s="23" t="n">
        <x:v>0.5796308277862163</x:v>
      </x:c>
      <x:c r="F408" s="23" t="n">
        <x:v>0.7358684480986639</x:v>
      </x:c>
      <x:c r="G408" s="23" t="n">
        <x:v>0.015649863372203213</x:v>
      </x:c>
      <x:c r="H408" s="23" t="n">
        <x:v>0.1785682898186475</x:v>
      </x:c>
      <x:c r="I408" s="24" t="n">
        <x:v>1946</x:v>
      </x:c>
      <x:c r="J408" s="25" t="n">
        <x:v>46211.441442916665</x:v>
      </x:c>
      <x:c r="K408" s="24" t="n">
        <x:v>8902245</x:v>
      </x:c>
      <x:c r="L408" t="str">
        <x:v>8f7e606554926462248cbcc654181861438ca768a0063f6b317223ede37d16fb</x:v>
      </x:c>
      <x:c r="M408" t="str">
        <x:v>legacy_common_sample_8902245</x:v>
      </x:c>
      <x:c r="N408" t="str">
        <x:v>factor_report/gtja191_batch/gtja_140/ic_summary.csv</x:v>
      </x:c>
    </x:row>
    <x:row r="409">
      <x:c r="A409" t="str">
        <x:v>gtja_141</x:v>
      </x:c>
      <x:c r="B409" s="22" t="n">
        <x:v>10</x:v>
      </x:c>
      <x:c r="C409" s="23" t="n">
        <x:v>0.0187110845344238</x:v>
      </x:c>
      <x:c r="D409" s="23" t="n">
        <x:v>0.039497246899380695</x:v>
      </x:c>
      <x:c r="E409" s="23" t="n">
        <x:v>0.4737313611272786</x:v>
      </x:c>
      <x:c r="F409" s="23" t="n">
        <x:v>0.67754897036665</x:v>
      </x:c>
      <x:c r="G409" s="23" t="n">
        <x:v>0.012490331886616697</x:v>
      </x:c>
      <x:c r="H409" s="23" t="n">
        <x:v>0.3560423718068322</x:v>
      </x:c>
      <x:c r="I409" s="24" t="n">
        <x:v>1991</x:v>
      </x:c>
      <x:c r="J409" s="25" t="n">
        <x:v>46211.443886967594</x:v>
      </x:c>
      <x:c r="K409" s="24" t="n">
        <x:v>8902245</x:v>
      </x:c>
      <x:c r="L409" t="str">
        <x:v>8f7e606554926462248cbcc654181861438ca768a0063f6b317223ede37d16fb</x:v>
      </x:c>
      <x:c r="M409" t="str">
        <x:v>legacy_common_sample_8902245</x:v>
      </x:c>
      <x:c r="N409" t="str">
        <x:v>factor_report/gtja191_batch/gtja_141/ic_summary.csv</x:v>
      </x:c>
    </x:row>
    <x:row r="410">
      <x:c r="A410" t="str">
        <x:v>gtja_141</x:v>
      </x:c>
      <x:c r="B410" s="22" t="n">
        <x:v>20</x:v>
      </x:c>
      <x:c r="C410" s="23" t="n">
        <x:v>0.02011006977563733</x:v>
      </x:c>
      <x:c r="D410" s="23" t="n">
        <x:v>0.039929305111314074</x:v>
      </x:c>
      <x:c r="E410" s="23" t="n">
        <x:v>0.503641867034122</x:v>
      </x:c>
      <x:c r="F410" s="23" t="n">
        <x:v>0.6935890964159516</x:v>
      </x:c>
      <x:c r="G410" s="23" t="n">
        <x:v>0.012957220253134784</x:v>
      </x:c>
      <x:c r="H410" s="23" t="n">
        <x:v>0.3674061044834378</x:v>
      </x:c>
      <x:c r="I410" s="24" t="n">
        <x:v>1981</x:v>
      </x:c>
      <x:c r="J410" s="25" t="n">
        <x:v>46211.443886967594</x:v>
      </x:c>
      <x:c r="K410" s="24" t="n">
        <x:v>8902245</x:v>
      </x:c>
      <x:c r="L410" t="str">
        <x:v>8f7e606554926462248cbcc654181861438ca768a0063f6b317223ede37d16fb</x:v>
      </x:c>
      <x:c r="M410" t="str">
        <x:v>legacy_common_sample_8902245</x:v>
      </x:c>
      <x:c r="N410" t="str">
        <x:v>factor_report/gtja191_batch/gtja_141/ic_summary.csv</x:v>
      </x:c>
    </x:row>
    <x:row r="411">
      <x:c r="A411" t="str">
        <x:v>gtja_142</x:v>
      </x:c>
      <x:c r="B411" s="22" t="n">
        <x:v>10</x:v>
      </x:c>
      <x:c r="C411" s="23" t="n">
        <x:v>-0.0007659892413414567</x:v>
      </x:c>
      <x:c r="D411" s="23" t="n">
        <x:v>0.10218567158630457</x:v>
      </x:c>
      <x:c r="E411" s="23" t="n">
        <x:v>-0.007496053306206566</x:v>
      </x:c>
      <x:c r="F411" s="23" t="n">
        <x:v>0.49874434957307884</x:v>
      </x:c>
      <x:c r="G411" s="23" t="n">
        <x:v>0.013173119789642525</x:v>
      </x:c>
      <x:c r="H411" s="23" t="n">
        <x:v>0.167516386237305</x:v>
      </x:c>
      <x:c r="I411" s="24" t="n">
        <x:v>1991</x:v>
      </x:c>
      <x:c r="J411" s="25" t="n">
        <x:v>46211.45015293981</x:v>
      </x:c>
      <x:c r="K411" s="24" t="n">
        <x:v>8902245</x:v>
      </x:c>
      <x:c r="L411" t="str">
        <x:v>8f7e606554926462248cbcc654181861438ca768a0063f6b317223ede37d16fb</x:v>
      </x:c>
      <x:c r="M411" t="str">
        <x:v>legacy_common_sample_8902245</x:v>
      </x:c>
      <x:c r="N411" t="str">
        <x:v>factor_report/gtja191_batch/gtja_142/ic_summary.csv</x:v>
      </x:c>
    </x:row>
    <x:row r="412">
      <x:c r="A412" t="str">
        <x:v>gtja_142</x:v>
      </x:c>
      <x:c r="B412" s="22" t="n">
        <x:v>20</x:v>
      </x:c>
      <x:c r="C412" s="23" t="n">
        <x:v>-0.002240955096747608</x:v>
      </x:c>
      <x:c r="D412" s="23" t="n">
        <x:v>0.0978680990033249</x:v>
      </x:c>
      <x:c r="E412" s="23" t="n">
        <x:v>-0.022897707420182704</x:v>
      </x:c>
      <x:c r="F412" s="23" t="n">
        <x:v>0.48965169106511863</x:v>
      </x:c>
      <x:c r="G412" s="23" t="n">
        <x:v>0.013661656239736336</x:v>
      </x:c>
      <x:c r="H412" s="23" t="n">
        <x:v>0.18112119481000233</x:v>
      </x:c>
      <x:c r="I412" s="24" t="n">
        <x:v>1981</x:v>
      </x:c>
      <x:c r="J412" s="25" t="n">
        <x:v>46211.45015293981</x:v>
      </x:c>
      <x:c r="K412" s="24" t="n">
        <x:v>8902245</x:v>
      </x:c>
      <x:c r="L412" t="str">
        <x:v>8f7e606554926462248cbcc654181861438ca768a0063f6b317223ede37d16fb</x:v>
      </x:c>
      <x:c r="M412" t="str">
        <x:v>legacy_common_sample_8902245</x:v>
      </x:c>
      <x:c r="N412" t="str">
        <x:v>factor_report/gtja191_batch/gtja_142/ic_summary.csv</x:v>
      </x:c>
    </x:row>
    <x:row r="413">
      <x:c r="A413" t="str">
        <x:v>gtja_143</x:v>
      </x:c>
      <x:c r="B413" s="22" t="n">
        <x:v>1</x:v>
      </x:c>
      <x:c r="C413" s="23" t="n">
        <x:v>-0.012789547134223096</x:v>
      </x:c>
      <x:c r="D413" s="23" t="n">
        <x:v>0.11586609837595793</x:v>
      </x:c>
      <x:c r="E413" s="23" t="n">
        <x:v>-0.11038213345826195</x:v>
      </x:c>
      <x:c r="F413" s="23" t="n">
        <x:v>0.444</x:v>
      </x:c>
      <x:c r="G413" s="23" t="n">
        <x:v>-0.0004631580312776754</x:v>
      </x:c>
      <x:c r="H413" s="23" t="n">
        <x:v>-0.00722816162643262</x:v>
      </x:c>
      <x:c r="I413" s="24" t="n">
        <x:v>2000</x:v>
      </x:c>
      <x:c r="J413" s="25" t="n">
        <x:v>46210.787863425925</x:v>
      </x:c>
      <x:c r="K413" s="24" t="n">
        <x:v>8902245</x:v>
      </x:c>
      <x:c r="L413" t="str">
        <x:v>40355b29bce094aef0e99358bdfd4011b92e72a54440a67760de4afae4883c33</x:v>
      </x:c>
      <x:c r="M413" t="str">
        <x:v>legacy_common_sample_8902245</x:v>
      </x:c>
      <x:c r="N413" t="str">
        <x:v>factor_report/gtja191_batch/gtja_143/ic_summary.csv</x:v>
      </x:c>
    </x:row>
    <x:row r="414">
      <x:c r="A414" t="str">
        <x:v>gtja_143</x:v>
      </x:c>
      <x:c r="B414" s="22" t="n">
        <x:v>5</x:v>
      </x:c>
      <x:c r="C414" s="23" t="n">
        <x:v>-0.018380086872813808</x:v>
      </x:c>
      <x:c r="D414" s="23" t="n">
        <x:v>0.11216269840249522</x:v>
      </x:c>
      <x:c r="E414" s="23" t="n">
        <x:v>-0.1638698705950972</x:v>
      </x:c>
      <x:c r="F414" s="23" t="n">
        <x:v>0.42334669338677355</x:v>
      </x:c>
      <x:c r="G414" s="23" t="n">
        <x:v>-0.004731457944353073</x:v>
      </x:c>
      <x:c r="H414" s="23" t="n">
        <x:v>-0.07404844450525572</x:v>
      </x:c>
      <x:c r="I414" s="24" t="n">
        <x:v>1996</x:v>
      </x:c>
      <x:c r="J414" s="25" t="n">
        <x:v>46210.787863425925</x:v>
      </x:c>
      <x:c r="K414" s="24" t="n">
        <x:v>8902245</x:v>
      </x:c>
      <x:c r="L414" t="str">
        <x:v>40355b29bce094aef0e99358bdfd4011b92e72a54440a67760de4afae4883c33</x:v>
      </x:c>
      <x:c r="M414" t="str">
        <x:v>legacy_common_sample_8902245</x:v>
      </x:c>
      <x:c r="N414" t="str">
        <x:v>factor_report/gtja191_batch/gtja_143/ic_summary.csv</x:v>
      </x:c>
    </x:row>
    <x:row r="415">
      <x:c r="A415" t="str">
        <x:v>gtja_143</x:v>
      </x:c>
      <x:c r="B415" s="22" t="n">
        <x:v>10</x:v>
      </x:c>
      <x:c r="C415" s="23" t="n">
        <x:v>-0.021687967404591352</x:v>
      </x:c>
      <x:c r="D415" s="23" t="n">
        <x:v>0.10822040271604337</x:v>
      </x:c>
      <x:c r="E415" s="23" t="n">
        <x:v>-0.2004055322312728</x:v>
      </x:c>
      <x:c r="F415" s="23" t="n">
        <x:v>0.40331491712707185</x:v>
      </x:c>
      <x:c r="G415" s="23" t="n">
        <x:v>-0.007335626701965107</x:v>
      </x:c>
      <x:c r="H415" s="23" t="n">
        <x:v>-0.11765987880120535</x:v>
      </x:c>
      <x:c r="I415" s="24" t="n">
        <x:v>1991</x:v>
      </x:c>
      <x:c r="J415" s="25" t="n">
        <x:v>46210.787863425925</x:v>
      </x:c>
      <x:c r="K415" s="24" t="n">
        <x:v>8902245</x:v>
      </x:c>
      <x:c r="L415" t="str">
        <x:v>40355b29bce094aef0e99358bdfd4011b92e72a54440a67760de4afae4883c33</x:v>
      </x:c>
      <x:c r="M415" t="str">
        <x:v>legacy_common_sample_8902245</x:v>
      </x:c>
      <x:c r="N415" t="str">
        <x:v>factor_report/gtja191_batch/gtja_143/ic_summary.csv</x:v>
      </x:c>
    </x:row>
    <x:row r="416">
      <x:c r="A416" t="str">
        <x:v>gtja_143</x:v>
      </x:c>
      <x:c r="B416" s="22" t="n">
        <x:v>20</x:v>
      </x:c>
      <x:c r="C416" s="23" t="n">
        <x:v>-0.026709392101047096</x:v>
      </x:c>
      <x:c r="D416" s="23" t="n">
        <x:v>0.10788301135358297</x:v>
      </x:c>
      <x:c r="E416" s="23" t="n">
        <x:v>-0.24757736891036491</x:v>
      </x:c>
      <x:c r="F416" s="23" t="n">
        <x:v>0.3957597173144876</x:v>
      </x:c>
      <x:c r="G416" s="23" t="n">
        <x:v>-0.010216155049928241</x:v>
      </x:c>
      <x:c r="H416" s="23" t="n">
        <x:v>-0.16231595129697063</x:v>
      </x:c>
      <x:c r="I416" s="24" t="n">
        <x:v>1981</x:v>
      </x:c>
      <x:c r="J416" s="25" t="n">
        <x:v>46210.787863425925</x:v>
      </x:c>
      <x:c r="K416" s="24" t="n">
        <x:v>8902245</x:v>
      </x:c>
      <x:c r="L416" t="str">
        <x:v>40355b29bce094aef0e99358bdfd4011b92e72a54440a67760de4afae4883c33</x:v>
      </x:c>
      <x:c r="M416" t="str">
        <x:v>legacy_common_sample_8902245</x:v>
      </x:c>
      <x:c r="N416" t="str">
        <x:v>factor_report/gtja191_batch/gtja_143/ic_summary.csv</x:v>
      </x:c>
    </x:row>
    <x:row r="417">
      <x:c r="A417" t="str">
        <x:v>gtja_144</x:v>
      </x:c>
      <x:c r="B417" s="22" t="n">
        <x:v>10</x:v>
      </x:c>
      <x:c r="C417" s="23" t="n">
        <x:v>0.052773687297313424</x:v>
      </x:c>
      <x:c r="D417" s="23" t="n">
        <x:v>0.154843361609323</x:v>
      </x:c>
      <x:c r="E417" s="23" t="n">
        <x:v>0.3408198242974335</x:v>
      </x:c>
      <x:c r="F417" s="23" t="n">
        <x:v>0.6609743847312908</x:v>
      </x:c>
      <x:c r="G417" s="23" t="n">
        <x:v>0.028657345124829113</x:v>
      </x:c>
      <x:c r="H417" s="23" t="n">
        <x:v>0.3164822893816265</x:v>
      </x:c>
      <x:c r="I417" s="24" t="n">
        <x:v>1991</x:v>
      </x:c>
      <x:c r="J417" s="25" t="n">
        <x:v>46211.45256542824</x:v>
      </x:c>
      <x:c r="K417" s="24" t="n">
        <x:v>8902245</x:v>
      </x:c>
      <x:c r="L417" t="str">
        <x:v>8f7e606554926462248cbcc654181861438ca768a0063f6b317223ede37d16fb</x:v>
      </x:c>
      <x:c r="M417" t="str">
        <x:v>legacy_common_sample_8902245</x:v>
      </x:c>
      <x:c r="N417" t="str">
        <x:v>factor_report/gtja191_batch/gtja_144/ic_summary.csv</x:v>
      </x:c>
    </x:row>
    <x:row r="418">
      <x:c r="A418" t="str">
        <x:v>gtja_144</x:v>
      </x:c>
      <x:c r="B418" s="22" t="n">
        <x:v>20</x:v>
      </x:c>
      <x:c r="C418" s="23" t="n">
        <x:v>0.06900964811763187</x:v>
      </x:c>
      <x:c r="D418" s="23" t="n">
        <x:v>0.1600424455375173</x:v>
      </x:c>
      <x:c r="E418" s="23" t="n">
        <x:v>0.4311959110963132</x:v>
      </x:c>
      <x:c r="F418" s="23" t="n">
        <x:v>0.7067137809187279</x:v>
      </x:c>
      <x:c r="G418" s="23" t="n">
        <x:v>0.03952480441124564</x:v>
      </x:c>
      <x:c r="H418" s="23" t="n">
        <x:v>0.4082181376987403</x:v>
      </x:c>
      <x:c r="I418" s="24" t="n">
        <x:v>1981</x:v>
      </x:c>
      <x:c r="J418" s="25" t="n">
        <x:v>46211.45256542824</x:v>
      </x:c>
      <x:c r="K418" s="24" t="n">
        <x:v>8902245</x:v>
      </x:c>
      <x:c r="L418" t="str">
        <x:v>8f7e606554926462248cbcc654181861438ca768a0063f6b317223ede37d16fb</x:v>
      </x:c>
      <x:c r="M418" t="str">
        <x:v>legacy_common_sample_8902245</x:v>
      </x:c>
      <x:c r="N418" t="str">
        <x:v>factor_report/gtja191_batch/gtja_144/ic_summary.csv</x:v>
      </x:c>
    </x:row>
    <x:row r="419">
      <x:c r="A419" t="str">
        <x:v>gtja_145</x:v>
      </x:c>
      <x:c r="B419" s="22" t="n">
        <x:v>1</x:v>
      </x:c>
      <x:c r="C419" s="23" t="n">
        <x:v>-0.026752473392600208</x:v>
      </x:c>
      <x:c r="D419" s="23" t="n">
        <x:v>0.09598785734933771</x:v>
      </x:c>
      <x:c r="E419" s="23" t="n">
        <x:v>-0.278706850338761</x:v>
      </x:c>
      <x:c r="F419" s="23" t="n">
        <x:v>0.3695</x:v>
      </x:c>
      <x:c r="G419" s="23" t="n">
        <x:v>-0.01018377917281905</x:v>
      </x:c>
      <x:c r="H419" s="23" t="n">
        <x:v>-0.12400826333178609</x:v>
      </x:c>
      <x:c r="I419" s="24" t="n">
        <x:v>2000</x:v>
      </x:c>
      <x:c r="J419" s="25" t="n">
        <x:v>46210.79587657408</x:v>
      </x:c>
      <x:c r="K419" s="24" t="n">
        <x:v>8902245</x:v>
      </x:c>
      <x:c r="L419" t="str">
        <x:v>40355b29bce094aef0e99358bdfd4011b92e72a54440a67760de4afae4883c33</x:v>
      </x:c>
      <x:c r="M419" t="str">
        <x:v>legacy_common_sample_8902245</x:v>
      </x:c>
      <x:c r="N419" t="str">
        <x:v>factor_report/gtja191_batch/gtja_145/ic_summary.csv</x:v>
      </x:c>
    </x:row>
    <x:row r="420">
      <x:c r="A420" t="str">
        <x:v>gtja_145</x:v>
      </x:c>
      <x:c r="B420" s="22" t="n">
        <x:v>5</x:v>
      </x:c>
      <x:c r="C420" s="23" t="n">
        <x:v>-0.03327745526293577</x:v>
      </x:c>
      <x:c r="D420" s="23" t="n">
        <x:v>0.09203490541372429</x:v>
      </x:c>
      <x:c r="E420" s="23" t="n">
        <x:v>-0.3615742865529519</x:v>
      </x:c>
      <x:c r="F420" s="23" t="n">
        <x:v>0.3466933867735471</x:v>
      </x:c>
      <x:c r="G420" s="23" t="n">
        <x:v>-0.0172174229531754</x:v>
      </x:c>
      <x:c r="H420" s="23" t="n">
        <x:v>-0.2221110330608622</x:v>
      </x:c>
      <x:c r="I420" s="24" t="n">
        <x:v>1996</x:v>
      </x:c>
      <x:c r="J420" s="25" t="n">
        <x:v>46210.79587657408</x:v>
      </x:c>
      <x:c r="K420" s="24" t="n">
        <x:v>8902245</x:v>
      </x:c>
      <x:c r="L420" t="str">
        <x:v>40355b29bce094aef0e99358bdfd4011b92e72a54440a67760de4afae4883c33</x:v>
      </x:c>
      <x:c r="M420" t="str">
        <x:v>legacy_common_sample_8902245</x:v>
      </x:c>
      <x:c r="N420" t="str">
        <x:v>factor_report/gtja191_batch/gtja_145/ic_summary.csv</x:v>
      </x:c>
    </x:row>
    <x:row r="421">
      <x:c r="A421" t="str">
        <x:v>gtja_145</x:v>
      </x:c>
      <x:c r="B421" s="22" t="n">
        <x:v>10</x:v>
      </x:c>
      <x:c r="C421" s="23" t="n">
        <x:v>-0.036305859771645285</x:v>
      </x:c>
      <x:c r="D421" s="23" t="n">
        <x:v>0.08655993711277037</x:v>
      </x:c>
      <x:c r="E421" s="23" t="n">
        <x:v>-0.4194302928425881</x:v>
      </x:c>
      <x:c r="F421" s="23" t="n">
        <x:v>0.3209442491210447</x:v>
      </x:c>
      <x:c r="G421" s="23" t="n">
        <x:v>-0.020223111854823048</x:v>
      </x:c>
      <x:c r="H421" s="23" t="n">
        <x:v>-0.27848154842076517</x:v>
      </x:c>
      <x:c r="I421" s="24" t="n">
        <x:v>1991</x:v>
      </x:c>
      <x:c r="J421" s="25" t="n">
        <x:v>46210.79587657408</x:v>
      </x:c>
      <x:c r="K421" s="24" t="n">
        <x:v>8902245</x:v>
      </x:c>
      <x:c r="L421" t="str">
        <x:v>40355b29bce094aef0e99358bdfd4011b92e72a54440a67760de4afae4883c33</x:v>
      </x:c>
      <x:c r="M421" t="str">
        <x:v>legacy_common_sample_8902245</x:v>
      </x:c>
      <x:c r="N421" t="str">
        <x:v>factor_report/gtja191_batch/gtja_145/ic_summary.csv</x:v>
      </x:c>
    </x:row>
    <x:row r="422">
      <x:c r="A422" t="str">
        <x:v>gtja_145</x:v>
      </x:c>
      <x:c r="B422" s="22" t="n">
        <x:v>20</x:v>
      </x:c>
      <x:c r="C422" s="23" t="n">
        <x:v>-0.035881009684746605</x:v>
      </x:c>
      <x:c r="D422" s="23" t="n">
        <x:v>0.08467668865820151</x:v>
      </x:c>
      <x:c r="E422" s="23" t="n">
        <x:v>-0.42374129472139305</x:v>
      </x:c>
      <x:c r="F422" s="23" t="n">
        <x:v>0.32054517920242304</x:v>
      </x:c>
      <x:c r="G422" s="23" t="n">
        <x:v>-0.019181050086041034</x:v>
      </x:c>
      <x:c r="H422" s="23" t="n">
        <x:v>-0.2709063448039105</x:v>
      </x:c>
      <x:c r="I422" s="24" t="n">
        <x:v>1981</x:v>
      </x:c>
      <x:c r="J422" s="25" t="n">
        <x:v>46210.79587657408</x:v>
      </x:c>
      <x:c r="K422" s="24" t="n">
        <x:v>8902245</x:v>
      </x:c>
      <x:c r="L422" t="str">
        <x:v>40355b29bce094aef0e99358bdfd4011b92e72a54440a67760de4afae4883c33</x:v>
      </x:c>
      <x:c r="M422" t="str">
        <x:v>legacy_common_sample_8902245</x:v>
      </x:c>
      <x:c r="N422" t="str">
        <x:v>factor_report/gtja191_batch/gtja_145/ic_summary.csv</x:v>
      </x:c>
    </x:row>
    <x:row r="423">
      <x:c r="A423" t="str">
        <x:v>gtja_146</x:v>
      </x:c>
      <x:c r="B423" s="22" t="n">
        <x:v>10</x:v>
      </x:c>
      <x:c r="C423" s="23" t="n">
        <x:v>-0.004380920010943611</x:v>
      </x:c>
      <x:c r="D423" s="23" t="n">
        <x:v>0.08271588615521461</x:v>
      </x:c>
      <x:c r="E423" s="23" t="n">
        <x:v>-0.05296346584165112</x:v>
      </x:c>
      <x:c r="F423" s="23" t="n">
        <x:v>0.46509291813159215</x:v>
      </x:c>
      <x:c r="G423" s="23" t="n">
        <x:v>-0.011126886558284102</x:v>
      </x:c>
      <x:c r="H423" s="23" t="n">
        <x:v>-0.17646866278467518</x:v>
      </x:c>
      <x:c r="I423" s="24" t="n">
        <x:v>1991</x:v>
      </x:c>
      <x:c r="J423" s="25" t="n">
        <x:v>46211.45605219907</x:v>
      </x:c>
      <x:c r="K423" s="24" t="n">
        <x:v>8902245</x:v>
      </x:c>
      <x:c r="L423" t="str">
        <x:v>8f7e606554926462248cbcc654181861438ca768a0063f6b317223ede37d16fb</x:v>
      </x:c>
      <x:c r="M423" t="str">
        <x:v>legacy_common_sample_8902245</x:v>
      </x:c>
      <x:c r="N423" t="str">
        <x:v>factor_report/gtja191_batch/gtja_146/ic_summary.csv</x:v>
      </x:c>
    </x:row>
    <x:row r="424">
      <x:c r="A424" t="str">
        <x:v>gtja_146</x:v>
      </x:c>
      <x:c r="B424" s="22" t="n">
        <x:v>20</x:v>
      </x:c>
      <x:c r="C424" s="23" t="n">
        <x:v>-0.0057458720911978105</x:v>
      </x:c>
      <x:c r="D424" s="23" t="n">
        <x:v>0.08308906194559756</x:v>
      </x:c>
      <x:c r="E424" s="23" t="n">
        <x:v>-0.06915317078630533</x:v>
      </x:c>
      <x:c r="F424" s="23" t="n">
        <x:v>0.4628975265017668</x:v>
      </x:c>
      <x:c r="G424" s="23" t="n">
        <x:v>-0.010963031741320945</x:v>
      </x:c>
      <x:c r="H424" s="23" t="n">
        <x:v>-0.18092071428563997</x:v>
      </x:c>
      <x:c r="I424" s="24" t="n">
        <x:v>1981</x:v>
      </x:c>
      <x:c r="J424" s="25" t="n">
        <x:v>46211.45605219907</x:v>
      </x:c>
      <x:c r="K424" s="24" t="n">
        <x:v>8902245</x:v>
      </x:c>
      <x:c r="L424" t="str">
        <x:v>8f7e606554926462248cbcc654181861438ca768a0063f6b317223ede37d16fb</x:v>
      </x:c>
      <x:c r="M424" t="str">
        <x:v>legacy_common_sample_8902245</x:v>
      </x:c>
      <x:c r="N424" t="str">
        <x:v>factor_report/gtja191_batch/gtja_146/ic_summary.csv</x:v>
      </x:c>
    </x:row>
    <x:row r="425">
      <x:c r="A425" t="str">
        <x:v>gtja_147</x:v>
      </x:c>
      <x:c r="B425" s="22" t="n">
        <x:v>1</x:v>
      </x:c>
      <x:c r="C425" s="23" t="n">
        <x:v>-0.024348611738280894</x:v>
      </x:c>
      <x:c r="D425" s="23" t="n">
        <x:v>0.14271405510978744</x:v>
      </x:c>
      <x:c r="E425" s="23" t="n">
        <x:v>-0.17061116874262966</x:v>
      </x:c>
      <x:c r="F425" s="23" t="n">
        <x:v>0.421</x:v>
      </x:c>
      <x:c r="G425" s="23" t="n">
        <x:v>-0.007216156994417308</x:v>
      </x:c>
      <x:c r="H425" s="23" t="n">
        <x:v>-0.07795172692439106</x:v>
      </x:c>
      <x:c r="I425" s="24" t="n">
        <x:v>2000</x:v>
      </x:c>
      <x:c r="J425" s="25" t="n">
        <x:v>46210.805681736114</x:v>
      </x:c>
      <x:c r="K425" s="24" t="n">
        <x:v>8902245</x:v>
      </x:c>
      <x:c r="L425" t="str">
        <x:v>40355b29bce094aef0e99358bdfd4011b92e72a54440a67760de4afae4883c33</x:v>
      </x:c>
      <x:c r="M425" t="str">
        <x:v>legacy_common_sample_8902245</x:v>
      </x:c>
      <x:c r="N425" t="str">
        <x:v>factor_report/gtja191_batch/gtja_147/ic_summary.csv</x:v>
      </x:c>
    </x:row>
    <x:row r="426">
      <x:c r="A426" t="str">
        <x:v>gtja_147</x:v>
      </x:c>
      <x:c r="B426" s="22" t="n">
        <x:v>5</x:v>
      </x:c>
      <x:c r="C426" s="23" t="n">
        <x:v>-0.03906630126821493</x:v>
      </x:c>
      <x:c r="D426" s="23" t="n">
        <x:v>0.13191076342078709</x:v>
      </x:c>
      <x:c r="E426" s="23" t="n">
        <x:v>-0.29615704022268347</x:v>
      </x:c>
      <x:c r="F426" s="23" t="n">
        <x:v>0.38877755511022044</x:v>
      </x:c>
      <x:c r="G426" s="23" t="n">
        <x:v>-0.014199698753487661</x:v>
      </x:c>
      <x:c r="H426" s="23" t="n">
        <x:v>-0.1680586352955211</x:v>
      </x:c>
      <x:c r="I426" s="24" t="n">
        <x:v>1996</x:v>
      </x:c>
      <x:c r="J426" s="25" t="n">
        <x:v>46210.805681736114</x:v>
      </x:c>
      <x:c r="K426" s="24" t="n">
        <x:v>8902245</x:v>
      </x:c>
      <x:c r="L426" t="str">
        <x:v>40355b29bce094aef0e99358bdfd4011b92e72a54440a67760de4afae4883c33</x:v>
      </x:c>
      <x:c r="M426" t="str">
        <x:v>legacy_common_sample_8902245</x:v>
      </x:c>
      <x:c r="N426" t="str">
        <x:v>factor_report/gtja191_batch/gtja_147/ic_summary.csv</x:v>
      </x:c>
    </x:row>
    <x:row r="427">
      <x:c r="A427" t="str">
        <x:v>gtja_147</x:v>
      </x:c>
      <x:c r="B427" s="22" t="n">
        <x:v>10</x:v>
      </x:c>
      <x:c r="C427" s="23" t="n">
        <x:v>-0.04733611281094676</x:v>
      </x:c>
      <x:c r="D427" s="23" t="n">
        <x:v>0.12830961741046526</x:v>
      </x:c>
      <x:c r="E427" s="23" t="n">
        <x:v>-0.36892100347799733</x:v>
      </x:c>
      <x:c r="F427" s="23" t="n">
        <x:v>0.36715218483174283</x:v>
      </x:c>
      <x:c r="G427" s="23" t="n">
        <x:v>-0.017835875028339485</x:v>
      </x:c>
      <x:c r="H427" s="23" t="n">
        <x:v>-0.21896185017911277</x:v>
      </x:c>
      <x:c r="I427" s="24" t="n">
        <x:v>1991</x:v>
      </x:c>
      <x:c r="J427" s="25" t="n">
        <x:v>46210.805681736114</x:v>
      </x:c>
      <x:c r="K427" s="24" t="n">
        <x:v>8902245</x:v>
      </x:c>
      <x:c r="L427" t="str">
        <x:v>40355b29bce094aef0e99358bdfd4011b92e72a54440a67760de4afae4883c33</x:v>
      </x:c>
      <x:c r="M427" t="str">
        <x:v>legacy_common_sample_8902245</x:v>
      </x:c>
      <x:c r="N427" t="str">
        <x:v>factor_report/gtja191_batch/gtja_147/ic_summary.csv</x:v>
      </x:c>
    </x:row>
    <x:row r="428">
      <x:c r="A428" t="str">
        <x:v>gtja_147</x:v>
      </x:c>
      <x:c r="B428" s="22" t="n">
        <x:v>20</x:v>
      </x:c>
      <x:c r="C428" s="23" t="n">
        <x:v>-0.05142714709902863</x:v>
      </x:c>
      <x:c r="D428" s="23" t="n">
        <x:v>0.13179996064441496</x:v>
      </x:c>
      <x:c r="E428" s="23" t="n">
        <x:v>-0.3901909139242817</x:v>
      </x:c>
      <x:c r="F428" s="23" t="n">
        <x:v>0.3649671882887431</x:v>
      </x:c>
      <x:c r="G428" s="23" t="n">
        <x:v>-0.017166466868387117</x:v>
      </x:c>
      <x:c r="H428" s="23" t="n">
        <x:v>-0.20132149863106383</x:v>
      </x:c>
      <x:c r="I428" s="24" t="n">
        <x:v>1981</x:v>
      </x:c>
      <x:c r="J428" s="25" t="n">
        <x:v>46210.805681736114</x:v>
      </x:c>
      <x:c r="K428" s="24" t="n">
        <x:v>8902245</x:v>
      </x:c>
      <x:c r="L428" t="str">
        <x:v>40355b29bce094aef0e99358bdfd4011b92e72a54440a67760de4afae4883c33</x:v>
      </x:c>
      <x:c r="M428" t="str">
        <x:v>legacy_common_sample_8902245</x:v>
      </x:c>
      <x:c r="N428" t="str">
        <x:v>factor_report/gtja191_batch/gtja_147/ic_summary.csv</x:v>
      </x:c>
    </x:row>
    <x:row r="429">
      <x:c r="A429" t="str">
        <x:v>gtja_148</x:v>
      </x:c>
      <x:c r="B429" s="22" t="n">
        <x:v>10</x:v>
      </x:c>
      <x:c r="C429" s="23" t="n">
        <x:v>0.029721592729636395</x:v>
      </x:c>
      <x:c r="D429" s="23" t="n">
        <x:v>0.09209976179930796</x:v>
      </x:c>
      <x:c r="E429" s="23" t="n">
        <x:v>0.32271085341568956</x:v>
      </x:c>
      <x:c r="F429" s="23" t="n">
        <x:v>0.627718765806778</x:v>
      </x:c>
      <x:c r="G429" s="23" t="n">
        <x:v>0.012274824945200083</x:v>
      </x:c>
      <x:c r="H429" s="23" t="n">
        <x:v>0.15534897586552715</x:v>
      </x:c>
      <x:c r="I429" s="24" t="n">
        <x:v>1977</x:v>
      </x:c>
      <x:c r="J429" s="25" t="n">
        <x:v>46211.47057563657</x:v>
      </x:c>
      <x:c r="K429" s="24" t="n">
        <x:v>8902245</x:v>
      </x:c>
      <x:c r="L429" t="str">
        <x:v>8f7e606554926462248cbcc654181861438ca768a0063f6b317223ede37d16fb</x:v>
      </x:c>
      <x:c r="M429" t="str">
        <x:v>legacy_common_sample_8902245</x:v>
      </x:c>
      <x:c r="N429" t="str">
        <x:v>factor_report/gtja191_batch/gtja_148/ic_summary.csv</x:v>
      </x:c>
    </x:row>
    <x:row r="430">
      <x:c r="A430" t="str">
        <x:v>gtja_148</x:v>
      </x:c>
      <x:c r="B430" s="22" t="n">
        <x:v>20</x:v>
      </x:c>
      <x:c r="C430" s="23" t="n">
        <x:v>0.03800825867623931</x:v>
      </x:c>
      <x:c r="D430" s="23" t="n">
        <x:v>0.09543178137946179</x:v>
      </x:c>
      <x:c r="E430" s="23" t="n">
        <x:v>0.3982767389105785</x:v>
      </x:c>
      <x:c r="F430" s="23" t="n">
        <x:v>0.6481952211489578</x:v>
      </x:c>
      <x:c r="G430" s="23" t="n">
        <x:v>0.01823649715627192</x:v>
      </x:c>
      <x:c r="H430" s="23" t="n">
        <x:v>0.21872244816002412</x:v>
      </x:c>
      <x:c r="I430" s="24" t="n">
        <x:v>1967</x:v>
      </x:c>
      <x:c r="J430" s="25" t="n">
        <x:v>46211.47057563657</x:v>
      </x:c>
      <x:c r="K430" s="24" t="n">
        <x:v>8902245</x:v>
      </x:c>
      <x:c r="L430" t="str">
        <x:v>8f7e606554926462248cbcc654181861438ca768a0063f6b317223ede37d16fb</x:v>
      </x:c>
      <x:c r="M430" t="str">
        <x:v>legacy_common_sample_8902245</x:v>
      </x:c>
      <x:c r="N430" t="str">
        <x:v>factor_report/gtja191_batch/gtja_148/ic_summary.csv</x:v>
      </x:c>
    </x:row>
    <x:row r="431">
      <x:c r="A431" t="str">
        <x:v>gtja_150</x:v>
      </x:c>
      <x:c r="B431" s="22" t="n">
        <x:v>1</x:v>
      </x:c>
      <x:c r="C431" s="23" t="n">
        <x:v>-0.05336353246450551</x:v>
      </x:c>
      <x:c r="D431" s="23" t="n">
        <x:v>0.1388759728125712</x:v>
      </x:c>
      <x:c r="E431" s="23" t="n">
        <x:v>-0.38425316765575873</x:v>
      </x:c>
      <x:c r="F431" s="23" t="n">
        <x:v>0.3385</x:v>
      </x:c>
      <x:c r="G431" s="23" t="n">
        <x:v>-0.01555417535613704</x:v>
      </x:c>
      <x:c r="H431" s="23" t="n">
        <x:v>-0.16453178117997333</x:v>
      </x:c>
      <x:c r="I431" s="24" t="n">
        <x:v>2000</x:v>
      </x:c>
      <x:c r="J431" s="25" t="n">
        <x:v>46210.81356047454</x:v>
      </x:c>
      <x:c r="K431" s="24" t="n">
        <x:v>8902245</x:v>
      </x:c>
      <x:c r="L431" t="str">
        <x:v>40355b29bce094aef0e99358bdfd4011b92e72a54440a67760de4afae4883c33</x:v>
      </x:c>
      <x:c r="M431" t="str">
        <x:v>legacy_common_sample_8902245</x:v>
      </x:c>
      <x:c r="N431" t="str">
        <x:v>factor_report/gtja191_batch/gtja_150/ic_summary.csv</x:v>
      </x:c>
    </x:row>
    <x:row r="432">
      <x:c r="A432" t="str">
        <x:v>gtja_150</x:v>
      </x:c>
      <x:c r="B432" s="22" t="n">
        <x:v>5</x:v>
      </x:c>
      <x:c r="C432" s="23" t="n">
        <x:v>-0.07784400675240061</x:v>
      </x:c>
      <x:c r="D432" s="23" t="n">
        <x:v>0.14107292814260597</x:v>
      </x:c>
      <x:c r="E432" s="23" t="n">
        <x:v>-0.551799751924839</x:v>
      </x:c>
      <x:c r="F432" s="23" t="n">
        <x:v>0.28406813627254507</x:v>
      </x:c>
      <x:c r="G432" s="23" t="n">
        <x:v>-0.028358977171860405</x:v>
      </x:c>
      <x:c r="H432" s="23" t="n">
        <x:v>-0.3005766712334174</x:v>
      </x:c>
      <x:c r="I432" s="24" t="n">
        <x:v>1996</x:v>
      </x:c>
      <x:c r="J432" s="25" t="n">
        <x:v>46210.81356047454</x:v>
      </x:c>
      <x:c r="K432" s="24" t="n">
        <x:v>8902245</x:v>
      </x:c>
      <x:c r="L432" t="str">
        <x:v>40355b29bce094aef0e99358bdfd4011b92e72a54440a67760de4afae4883c33</x:v>
      </x:c>
      <x:c r="M432" t="str">
        <x:v>legacy_common_sample_8902245</x:v>
      </x:c>
      <x:c r="N432" t="str">
        <x:v>factor_report/gtja191_batch/gtja_150/ic_summary.csv</x:v>
      </x:c>
    </x:row>
    <x:row r="433">
      <x:c r="A433" t="str">
        <x:v>gtja_150</x:v>
      </x:c>
      <x:c r="B433" s="22" t="n">
        <x:v>10</x:v>
      </x:c>
      <x:c r="C433" s="23" t="n">
        <x:v>-0.09224468197712768</x:v>
      </x:c>
      <x:c r="D433" s="23" t="n">
        <x:v>0.1447917197567441</x:v>
      </x:c>
      <x:c r="E433" s="23" t="n">
        <x:v>-0.6370853397701364</x:v>
      </x:c>
      <x:c r="F433" s="23" t="n">
        <x:v>0.25565042692114515</x:v>
      </x:c>
      <x:c r="G433" s="23" t="n">
        <x:v>-0.034250058174758576</x:v>
      </x:c>
      <x:c r="H433" s="23" t="n">
        <x:v>-0.35782577534405186</x:v>
      </x:c>
      <x:c r="I433" s="24" t="n">
        <x:v>1991</x:v>
      </x:c>
      <x:c r="J433" s="25" t="n">
        <x:v>46210.81356047454</x:v>
      </x:c>
      <x:c r="K433" s="24" t="n">
        <x:v>8902245</x:v>
      </x:c>
      <x:c r="L433" t="str">
        <x:v>40355b29bce094aef0e99358bdfd4011b92e72a54440a67760de4afae4883c33</x:v>
      </x:c>
      <x:c r="M433" t="str">
        <x:v>legacy_common_sample_8902245</x:v>
      </x:c>
      <x:c r="N433" t="str">
        <x:v>factor_report/gtja191_batch/gtja_150/ic_summary.csv</x:v>
      </x:c>
    </x:row>
    <x:row r="434">
      <x:c r="A434" t="str">
        <x:v>gtja_150</x:v>
      </x:c>
      <x:c r="B434" s="22" t="n">
        <x:v>20</x:v>
      </x:c>
      <x:c r="C434" s="23" t="n">
        <x:v>-0.11156827243879673</x:v>
      </x:c>
      <x:c r="D434" s="23" t="n">
        <x:v>0.1506698916605229</x:v>
      </x:c>
      <x:c r="E434" s="23" t="n">
        <x:v>-0.740481533564604</x:v>
      </x:c>
      <x:c r="F434" s="23" t="n">
        <x:v>0.23119636547198386</x:v>
      </x:c>
      <x:c r="G434" s="23" t="n">
        <x:v>-0.04164128666358464</x:v>
      </x:c>
      <x:c r="H434" s="23" t="n">
        <x:v>-0.42008383704973773</x:v>
      </x:c>
      <x:c r="I434" s="24" t="n">
        <x:v>1981</x:v>
      </x:c>
      <x:c r="J434" s="25" t="n">
        <x:v>46210.81356047454</x:v>
      </x:c>
      <x:c r="K434" s="24" t="n">
        <x:v>8902245</x:v>
      </x:c>
      <x:c r="L434" t="str">
        <x:v>40355b29bce094aef0e99358bdfd4011b92e72a54440a67760de4afae4883c33</x:v>
      </x:c>
      <x:c r="M434" t="str">
        <x:v>legacy_common_sample_8902245</x:v>
      </x:c>
      <x:c r="N434" t="str">
        <x:v>factor_report/gtja191_batch/gtja_150/ic_summary.csv</x:v>
      </x:c>
    </x:row>
    <x:row r="435">
      <x:c r="A435" t="str">
        <x:v>gtja_151</x:v>
      </x:c>
      <x:c r="B435" s="22" t="n">
        <x:v>1</x:v>
      </x:c>
      <x:c r="C435" s="23" t="n">
        <x:v>-0.02290847888460326</x:v>
      </x:c>
      <x:c r="D435" s="23" t="n">
        <x:v>0.15655081749666494</x:v>
      </x:c>
      <x:c r="E435" s="23" t="n">
        <x:v>-0.146332540774444</x:v>
      </x:c>
      <x:c r="F435" s="23" t="n">
        <x:v>0.441</x:v>
      </x:c>
      <x:c r="G435" s="23" t="n">
        <x:v>-0.0048412640669853214</x:v>
      </x:c>
      <x:c r="H435" s="23" t="n">
        <x:v>-0.047612866202099216</x:v>
      </x:c>
      <x:c r="I435" s="24" t="n">
        <x:v>2000</x:v>
      </x:c>
      <x:c r="J435" s="25" t="n">
        <x:v>46210.81806668981</x:v>
      </x:c>
      <x:c r="K435" s="24" t="n">
        <x:v>8902245</x:v>
      </x:c>
      <x:c r="L435" t="str">
        <x:v>40355b29bce094aef0e99358bdfd4011b92e72a54440a67760de4afae4883c33</x:v>
      </x:c>
      <x:c r="M435" t="str">
        <x:v>legacy_common_sample_8902245</x:v>
      </x:c>
      <x:c r="N435" t="str">
        <x:v>factor_report/gtja191_batch/gtja_151/ic_summary.csv</x:v>
      </x:c>
    </x:row>
    <x:row r="436">
      <x:c r="A436" t="str">
        <x:v>gtja_151</x:v>
      </x:c>
      <x:c r="B436" s="22" t="n">
        <x:v>5</x:v>
      </x:c>
      <x:c r="C436" s="23" t="n">
        <x:v>-0.03830023224214012</x:v>
      </x:c>
      <x:c r="D436" s="23" t="n">
        <x:v>0.14583026771426402</x:v>
      </x:c>
      <x:c r="E436" s="23" t="n">
        <x:v>-0.2626356849127136</x:v>
      </x:c>
      <x:c r="F436" s="23" t="n">
        <x:v>0.407314629258517</x:v>
      </x:c>
      <x:c r="G436" s="23" t="n">
        <x:v>-0.009289330054914894</x:v>
      </x:c>
      <x:c r="H436" s="23" t="n">
        <x:v>-0.09887500773007998</x:v>
      </x:c>
      <x:c r="I436" s="24" t="n">
        <x:v>1996</x:v>
      </x:c>
      <x:c r="J436" s="25" t="n">
        <x:v>46210.81806668981</x:v>
      </x:c>
      <x:c r="K436" s="24" t="n">
        <x:v>8902245</x:v>
      </x:c>
      <x:c r="L436" t="str">
        <x:v>40355b29bce094aef0e99358bdfd4011b92e72a54440a67760de4afae4883c33</x:v>
      </x:c>
      <x:c r="M436" t="str">
        <x:v>legacy_common_sample_8902245</x:v>
      </x:c>
      <x:c r="N436" t="str">
        <x:v>factor_report/gtja191_batch/gtja_151/ic_summary.csv</x:v>
      </x:c>
    </x:row>
    <x:row r="437">
      <x:c r="A437" t="str">
        <x:v>gtja_151</x:v>
      </x:c>
      <x:c r="B437" s="22" t="n">
        <x:v>10</x:v>
      </x:c>
      <x:c r="C437" s="23" t="n">
        <x:v>-0.04543164372225063</x:v>
      </x:c>
      <x:c r="D437" s="23" t="n">
        <x:v>0.13953071906118122</x:v>
      </x:c>
      <x:c r="E437" s="23" t="n">
        <x:v>-0.32560316486529267</x:v>
      </x:c>
      <x:c r="F437" s="23" t="n">
        <x:v>0.3746860873932697</x:v>
      </x:c>
      <x:c r="G437" s="23" t="n">
        <x:v>-0.01073591069423631</x:v>
      </x:c>
      <x:c r="H437" s="23" t="n">
        <x:v>-0.11971982971209848</x:v>
      </x:c>
      <x:c r="I437" s="24" t="n">
        <x:v>1991</x:v>
      </x:c>
      <x:c r="J437" s="25" t="n">
        <x:v>46210.81806668981</x:v>
      </x:c>
      <x:c r="K437" s="24" t="n">
        <x:v>8902245</x:v>
      </x:c>
      <x:c r="L437" t="str">
        <x:v>40355b29bce094aef0e99358bdfd4011b92e72a54440a67760de4afae4883c33</x:v>
      </x:c>
      <x:c r="M437" t="str">
        <x:v>legacy_common_sample_8902245</x:v>
      </x:c>
      <x:c r="N437" t="str">
        <x:v>factor_report/gtja191_batch/gtja_151/ic_summary.csv</x:v>
      </x:c>
    </x:row>
    <x:row r="438">
      <x:c r="A438" t="str">
        <x:v>gtja_151</x:v>
      </x:c>
      <x:c r="B438" s="22" t="n">
        <x:v>20</x:v>
      </x:c>
      <x:c r="C438" s="23" t="n">
        <x:v>-0.048389435009328755</x:v>
      </x:c>
      <x:c r="D438" s="23" t="n">
        <x:v>0.13939499552008833</x:v>
      </x:c>
      <x:c r="E438" s="23" t="n">
        <x:v>-0.3471389688617287</x:v>
      </x:c>
      <x:c r="F438" s="23" t="n">
        <x:v>0.37657748611812214</x:v>
      </x:c>
      <x:c r="G438" s="23" t="n">
        <x:v>-0.010061863710200701</x:v>
      </x:c>
      <x:c r="H438" s="23" t="n">
        <x:v>-0.11168236862515765</x:v>
      </x:c>
      <x:c r="I438" s="24" t="n">
        <x:v>1981</x:v>
      </x:c>
      <x:c r="J438" s="25" t="n">
        <x:v>46210.81806668981</x:v>
      </x:c>
      <x:c r="K438" s="24" t="n">
        <x:v>8902245</x:v>
      </x:c>
      <x:c r="L438" t="str">
        <x:v>40355b29bce094aef0e99358bdfd4011b92e72a54440a67760de4afae4883c33</x:v>
      </x:c>
      <x:c r="M438" t="str">
        <x:v>legacy_common_sample_8902245</x:v>
      </x:c>
      <x:c r="N438" t="str">
        <x:v>factor_report/gtja191_batch/gtja_151/ic_summary.csv</x:v>
      </x:c>
    </x:row>
    <x:row r="439">
      <x:c r="A439" t="str">
        <x:v>gtja_152</x:v>
      </x:c>
      <x:c r="B439" s="22" t="n">
        <x:v>1</x:v>
      </x:c>
      <x:c r="C439" s="23" t="n">
        <x:v>-0.01459540524139156</x:v>
      </x:c>
      <x:c r="D439" s="23" t="n">
        <x:v>0.12663285539332156</x:v>
      </x:c>
      <x:c r="E439" s="23" t="n">
        <x:v>-0.11525764933640832</x:v>
      </x:c>
      <x:c r="F439" s="23" t="n">
        <x:v>0.4465</x:v>
      </x:c>
      <x:c r="G439" s="23" t="n">
        <x:v>-0.00608912035963732</x:v>
      </x:c>
      <x:c r="H439" s="23" t="n">
        <x:v>-0.059114103815371494</x:v>
      </x:c>
      <x:c r="I439" s="24" t="n">
        <x:v>2000</x:v>
      </x:c>
      <x:c r="J439" s="25" t="n">
        <x:v>46210.823093680556</x:v>
      </x:c>
      <x:c r="K439" s="24" t="n">
        <x:v>8902245</x:v>
      </x:c>
      <x:c r="L439" t="str">
        <x:v>40355b29bce094aef0e99358bdfd4011b92e72a54440a67760de4afae4883c33</x:v>
      </x:c>
      <x:c r="M439" t="str">
        <x:v>legacy_common_sample_8902245</x:v>
      </x:c>
      <x:c r="N439" t="str">
        <x:v>factor_report/gtja191_batch/gtja_152/ic_summary.csv</x:v>
      </x:c>
    </x:row>
    <x:row r="440">
      <x:c r="A440" t="str">
        <x:v>gtja_152</x:v>
      </x:c>
      <x:c r="B440" s="22" t="n">
        <x:v>5</x:v>
      </x:c>
      <x:c r="C440" s="23" t="n">
        <x:v>-0.023532595295527762</x:v>
      </x:c>
      <x:c r="D440" s="23" t="n">
        <x:v>0.126079381948476</x:v>
      </x:c>
      <x:c r="E440" s="23" t="n">
        <x:v>-0.18664903754957068</x:v>
      </x:c>
      <x:c r="F440" s="23" t="n">
        <x:v>0.4333667334669339</x:v>
      </x:c>
      <x:c r="G440" s="23" t="n">
        <x:v>-0.01138830719594473</x:v>
      </x:c>
      <x:c r="H440" s="23" t="n">
        <x:v>-0.11368265577197591</x:v>
      </x:c>
      <x:c r="I440" s="24" t="n">
        <x:v>1996</x:v>
      </x:c>
      <x:c r="J440" s="25" t="n">
        <x:v>46210.823093680556</x:v>
      </x:c>
      <x:c r="K440" s="24" t="n">
        <x:v>8902245</x:v>
      </x:c>
      <x:c r="L440" t="str">
        <x:v>40355b29bce094aef0e99358bdfd4011b92e72a54440a67760de4afae4883c33</x:v>
      </x:c>
      <x:c r="M440" t="str">
        <x:v>legacy_common_sample_8902245</x:v>
      </x:c>
      <x:c r="N440" t="str">
        <x:v>factor_report/gtja191_batch/gtja_152/ic_summary.csv</x:v>
      </x:c>
    </x:row>
    <x:row r="441">
      <x:c r="A441" t="str">
        <x:v>gtja_152</x:v>
      </x:c>
      <x:c r="B441" s="22" t="n">
        <x:v>10</x:v>
      </x:c>
      <x:c r="C441" s="23" t="n">
        <x:v>-0.027070408073359118</x:v>
      </x:c>
      <x:c r="D441" s="23" t="n">
        <x:v>0.12798637128724902</x:v>
      </x:c>
      <x:c r="E441" s="23" t="n">
        <x:v>-0.21151008346508282</x:v>
      </x:c>
      <x:c r="F441" s="23" t="n">
        <x:v>0.4193872425916625</x:v>
      </x:c>
      <x:c r="G441" s="23" t="n">
        <x:v>-0.012642183460939298</x:v>
      </x:c>
      <x:c r="H441" s="23" t="n">
        <x:v>-0.12432218082016176</x:v>
      </x:c>
      <x:c r="I441" s="24" t="n">
        <x:v>1991</x:v>
      </x:c>
      <x:c r="J441" s="25" t="n">
        <x:v>46210.823093680556</x:v>
      </x:c>
      <x:c r="K441" s="24" t="n">
        <x:v>8902245</x:v>
      </x:c>
      <x:c r="L441" t="str">
        <x:v>40355b29bce094aef0e99358bdfd4011b92e72a54440a67760de4afae4883c33</x:v>
      </x:c>
      <x:c r="M441" t="str">
        <x:v>legacy_common_sample_8902245</x:v>
      </x:c>
      <x:c r="N441" t="str">
        <x:v>factor_report/gtja191_batch/gtja_152/ic_summary.csv</x:v>
      </x:c>
    </x:row>
    <x:row r="442">
      <x:c r="A442" t="str">
        <x:v>gtja_152</x:v>
      </x:c>
      <x:c r="B442" s="22" t="n">
        <x:v>20</x:v>
      </x:c>
      <x:c r="C442" s="23" t="n">
        <x:v>-0.0303796035749371</x:v>
      </x:c>
      <x:c r="D442" s="23" t="n">
        <x:v>0.12782482372328205</x:v>
      </x:c>
      <x:c r="E442" s="23" t="n">
        <x:v>-0.23766591410056254</x:v>
      </x:c>
      <x:c r="F442" s="23" t="n">
        <x:v>0.414437152953054</x:v>
      </x:c>
      <x:c r="G442" s="23" t="n">
        <x:v>-0.013591082744117938</x:v>
      </x:c>
      <x:c r="H442" s="23" t="n">
        <x:v>-0.1333608491713541</x:v>
      </x:c>
      <x:c r="I442" s="24" t="n">
        <x:v>1981</x:v>
      </x:c>
      <x:c r="J442" s="25" t="n">
        <x:v>46210.823093680556</x:v>
      </x:c>
      <x:c r="K442" s="24" t="n">
        <x:v>8902245</x:v>
      </x:c>
      <x:c r="L442" t="str">
        <x:v>40355b29bce094aef0e99358bdfd4011b92e72a54440a67760de4afae4883c33</x:v>
      </x:c>
      <x:c r="M442" t="str">
        <x:v>legacy_common_sample_8902245</x:v>
      </x:c>
      <x:c r="N442" t="str">
        <x:v>factor_report/gtja191_batch/gtja_152/ic_summary.csv</x:v>
      </x:c>
    </x:row>
    <x:row r="443">
      <x:c r="A443" t="str">
        <x:v>gtja_153</x:v>
      </x:c>
      <x:c r="B443" s="22" t="n">
        <x:v>1</x:v>
      </x:c>
      <x:c r="C443" s="23" t="n">
        <x:v>-0.019613177718020416</x:v>
      </x:c>
      <x:c r="D443" s="23" t="n">
        <x:v>0.16791184140411797</x:v>
      </x:c>
      <x:c r="E443" s="23" t="n">
        <x:v>-0.11680640003712932</x:v>
      </x:c>
      <x:c r="F443" s="23" t="n">
        <x:v>0.458</x:v>
      </x:c>
      <x:c r="G443" s="23" t="n">
        <x:v>-0.003549649916552422</x:v>
      </x:c>
      <x:c r="H443" s="23" t="n">
        <x:v>-0.04165949434559529</x:v>
      </x:c>
      <x:c r="I443" s="24" t="n">
        <x:v>2000</x:v>
      </x:c>
      <x:c r="J443" s="25" t="n">
        <x:v>46210.827101863426</x:v>
      </x:c>
      <x:c r="K443" s="24" t="n">
        <x:v>8902245</x:v>
      </x:c>
      <x:c r="L443" t="str">
        <x:v>40355b29bce094aef0e99358bdfd4011b92e72a54440a67760de4afae4883c33</x:v>
      </x:c>
      <x:c r="M443" t="str">
        <x:v>legacy_common_sample_8902245</x:v>
      </x:c>
      <x:c r="N443" t="str">
        <x:v>factor_report/gtja191_batch/gtja_153/ic_summary.csv</x:v>
      </x:c>
    </x:row>
    <x:row r="444">
      <x:c r="A444" t="str">
        <x:v>gtja_153</x:v>
      </x:c>
      <x:c r="B444" s="22" t="n">
        <x:v>5</x:v>
      </x:c>
      <x:c r="C444" s="23" t="n">
        <x:v>-0.03067373866235267</x:v>
      </x:c>
      <x:c r="D444" s="23" t="n">
        <x:v>0.17588937403272994</x:v>
      </x:c>
      <x:c r="E444" s="23" t="n">
        <x:v>-0.17439222142347738</x:v>
      </x:c>
      <x:c r="F444" s="23" t="n">
        <x:v>0.46593186372745493</x:v>
      </x:c>
      <x:c r="G444" s="23" t="n">
        <x:v>-0.007218756900249273</x:v>
      </x:c>
      <x:c r="H444" s="23" t="n">
        <x:v>-0.08267329968412732</x:v>
      </x:c>
      <x:c r="I444" s="24" t="n">
        <x:v>1996</x:v>
      </x:c>
      <x:c r="J444" s="25" t="n">
        <x:v>46210.827101863426</x:v>
      </x:c>
      <x:c r="K444" s="24" t="n">
        <x:v>8902245</x:v>
      </x:c>
      <x:c r="L444" t="str">
        <x:v>40355b29bce094aef0e99358bdfd4011b92e72a54440a67760de4afae4883c33</x:v>
      </x:c>
      <x:c r="M444" t="str">
        <x:v>legacy_common_sample_8902245</x:v>
      </x:c>
      <x:c r="N444" t="str">
        <x:v>factor_report/gtja191_batch/gtja_153/ic_summary.csv</x:v>
      </x:c>
    </x:row>
    <x:row r="445">
      <x:c r="A445" t="str">
        <x:v>gtja_153</x:v>
      </x:c>
      <x:c r="B445" s="22" t="n">
        <x:v>10</x:v>
      </x:c>
      <x:c r="C445" s="23" t="n">
        <x:v>-0.03994208451855303</x:v>
      </x:c>
      <x:c r="D445" s="23" t="n">
        <x:v>0.18360593322646068</x:v>
      </x:c>
      <x:c r="E445" s="23" t="n">
        <x:v>-0.21754244983623824</x:v>
      </x:c>
      <x:c r="F445" s="23" t="n">
        <x:v>0.4445002511300854</x:v>
      </x:c>
      <x:c r="G445" s="23" t="n">
        <x:v>-0.010054206431721294</x:v>
      </x:c>
      <x:c r="H445" s="23" t="n">
        <x:v>-0.11034809654122044</x:v>
      </x:c>
      <x:c r="I445" s="24" t="n">
        <x:v>1991</x:v>
      </x:c>
      <x:c r="J445" s="25" t="n">
        <x:v>46210.827101863426</x:v>
      </x:c>
      <x:c r="K445" s="24" t="n">
        <x:v>8902245</x:v>
      </x:c>
      <x:c r="L445" t="str">
        <x:v>40355b29bce094aef0e99358bdfd4011b92e72a54440a67760de4afae4883c33</x:v>
      </x:c>
      <x:c r="M445" t="str">
        <x:v>legacy_common_sample_8902245</x:v>
      </x:c>
      <x:c r="N445" t="str">
        <x:v>factor_report/gtja191_batch/gtja_153/ic_summary.csv</x:v>
      </x:c>
    </x:row>
    <x:row r="446">
      <x:c r="A446" t="str">
        <x:v>gtja_153</x:v>
      </x:c>
      <x:c r="B446" s="22" t="n">
        <x:v>20</x:v>
      </x:c>
      <x:c r="C446" s="23" t="n">
        <x:v>-0.052101026597468354</x:v>
      </x:c>
      <x:c r="D446" s="23" t="n">
        <x:v>0.18628598892951526</x:v>
      </x:c>
      <x:c r="E446" s="23" t="n">
        <x:v>-0.27968301264558193</x:v>
      </x:c>
      <x:c r="F446" s="23" t="n">
        <x:v>0.425542655224634</x:v>
      </x:c>
      <x:c r="G446" s="23" t="n">
        <x:v>-0.014303941234649403</x:v>
      </x:c>
      <x:c r="H446" s="23" t="n">
        <x:v>-0.15199042327715573</x:v>
      </x:c>
      <x:c r="I446" s="24" t="n">
        <x:v>1981</x:v>
      </x:c>
      <x:c r="J446" s="25" t="n">
        <x:v>46210.827101863426</x:v>
      </x:c>
      <x:c r="K446" s="24" t="n">
        <x:v>8902245</x:v>
      </x:c>
      <x:c r="L446" t="str">
        <x:v>40355b29bce094aef0e99358bdfd4011b92e72a54440a67760de4afae4883c33</x:v>
      </x:c>
      <x:c r="M446" t="str">
        <x:v>legacy_common_sample_8902245</x:v>
      </x:c>
      <x:c r="N446" t="str">
        <x:v>factor_report/gtja191_batch/gtja_153/ic_summary.csv</x:v>
      </x:c>
    </x:row>
    <x:row r="447">
      <x:c r="A447" t="str">
        <x:v>gtja_154</x:v>
      </x:c>
      <x:c r="B447" s="22" t="n">
        <x:v>10</x:v>
      </x:c>
      <x:c r="C447" s="23" t="n">
        <x:v>0.029524560602556423</x:v>
      </x:c>
      <x:c r="D447" s="23" t="n">
        <x:v>0.0810234334057085</x:v>
      </x:c>
      <x:c r="E447" s="23" t="n">
        <x:v>0.3643953281357276</x:v>
      </x:c>
      <x:c r="F447" s="23" t="n">
        <x:v>0.6357258499730167</x:v>
      </x:c>
      <x:c r="G447" s="23" t="n">
        <x:v>0.012047097933755828</x:v>
      </x:c>
      <x:c r="H447" s="23" t="n">
        <x:v>0.17197659960525072</x:v>
      </x:c>
      <x:c r="I447" s="24" t="n">
        <x:v>1853</x:v>
      </x:c>
      <x:c r="J447" s="25" t="n">
        <x:v>46211.49520696759</x:v>
      </x:c>
      <x:c r="K447" s="24" t="n">
        <x:v>8902245</x:v>
      </x:c>
      <x:c r="L447" t="str">
        <x:v>8f7e606554926462248cbcc654181861438ca768a0063f6b317223ede37d16fb</x:v>
      </x:c>
      <x:c r="M447" t="str">
        <x:v>legacy_common_sample_8902245</x:v>
      </x:c>
      <x:c r="N447" t="str">
        <x:v>factor_report/gtja191_batch/gtja_154/ic_summary.csv</x:v>
      </x:c>
    </x:row>
    <x:row r="448">
      <x:c r="A448" t="str">
        <x:v>gtja_154</x:v>
      </x:c>
      <x:c r="B448" s="22" t="n">
        <x:v>20</x:v>
      </x:c>
      <x:c r="C448" s="23" t="n">
        <x:v>0.03766733258790282</x:v>
      </x:c>
      <x:c r="D448" s="23" t="n">
        <x:v>0.08357481590984377</x:v>
      </x:c>
      <x:c r="E448" s="23" t="n">
        <x:v>0.45070195103434524</x:v>
      </x:c>
      <x:c r="F448" s="23" t="n">
        <x:v>0.6440586001085187</x:v>
      </x:c>
      <x:c r="G448" s="23" t="n">
        <x:v>0.01791759634633691</x:v>
      </x:c>
      <x:c r="H448" s="23" t="n">
        <x:v>0.2417909769847384</x:v>
      </x:c>
      <x:c r="I448" s="24" t="n">
        <x:v>1843</x:v>
      </x:c>
      <x:c r="J448" s="25" t="n">
        <x:v>46211.49520696759</x:v>
      </x:c>
      <x:c r="K448" s="24" t="n">
        <x:v>8902245</x:v>
      </x:c>
      <x:c r="L448" t="str">
        <x:v>8f7e606554926462248cbcc654181861438ca768a0063f6b317223ede37d16fb</x:v>
      </x:c>
      <x:c r="M448" t="str">
        <x:v>legacy_common_sample_8902245</x:v>
      </x:c>
      <x:c r="N448" t="str">
        <x:v>factor_report/gtja191_batch/gtja_154/ic_summary.csv</x:v>
      </x:c>
    </x:row>
    <x:row r="449">
      <x:c r="A449" t="str">
        <x:v>gtja_155</x:v>
      </x:c>
      <x:c r="B449" s="22" t="n">
        <x:v>10</x:v>
      </x:c>
      <x:c r="C449" s="23" t="n">
        <x:v>-0.015673193144436708</x:v>
      </x:c>
      <x:c r="D449" s="23" t="n">
        <x:v>0.07706790339787711</x:v>
      </x:c>
      <x:c r="E449" s="23" t="n">
        <x:v>-0.2033686197939107</x:v>
      </x:c>
      <x:c r="F449" s="23" t="n">
        <x:v>0.42089402310396784</x:v>
      </x:c>
      <x:c r="G449" s="23" t="n">
        <x:v>-0.012521485418973948</x:v>
      </x:c>
      <x:c r="H449" s="23" t="n">
        <x:v>-0.2414617835878899</x:v>
      </x:c>
      <x:c r="I449" s="24" t="n">
        <x:v>1991</x:v>
      </x:c>
      <x:c r="J449" s="25" t="n">
        <x:v>46211.49922533565</x:v>
      </x:c>
      <x:c r="K449" s="24" t="n">
        <x:v>8902245</x:v>
      </x:c>
      <x:c r="L449" t="str">
        <x:v>8f7e606554926462248cbcc654181861438ca768a0063f6b317223ede37d16fb</x:v>
      </x:c>
      <x:c r="M449" t="str">
        <x:v>legacy_common_sample_8902245</x:v>
      </x:c>
      <x:c r="N449" t="str">
        <x:v>factor_report/gtja191_batch/gtja_155/ic_summary.csv</x:v>
      </x:c>
    </x:row>
    <x:row r="450">
      <x:c r="A450" t="str">
        <x:v>gtja_155</x:v>
      </x:c>
      <x:c r="B450" s="22" t="n">
        <x:v>20</x:v>
      </x:c>
      <x:c r="C450" s="23" t="n">
        <x:v>-0.014456809730245502</x:v>
      </x:c>
      <x:c r="D450" s="23" t="n">
        <x:v>0.07603418993094509</x:v>
      </x:c>
      <x:c r="E450" s="23" t="n">
        <x:v>-0.19013564481156836</x:v>
      </x:c>
      <x:c r="F450" s="23" t="n">
        <x:v>0.42453306410903585</x:v>
      </x:c>
      <x:c r="G450" s="23" t="n">
        <x:v>-0.012354864220983816</x:v>
      </x:c>
      <x:c r="H450" s="23" t="n">
        <x:v>-0.24891608238252375</x:v>
      </x:c>
      <x:c r="I450" s="24" t="n">
        <x:v>1981</x:v>
      </x:c>
      <x:c r="J450" s="25" t="n">
        <x:v>46211.49922533565</x:v>
      </x:c>
      <x:c r="K450" s="24" t="n">
        <x:v>8902245</x:v>
      </x:c>
      <x:c r="L450" t="str">
        <x:v>8f7e606554926462248cbcc654181861438ca768a0063f6b317223ede37d16fb</x:v>
      </x:c>
      <x:c r="M450" t="str">
        <x:v>legacy_common_sample_8902245</x:v>
      </x:c>
      <x:c r="N450" t="str">
        <x:v>factor_report/gtja191_batch/gtja_155/ic_summary.csv</x:v>
      </x:c>
    </x:row>
    <x:row r="451">
      <x:c r="A451" t="str">
        <x:v>gtja_156</x:v>
      </x:c>
      <x:c r="B451" s="22" t="n">
        <x:v>10</x:v>
      </x:c>
      <x:c r="C451" s="23" t="n">
        <x:v>0.05501076023105661</x:v>
      </x:c>
      <x:c r="D451" s="23" t="n">
        <x:v>0.10600342168223865</x:v>
      </x:c>
      <x:c r="E451" s="23" t="n">
        <x:v>0.5189526843384331</x:v>
      </x:c>
      <x:c r="F451" s="23" t="n">
        <x:v>0.7026619789050729</x:v>
      </x:c>
      <x:c r="G451" s="23" t="n">
        <x:v>0.025070626689873605</x:v>
      </x:c>
      <x:c r="H451" s="23" t="n">
        <x:v>0.28056640196235827</x:v>
      </x:c>
      <x:c r="I451" s="24" t="n">
        <x:v>1991</x:v>
      </x:c>
      <x:c r="J451" s="25" t="n">
        <x:v>46211.50185851852</x:v>
      </x:c>
      <x:c r="K451" s="24" t="n">
        <x:v>8902245</x:v>
      </x:c>
      <x:c r="L451" t="str">
        <x:v>8f7e606554926462248cbcc654181861438ca768a0063f6b317223ede37d16fb</x:v>
      </x:c>
      <x:c r="M451" t="str">
        <x:v>legacy_common_sample_8902245</x:v>
      </x:c>
      <x:c r="N451" t="str">
        <x:v>factor_report/gtja191_batch/gtja_156/ic_summary.csv</x:v>
      </x:c>
    </x:row>
    <x:row r="452">
      <x:c r="A452" t="str">
        <x:v>gtja_156</x:v>
      </x:c>
      <x:c r="B452" s="22" t="n">
        <x:v>20</x:v>
      </x:c>
      <x:c r="C452" s="23" t="n">
        <x:v>0.06318085745008127</x:v>
      </x:c>
      <x:c r="D452" s="23" t="n">
        <x:v>0.11019826229320252</x:v>
      </x:c>
      <x:c r="E452" s="23" t="n">
        <x:v>0.5733380557488021</x:v>
      </x:c>
      <x:c r="F452" s="23" t="n">
        <x:v>0.712771327612317</x:v>
      </x:c>
      <x:c r="G452" s="23" t="n">
        <x:v>0.029310860798907244</x:v>
      </x:c>
      <x:c r="H452" s="23" t="n">
        <x:v>0.3135468355658616</x:v>
      </x:c>
      <x:c r="I452" s="24" t="n">
        <x:v>1981</x:v>
      </x:c>
      <x:c r="J452" s="25" t="n">
        <x:v>46211.50185851852</x:v>
      </x:c>
      <x:c r="K452" s="24" t="n">
        <x:v>8902245</x:v>
      </x:c>
      <x:c r="L452" t="str">
        <x:v>8f7e606554926462248cbcc654181861438ca768a0063f6b317223ede37d16fb</x:v>
      </x:c>
      <x:c r="M452" t="str">
        <x:v>legacy_common_sample_8902245</x:v>
      </x:c>
      <x:c r="N452" t="str">
        <x:v>factor_report/gtja191_batch/gtja_156/ic_summary.csv</x:v>
      </x:c>
    </x:row>
    <x:row r="453">
      <x:c r="A453" t="str">
        <x:v>gtja_157</x:v>
      </x:c>
      <x:c r="B453" s="22" t="n">
        <x:v>10</x:v>
      </x:c>
      <x:c r="C453" s="23" t="n">
        <x:v>0.044669140138907784</x:v>
      </x:c>
      <x:c r="D453" s="23" t="n">
        <x:v>0.1080889058868639</x:v>
      </x:c>
      <x:c r="E453" s="23" t="n">
        <x:v>0.4132629502759769</x:v>
      </x:c>
      <x:c r="F453" s="23" t="n">
        <x:v>0.6700150678051231</x:v>
      </x:c>
      <x:c r="G453" s="23" t="n">
        <x:v>0.021337203703238782</x:v>
      </x:c>
      <x:c r="H453" s="23" t="n">
        <x:v>0.23279164556397836</x:v>
      </x:c>
      <x:c r="I453" s="24" t="n">
        <x:v>1991</x:v>
      </x:c>
      <x:c r="J453" s="25" t="n">
        <x:v>46211.50636057871</x:v>
      </x:c>
      <x:c r="K453" s="24" t="n">
        <x:v>8902245</x:v>
      </x:c>
      <x:c r="L453" t="str">
        <x:v>8f7e606554926462248cbcc654181861438ca768a0063f6b317223ede37d16fb</x:v>
      </x:c>
      <x:c r="M453" t="str">
        <x:v>legacy_common_sample_8902245</x:v>
      </x:c>
      <x:c r="N453" t="str">
        <x:v>factor_report/gtja191_batch/gtja_157/ic_summary.csv</x:v>
      </x:c>
    </x:row>
    <x:row r="454">
      <x:c r="A454" t="str">
        <x:v>gtja_157</x:v>
      </x:c>
      <x:c r="B454" s="22" t="n">
        <x:v>20</x:v>
      </x:c>
      <x:c r="C454" s="23" t="n">
        <x:v>0.05137294362528669</x:v>
      </x:c>
      <x:c r="D454" s="23" t="n">
        <x:v>0.11069149955785575</x:v>
      </x:c>
      <x:c r="E454" s="23" t="n">
        <x:v>0.464109202879082</x:v>
      </x:c>
      <x:c r="F454" s="23" t="n">
        <x:v>0.6774356385663807</x:v>
      </x:c>
      <x:c r="G454" s="23" t="n">
        <x:v>0.026512143412782865</x:v>
      </x:c>
      <x:c r="H454" s="23" t="n">
        <x:v>0.2810055061555109</x:v>
      </x:c>
      <x:c r="I454" s="24" t="n">
        <x:v>1981</x:v>
      </x:c>
      <x:c r="J454" s="25" t="n">
        <x:v>46211.50636057871</x:v>
      </x:c>
      <x:c r="K454" s="24" t="n">
        <x:v>8902245</x:v>
      </x:c>
      <x:c r="L454" t="str">
        <x:v>8f7e606554926462248cbcc654181861438ca768a0063f6b317223ede37d16fb</x:v>
      </x:c>
      <x:c r="M454" t="str">
        <x:v>legacy_common_sample_8902245</x:v>
      </x:c>
      <x:c r="N454" t="str">
        <x:v>factor_report/gtja191_batch/gtja_157/ic_summary.csv</x:v>
      </x:c>
    </x:row>
    <x:row r="455">
      <x:c r="A455" t="str">
        <x:v>gtja_158</x:v>
      </x:c>
      <x:c r="B455" s="22" t="n">
        <x:v>1</x:v>
      </x:c>
      <x:c r="C455" s="23" t="n">
        <x:v>-0.05200081838059828</x:v>
      </x:c>
      <x:c r="D455" s="23" t="n">
        <x:v>0.15206881249090748</x:v>
      </x:c>
      <x:c r="E455" s="23" t="n">
        <x:v>-0.34195583912847033</x:v>
      </x:c>
      <x:c r="F455" s="23" t="n">
        <x:v>0.3535</x:v>
      </x:c>
      <x:c r="G455" s="23" t="n">
        <x:v>-0.019410573268389485</x:v>
      </x:c>
      <x:c r="H455" s="23" t="n">
        <x:v>-0.1502719240744628</x:v>
      </x:c>
      <x:c r="I455" s="24" t="n">
        <x:v>2000</x:v>
      </x:c>
      <x:c r="J455" s="25" t="n">
        <x:v>46210.85092011574</x:v>
      </x:c>
      <x:c r="K455" s="24" t="n">
        <x:v>8902245</x:v>
      </x:c>
      <x:c r="L455" t="str">
        <x:v>40355b29bce094aef0e99358bdfd4011b92e72a54440a67760de4afae4883c33</x:v>
      </x:c>
      <x:c r="M455" t="str">
        <x:v>legacy_common_sample_8902245</x:v>
      </x:c>
      <x:c r="N455" t="str">
        <x:v>factor_report/gtja191_batch/gtja_158/ic_summary.csv</x:v>
      </x:c>
    </x:row>
    <x:row r="456">
      <x:c r="A456" t="str">
        <x:v>gtja_158</x:v>
      </x:c>
      <x:c r="B456" s="22" t="n">
        <x:v>5</x:v>
      </x:c>
      <x:c r="C456" s="23" t="n">
        <x:v>-0.0622115405429208</x:v>
      </x:c>
      <x:c r="D456" s="23" t="n">
        <x:v>0.143263592454755</x:v>
      </x:c>
      <x:c r="E456" s="23" t="n">
        <x:v>-0.4342452920309689</x:v>
      </x:c>
      <x:c r="F456" s="23" t="n">
        <x:v>0.3196392785571142</x:v>
      </x:c>
      <x:c r="G456" s="23" t="n">
        <x:v>-0.03171309748924288</x:v>
      </x:c>
      <x:c r="H456" s="23" t="n">
        <x:v>-0.26650587279182764</x:v>
      </x:c>
      <x:c r="I456" s="24" t="n">
        <x:v>1996</x:v>
      </x:c>
      <x:c r="J456" s="25" t="n">
        <x:v>46210.85092011574</x:v>
      </x:c>
      <x:c r="K456" s="24" t="n">
        <x:v>8902245</x:v>
      </x:c>
      <x:c r="L456" t="str">
        <x:v>40355b29bce094aef0e99358bdfd4011b92e72a54440a67760de4afae4883c33</x:v>
      </x:c>
      <x:c r="M456" t="str">
        <x:v>legacy_common_sample_8902245</x:v>
      </x:c>
      <x:c r="N456" t="str">
        <x:v>factor_report/gtja191_batch/gtja_158/ic_summary.csv</x:v>
      </x:c>
    </x:row>
    <x:row r="457">
      <x:c r="A457" t="str">
        <x:v>gtja_158</x:v>
      </x:c>
      <x:c r="B457" s="22" t="n">
        <x:v>10</x:v>
      </x:c>
      <x:c r="C457" s="23" t="n">
        <x:v>-0.06798036351326307</x:v>
      </x:c>
      <x:c r="D457" s="23" t="n">
        <x:v>0.1425731170958223</x:v>
      </x:c>
      <x:c r="E457" s="23" t="n">
        <x:v>-0.4768105299091833</x:v>
      </x:c>
      <x:c r="F457" s="23" t="n">
        <x:v>0.3124058262179809</x:v>
      </x:c>
      <x:c r="G457" s="23" t="n">
        <x:v>-0.03655695590855129</x:v>
      </x:c>
      <x:c r="H457" s="23" t="n">
        <x:v>-0.3128697996535851</x:v>
      </x:c>
      <x:c r="I457" s="24" t="n">
        <x:v>1991</x:v>
      </x:c>
      <x:c r="J457" s="25" t="n">
        <x:v>46210.85092011574</x:v>
      </x:c>
      <x:c r="K457" s="24" t="n">
        <x:v>8902245</x:v>
      </x:c>
      <x:c r="L457" t="str">
        <x:v>40355b29bce094aef0e99358bdfd4011b92e72a54440a67760de4afae4883c33</x:v>
      </x:c>
      <x:c r="M457" t="str">
        <x:v>legacy_common_sample_8902245</x:v>
      </x:c>
      <x:c r="N457" t="str">
        <x:v>factor_report/gtja191_batch/gtja_158/ic_summary.csv</x:v>
      </x:c>
    </x:row>
    <x:row r="458">
      <x:c r="A458" t="str">
        <x:v>gtja_158</x:v>
      </x:c>
      <x:c r="B458" s="22" t="n">
        <x:v>20</x:v>
      </x:c>
      <x:c r="C458" s="23" t="n">
        <x:v>-0.07619005015983824</x:v>
      </x:c>
      <x:c r="D458" s="23" t="n">
        <x:v>0.14653593624438352</x:v>
      </x:c>
      <x:c r="E458" s="23" t="n">
        <x:v>-0.5199410609611366</x:v>
      </x:c>
      <x:c r="F458" s="23" t="n">
        <x:v>0.3008581524482585</x:v>
      </x:c>
      <x:c r="G458" s="23" t="n">
        <x:v>-0.04142049505226221</x:v>
      </x:c>
      <x:c r="H458" s="23" t="n">
        <x:v>-0.352531741368863</x:v>
      </x:c>
      <x:c r="I458" s="24" t="n">
        <x:v>1981</x:v>
      </x:c>
      <x:c r="J458" s="25" t="n">
        <x:v>46210.85092011574</x:v>
      </x:c>
      <x:c r="K458" s="24" t="n">
        <x:v>8902245</x:v>
      </x:c>
      <x:c r="L458" t="str">
        <x:v>40355b29bce094aef0e99358bdfd4011b92e72a54440a67760de4afae4883c33</x:v>
      </x:c>
      <x:c r="M458" t="str">
        <x:v>legacy_common_sample_8902245</x:v>
      </x:c>
      <x:c r="N458" t="str">
        <x:v>factor_report/gtja191_batch/gtja_158/ic_summary.csv</x:v>
      </x:c>
    </x:row>
    <x:row r="459">
      <x:c r="A459" t="str">
        <x:v>gtja_159</x:v>
      </x:c>
      <x:c r="B459" s="22" t="n">
        <x:v>1</x:v>
      </x:c>
      <x:c r="C459" s="23" t="n">
        <x:v>-0.0564643230896578</x:v>
      </x:c>
      <x:c r="D459" s="23" t="n">
        <x:v>0.18821758490001683</x:v>
      </x:c>
      <x:c r="E459" s="23" t="n">
        <x:v>-0.29999494000335963</x:v>
      </x:c>
      <x:c r="F459" s="23" t="n">
        <x:v>0.383</x:v>
      </x:c>
      <x:c r="G459" s="23" t="n">
        <x:v>-0.0035939879379449863</x:v>
      </x:c>
      <x:c r="H459" s="23" t="n">
        <x:v>-0.023932303899237846</x:v>
      </x:c>
      <x:c r="I459" s="24" t="n">
        <x:v>2000</x:v>
      </x:c>
      <x:c r="J459" s="25" t="n">
        <x:v>46210.85484907407</x:v>
      </x:c>
      <x:c r="K459" s="24" t="n">
        <x:v>8902245</x:v>
      </x:c>
      <x:c r="L459" t="str">
        <x:v>40355b29bce094aef0e99358bdfd4011b92e72a54440a67760de4afae4883c33</x:v>
      </x:c>
      <x:c r="M459" t="str">
        <x:v>legacy_common_sample_8902245</x:v>
      </x:c>
      <x:c r="N459" t="str">
        <x:v>factor_report/gtja191_batch/gtja_159/ic_summary.csv</x:v>
      </x:c>
    </x:row>
    <x:row r="460">
      <x:c r="A460" t="str">
        <x:v>gtja_159</x:v>
      </x:c>
      <x:c r="B460" s="22" t="n">
        <x:v>5</x:v>
      </x:c>
      <x:c r="C460" s="23" t="n">
        <x:v>-0.07569628027837899</x:v>
      </x:c>
      <x:c r="D460" s="23" t="n">
        <x:v>0.17996308082224172</x:v>
      </x:c>
      <x:c r="E460" s="23" t="n">
        <x:v>-0.42062116258805266</x:v>
      </x:c>
      <x:c r="F460" s="23" t="n">
        <x:v>0.33216432865731466</x:v>
      </x:c>
      <x:c r="G460" s="23" t="n">
        <x:v>-0.014288588658110188</x:v>
      </x:c>
      <x:c r="H460" s="23" t="n">
        <x:v>-0.09943811422836248</x:v>
      </x:c>
      <x:c r="I460" s="24" t="n">
        <x:v>1996</x:v>
      </x:c>
      <x:c r="J460" s="25" t="n">
        <x:v>46210.85484907407</x:v>
      </x:c>
      <x:c r="K460" s="24" t="n">
        <x:v>8902245</x:v>
      </x:c>
      <x:c r="L460" t="str">
        <x:v>40355b29bce094aef0e99358bdfd4011b92e72a54440a67760de4afae4883c33</x:v>
      </x:c>
      <x:c r="M460" t="str">
        <x:v>legacy_common_sample_8902245</x:v>
      </x:c>
      <x:c r="N460" t="str">
        <x:v>factor_report/gtja191_batch/gtja_159/ic_summary.csv</x:v>
      </x:c>
    </x:row>
    <x:row r="461">
      <x:c r="A461" t="str">
        <x:v>gtja_159</x:v>
      </x:c>
      <x:c r="B461" s="22" t="n">
        <x:v>10</x:v>
      </x:c>
      <x:c r="C461" s="23" t="n">
        <x:v>-0.08558369624505881</x:v>
      </x:c>
      <x:c r="D461" s="23" t="n">
        <x:v>0.17934245882606162</x:v>
      </x:c>
      <x:c r="E461" s="23" t="n">
        <x:v>-0.4772082238933929</x:v>
      </x:c>
      <x:c r="F461" s="23" t="n">
        <x:v>0.3068809643395279</x:v>
      </x:c>
      <x:c r="G461" s="23" t="n">
        <x:v>-0.01992487081315758</x:v>
      </x:c>
      <x:c r="H461" s="23" t="n">
        <x:v>-0.1380279387759446</x:v>
      </x:c>
      <x:c r="I461" s="24" t="n">
        <x:v>1991</x:v>
      </x:c>
      <x:c r="J461" s="25" t="n">
        <x:v>46210.85484907407</x:v>
      </x:c>
      <x:c r="K461" s="24" t="n">
        <x:v>8902245</x:v>
      </x:c>
      <x:c r="L461" t="str">
        <x:v>40355b29bce094aef0e99358bdfd4011b92e72a54440a67760de4afae4883c33</x:v>
      </x:c>
      <x:c r="M461" t="str">
        <x:v>legacy_common_sample_8902245</x:v>
      </x:c>
      <x:c r="N461" t="str">
        <x:v>factor_report/gtja191_batch/gtja_159/ic_summary.csv</x:v>
      </x:c>
    </x:row>
    <x:row r="462">
      <x:c r="A462" t="str">
        <x:v>gtja_159</x:v>
      </x:c>
      <x:c r="B462" s="22" t="n">
        <x:v>20</x:v>
      </x:c>
      <x:c r="C462" s="23" t="n">
        <x:v>-0.09704336413748631</x:v>
      </x:c>
      <x:c r="D462" s="23" t="n">
        <x:v>0.18561403500389465</x:v>
      </x:c>
      <x:c r="E462" s="23" t="n">
        <x:v>-0.5228234176119823</x:v>
      </x:c>
      <x:c r="F462" s="23" t="n">
        <x:v>0.2922766279656739</x:v>
      </x:c>
      <x:c r="G462" s="23" t="n">
        <x:v>-0.02577757565719447</x:v>
      </x:c>
      <x:c r="H462" s="23" t="n">
        <x:v>-0.17294784496485777</x:v>
      </x:c>
      <x:c r="I462" s="24" t="n">
        <x:v>1981</x:v>
      </x:c>
      <x:c r="J462" s="25" t="n">
        <x:v>46210.85484907407</x:v>
      </x:c>
      <x:c r="K462" s="24" t="n">
        <x:v>8902245</x:v>
      </x:c>
      <x:c r="L462" t="str">
        <x:v>40355b29bce094aef0e99358bdfd4011b92e72a54440a67760de4afae4883c33</x:v>
      </x:c>
      <x:c r="M462" t="str">
        <x:v>legacy_common_sample_8902245</x:v>
      </x:c>
      <x:c r="N462" t="str">
        <x:v>factor_report/gtja191_batch/gtja_159/ic_summary.csv</x:v>
      </x:c>
    </x:row>
    <x:row r="463">
      <x:c r="A463" t="str">
        <x:v>gtja_160</x:v>
      </x:c>
      <x:c r="B463" s="22" t="n">
        <x:v>1</x:v>
      </x:c>
      <x:c r="C463" s="23" t="n">
        <x:v>-0.02416931820708422</x:v>
      </x:c>
      <x:c r="D463" s="23" t="n">
        <x:v>0.1851482061683731</x:v>
      </x:c>
      <x:c r="E463" s="23" t="n">
        <x:v>-0.1305403854958483</x:v>
      </x:c>
      <x:c r="F463" s="23" t="n">
        <x:v>0.4445</x:v>
      </x:c>
      <x:c r="G463" s="23" t="n">
        <x:v>-0.001313067200133201</x:v>
      </x:c>
      <x:c r="H463" s="23" t="n">
        <x:v>-0.012200533571011857</x:v>
      </x:c>
      <x:c r="I463" s="24" t="n">
        <x:v>2000</x:v>
      </x:c>
      <x:c r="J463" s="25" t="n">
        <x:v>46210.859459722225</x:v>
      </x:c>
      <x:c r="K463" s="24" t="n">
        <x:v>8902245</x:v>
      </x:c>
      <x:c r="L463" t="str">
        <x:v>40355b29bce094aef0e99358bdfd4011b92e72a54440a67760de4afae4883c33</x:v>
      </x:c>
      <x:c r="M463" t="str">
        <x:v>legacy_common_sample_8902245</x:v>
      </x:c>
      <x:c r="N463" t="str">
        <x:v>factor_report/gtja191_batch/gtja_160/ic_summary.csv</x:v>
      </x:c>
    </x:row>
    <x:row r="464">
      <x:c r="A464" t="str">
        <x:v>gtja_160</x:v>
      </x:c>
      <x:c r="B464" s="22" t="n">
        <x:v>5</x:v>
      </x:c>
      <x:c r="C464" s="23" t="n">
        <x:v>-0.035838686284958336</x:v>
      </x:c>
      <x:c r="D464" s="23" t="n">
        <x:v>0.1890162665195768</x:v>
      </x:c>
      <x:c r="E464" s="23" t="n">
        <x:v>-0.18960636004968626</x:v>
      </x:c>
      <x:c r="F464" s="23" t="n">
        <x:v>0.4473947895791583</x:v>
      </x:c>
      <x:c r="G464" s="23" t="n">
        <x:v>-0.005760415274453441</x:v>
      </x:c>
      <x:c r="H464" s="23" t="n">
        <x:v>-0.052704399284054335</x:v>
      </x:c>
      <x:c r="I464" s="24" t="n">
        <x:v>1996</x:v>
      </x:c>
      <x:c r="J464" s="25" t="n">
        <x:v>46210.859459722225</x:v>
      </x:c>
      <x:c r="K464" s="24" t="n">
        <x:v>8902245</x:v>
      </x:c>
      <x:c r="L464" t="str">
        <x:v>40355b29bce094aef0e99358bdfd4011b92e72a54440a67760de4afae4883c33</x:v>
      </x:c>
      <x:c r="M464" t="str">
        <x:v>legacy_common_sample_8902245</x:v>
      </x:c>
      <x:c r="N464" t="str">
        <x:v>factor_report/gtja191_batch/gtja_160/ic_summary.csv</x:v>
      </x:c>
    </x:row>
    <x:row r="465">
      <x:c r="A465" t="str">
        <x:v>gtja_160</x:v>
      </x:c>
      <x:c r="B465" s="22" t="n">
        <x:v>10</x:v>
      </x:c>
      <x:c r="C465" s="23" t="n">
        <x:v>-0.04511477824717248</x:v>
      </x:c>
      <x:c r="D465" s="23" t="n">
        <x:v>0.19401638603805693</x:v>
      </x:c>
      <x:c r="E465" s="23" t="n">
        <x:v>-0.23253076283115112</x:v>
      </x:c>
      <x:c r="F465" s="23" t="n">
        <x:v>0.4244098442993471</x:v>
      </x:c>
      <x:c r="G465" s="23" t="n">
        <x:v>-0.009295237853912735</x:v>
      </x:c>
      <x:c r="H465" s="23" t="n">
        <x:v>-0.0827914451816224</x:v>
      </x:c>
      <x:c r="I465" s="24" t="n">
        <x:v>1991</x:v>
      </x:c>
      <x:c r="J465" s="25" t="n">
        <x:v>46210.859459722225</x:v>
      </x:c>
      <x:c r="K465" s="24" t="n">
        <x:v>8902245</x:v>
      </x:c>
      <x:c r="L465" t="str">
        <x:v>40355b29bce094aef0e99358bdfd4011b92e72a54440a67760de4afae4883c33</x:v>
      </x:c>
      <x:c r="M465" t="str">
        <x:v>legacy_common_sample_8902245</x:v>
      </x:c>
      <x:c r="N465" t="str">
        <x:v>factor_report/gtja191_batch/gtja_160/ic_summary.csv</x:v>
      </x:c>
    </x:row>
    <x:row r="466">
      <x:c r="A466" t="str">
        <x:v>gtja_160</x:v>
      </x:c>
      <x:c r="B466" s="22" t="n">
        <x:v>20</x:v>
      </x:c>
      <x:c r="C466" s="23" t="n">
        <x:v>-0.05881287740967297</x:v>
      </x:c>
      <x:c r="D466" s="23" t="n">
        <x:v>0.19602200862915456</x:v>
      </x:c>
      <x:c r="E466" s="23" t="n">
        <x:v>-0.3000320107980246</x:v>
      </x:c>
      <x:c r="F466" s="23" t="n">
        <x:v>0.3917213528520949</x:v>
      </x:c>
      <x:c r="G466" s="23" t="n">
        <x:v>-0.01565309856777198</x:v>
      </x:c>
      <x:c r="H466" s="23" t="n">
        <x:v>-0.13624803535881755</x:v>
      </x:c>
      <x:c r="I466" s="24" t="n">
        <x:v>1981</x:v>
      </x:c>
      <x:c r="J466" s="25" t="n">
        <x:v>46210.859459722225</x:v>
      </x:c>
      <x:c r="K466" s="24" t="n">
        <x:v>8902245</x:v>
      </x:c>
      <x:c r="L466" t="str">
        <x:v>40355b29bce094aef0e99358bdfd4011b92e72a54440a67760de4afae4883c33</x:v>
      </x:c>
      <x:c r="M466" t="str">
        <x:v>legacy_common_sample_8902245</x:v>
      </x:c>
      <x:c r="N466" t="str">
        <x:v>factor_report/gtja191_batch/gtja_160/ic_summary.csv</x:v>
      </x:c>
    </x:row>
    <x:row r="467">
      <x:c r="A467" t="str">
        <x:v>gtja_161</x:v>
      </x:c>
      <x:c r="B467" s="22" t="n">
        <x:v>1</x:v>
      </x:c>
      <x:c r="C467" s="23" t="n">
        <x:v>-0.03704604830156317</x:v>
      </x:c>
      <x:c r="D467" s="23" t="n">
        <x:v>0.18438145300643663</x:v>
      </x:c>
      <x:c r="E467" s="23" t="n">
        <x:v>-0.20092068750683897</x:v>
      </x:c>
      <x:c r="F467" s="23" t="n">
        <x:v>0.4235</x:v>
      </x:c>
      <x:c r="G467" s="23" t="n">
        <x:v>-0.00638414817635337</x:v>
      </x:c>
      <x:c r="H467" s="23" t="n">
        <x:v>-0.056354172279430716</x:v>
      </x:c>
      <x:c r="I467" s="24" t="n">
        <x:v>2000</x:v>
      </x:c>
      <x:c r="J467" s="25" t="n">
        <x:v>46210.86347449074</x:v>
      </x:c>
      <x:c r="K467" s="24" t="n">
        <x:v>8902245</x:v>
      </x:c>
      <x:c r="L467" t="str">
        <x:v>40355b29bce094aef0e99358bdfd4011b92e72a54440a67760de4afae4883c33</x:v>
      </x:c>
      <x:c r="M467" t="str">
        <x:v>legacy_common_sample_8902245</x:v>
      </x:c>
      <x:c r="N467" t="str">
        <x:v>factor_report/gtja191_batch/gtja_161/ic_summary.csv</x:v>
      </x:c>
    </x:row>
    <x:row r="468">
      <x:c r="A468" t="str">
        <x:v>gtja_161</x:v>
      </x:c>
      <x:c r="B468" s="22" t="n">
        <x:v>5</x:v>
      </x:c>
      <x:c r="C468" s="23" t="n">
        <x:v>-0.05466940533677726</x:v>
      </x:c>
      <x:c r="D468" s="23" t="n">
        <x:v>0.18794128064135981</x:v>
      </x:c>
      <x:c r="E468" s="23" t="n">
        <x:v>-0.29088556356652967</x:v>
      </x:c>
      <x:c r="F468" s="23" t="n">
        <x:v>0.4088176352705411</x:v>
      </x:c>
      <x:c r="G468" s="23" t="n">
        <x:v>-0.014412155182972865</x:v>
      </x:c>
      <x:c r="H468" s="23" t="n">
        <x:v>-0.1254456447486801</x:v>
      </x:c>
      <x:c r="I468" s="24" t="n">
        <x:v>1996</x:v>
      </x:c>
      <x:c r="J468" s="25" t="n">
        <x:v>46210.86347449074</x:v>
      </x:c>
      <x:c r="K468" s="24" t="n">
        <x:v>8902245</x:v>
      </x:c>
      <x:c r="L468" t="str">
        <x:v>40355b29bce094aef0e99358bdfd4011b92e72a54440a67760de4afae4883c33</x:v>
      </x:c>
      <x:c r="M468" t="str">
        <x:v>legacy_common_sample_8902245</x:v>
      </x:c>
      <x:c r="N468" t="str">
        <x:v>factor_report/gtja191_batch/gtja_161/ic_summary.csv</x:v>
      </x:c>
    </x:row>
    <x:row r="469">
      <x:c r="A469" t="str">
        <x:v>gtja_161</x:v>
      </x:c>
      <x:c r="B469" s="22" t="n">
        <x:v>10</x:v>
      </x:c>
      <x:c r="C469" s="23" t="n">
        <x:v>-0.06624620031295926</x:v>
      </x:c>
      <x:c r="D469" s="23" t="n">
        <x:v>0.1940851068409498</x:v>
      </x:c>
      <x:c r="E469" s="23" t="n">
        <x:v>-0.3413255215262197</x:v>
      </x:c>
      <x:c r="F469" s="23" t="n">
        <x:v>0.3902561526870919</x:v>
      </x:c>
      <x:c r="G469" s="23" t="n">
        <x:v>-0.019156772473892764</x:v>
      </x:c>
      <x:c r="H469" s="23" t="n">
        <x:v>-0.16119128837669178</x:v>
      </x:c>
      <x:c r="I469" s="24" t="n">
        <x:v>1991</x:v>
      </x:c>
      <x:c r="J469" s="25" t="n">
        <x:v>46210.86347449074</x:v>
      </x:c>
      <x:c r="K469" s="24" t="n">
        <x:v>8902245</x:v>
      </x:c>
      <x:c r="L469" t="str">
        <x:v>40355b29bce094aef0e99358bdfd4011b92e72a54440a67760de4afae4883c33</x:v>
      </x:c>
      <x:c r="M469" t="str">
        <x:v>legacy_common_sample_8902245</x:v>
      </x:c>
      <x:c r="N469" t="str">
        <x:v>factor_report/gtja191_batch/gtja_161/ic_summary.csv</x:v>
      </x:c>
    </x:row>
    <x:row r="470">
      <x:c r="A470" t="str">
        <x:v>gtja_161</x:v>
      </x:c>
      <x:c r="B470" s="22" t="n">
        <x:v>20</x:v>
      </x:c>
      <x:c r="C470" s="23" t="n">
        <x:v>-0.08018019777096075</x:v>
      </x:c>
      <x:c r="D470" s="23" t="n">
        <x:v>0.1990911488113105</x:v>
      </x:c>
      <x:c r="E470" s="23" t="n">
        <x:v>-0.4027311020589463</x:v>
      </x:c>
      <x:c r="F470" s="23" t="n">
        <x:v>0.37001514386673395</x:v>
      </x:c>
      <x:c r="G470" s="23" t="n">
        <x:v>-0.024833076660142603</x:v>
      </x:c>
      <x:c r="H470" s="23" t="n">
        <x:v>-0.2001655733633918</x:v>
      </x:c>
      <x:c r="I470" s="24" t="n">
        <x:v>1981</x:v>
      </x:c>
      <x:c r="J470" s="25" t="n">
        <x:v>46210.86347449074</x:v>
      </x:c>
      <x:c r="K470" s="24" t="n">
        <x:v>8902245</x:v>
      </x:c>
      <x:c r="L470" t="str">
        <x:v>40355b29bce094aef0e99358bdfd4011b92e72a54440a67760de4afae4883c33</x:v>
      </x:c>
      <x:c r="M470" t="str">
        <x:v>legacy_common_sample_8902245</x:v>
      </x:c>
      <x:c r="N470" t="str">
        <x:v>factor_report/gtja191_batch/gtja_161/ic_summary.csv</x:v>
      </x:c>
    </x:row>
    <x:row r="471">
      <x:c r="A471" t="str">
        <x:v>gtja_162</x:v>
      </x:c>
      <x:c r="B471" s="22" t="n">
        <x:v>10</x:v>
      </x:c>
      <x:c r="C471" s="23" t="n">
        <x:v>-0.007836269014980184</x:v>
      </x:c>
      <x:c r="D471" s="23" t="n">
        <x:v>0.1163811553507725</x:v>
      </x:c>
      <x:c r="E471" s="23" t="n">
        <x:v>-0.06733279963892513</x:v>
      </x:c>
      <x:c r="F471" s="23" t="n">
        <x:v>0.4861878453038674</x:v>
      </x:c>
      <x:c r="G471" s="23" t="n">
        <x:v>-0.004858560259851774</x:v>
      </x:c>
      <x:c r="H471" s="23" t="n">
        <x:v>-0.05026080331077417</x:v>
      </x:c>
      <x:c r="I471" s="24" t="n">
        <x:v>1991</x:v>
      </x:c>
      <x:c r="J471" s="25" t="n">
        <x:v>46211.50984748843</x:v>
      </x:c>
      <x:c r="K471" s="24" t="n">
        <x:v>8902245</x:v>
      </x:c>
      <x:c r="L471" t="str">
        <x:v>8f7e606554926462248cbcc654181861438ca768a0063f6b317223ede37d16fb</x:v>
      </x:c>
      <x:c r="M471" t="str">
        <x:v>legacy_common_sample_8902245</x:v>
      </x:c>
      <x:c r="N471" t="str">
        <x:v>factor_report/gtja191_batch/gtja_162/ic_summary.csv</x:v>
      </x:c>
    </x:row>
    <x:row r="472">
      <x:c r="A472" t="str">
        <x:v>gtja_162</x:v>
      </x:c>
      <x:c r="B472" s="22" t="n">
        <x:v>20</x:v>
      </x:c>
      <x:c r="C472" s="23" t="n">
        <x:v>-0.008626401057658625</x:v>
      </x:c>
      <x:c r="D472" s="23" t="n">
        <x:v>0.11428365490215456</x:v>
      </x:c>
      <x:c r="E472" s="23" t="n">
        <x:v>-0.07548236941708095</x:v>
      </x:c>
      <x:c r="F472" s="23" t="n">
        <x:v>0.47147905098435133</x:v>
      </x:c>
      <x:c r="G472" s="23" t="n">
        <x:v>-0.006015114277992968</x:v>
      </x:c>
      <x:c r="H472" s="23" t="n">
        <x:v>-0.06379285737929395</x:v>
      </x:c>
      <x:c r="I472" s="24" t="n">
        <x:v>1981</x:v>
      </x:c>
      <x:c r="J472" s="25" t="n">
        <x:v>46211.50984748843</x:v>
      </x:c>
      <x:c r="K472" s="24" t="n">
        <x:v>8902245</x:v>
      </x:c>
      <x:c r="L472" t="str">
        <x:v>8f7e606554926462248cbcc654181861438ca768a0063f6b317223ede37d16fb</x:v>
      </x:c>
      <x:c r="M472" t="str">
        <x:v>legacy_common_sample_8902245</x:v>
      </x:c>
      <x:c r="N472" t="str">
        <x:v>factor_report/gtja191_batch/gtja_162/ic_summary.csv</x:v>
      </x:c>
    </x:row>
    <x:row r="473">
      <x:c r="A473" t="str">
        <x:v>gtja_163</x:v>
      </x:c>
      <x:c r="B473" s="22" t="n">
        <x:v>10</x:v>
      </x:c>
      <x:c r="C473" s="23" t="n">
        <x:v>0.004280049698009344</x:v>
      </x:c>
      <x:c r="D473" s="23" t="n">
        <x:v>0.11505100717817177</x:v>
      </x:c>
      <x:c r="E473" s="23" t="n">
        <x:v>0.037201323160788315</x:v>
      </x:c>
      <x:c r="F473" s="23" t="n">
        <x:v>0.5052737317930688</x:v>
      </x:c>
      <x:c r="G473" s="23" t="n">
        <x:v>0.003126232564102723</x:v>
      </x:c>
      <x:c r="H473" s="23" t="n">
        <x:v>0.03237990278166782</x:v>
      </x:c>
      <x:c r="I473" s="24" t="n">
        <x:v>1991</x:v>
      </x:c>
      <x:c r="J473" s="25" t="n">
        <x:v>46211.5122449537</x:v>
      </x:c>
      <x:c r="K473" s="24" t="n">
        <x:v>8902245</x:v>
      </x:c>
      <x:c r="L473" t="str">
        <x:v>8f7e606554926462248cbcc654181861438ca768a0063f6b317223ede37d16fb</x:v>
      </x:c>
      <x:c r="M473" t="str">
        <x:v>legacy_common_sample_8902245</x:v>
      </x:c>
      <x:c r="N473" t="str">
        <x:v>factor_report/gtja191_batch/gtja_163/ic_summary.csv</x:v>
      </x:c>
    </x:row>
    <x:row r="474">
      <x:c r="A474" t="str">
        <x:v>gtja_163</x:v>
      </x:c>
      <x:c r="B474" s="22" t="n">
        <x:v>20</x:v>
      </x:c>
      <x:c r="C474" s="23" t="n">
        <x:v>0.004966602728574565</x:v>
      </x:c>
      <x:c r="D474" s="23" t="n">
        <x:v>0.11356715674606098</x:v>
      </x:c>
      <x:c r="E474" s="23" t="n">
        <x:v>0.043732738151400705</x:v>
      </x:c>
      <x:c r="F474" s="23" t="n">
        <x:v>0.5204442200908632</x:v>
      </x:c>
      <x:c r="G474" s="23" t="n">
        <x:v>0.0034597726525617384</x:v>
      </x:c>
      <x:c r="H474" s="23" t="n">
        <x:v>0.035929633361211175</x:v>
      </x:c>
      <x:c r="I474" s="24" t="n">
        <x:v>1981</x:v>
      </x:c>
      <x:c r="J474" s="25" t="n">
        <x:v>46211.5122449537</x:v>
      </x:c>
      <x:c r="K474" s="24" t="n">
        <x:v>8902245</x:v>
      </x:c>
      <x:c r="L474" t="str">
        <x:v>8f7e606554926462248cbcc654181861438ca768a0063f6b317223ede37d16fb</x:v>
      </x:c>
      <x:c r="M474" t="str">
        <x:v>legacy_common_sample_8902245</x:v>
      </x:c>
      <x:c r="N474" t="str">
        <x:v>factor_report/gtja191_batch/gtja_163/ic_summary.csv</x:v>
      </x:c>
    </x:row>
    <x:row r="475">
      <x:c r="A475" t="str">
        <x:v>gtja_164</x:v>
      </x:c>
      <x:c r="B475" s="22" t="n">
        <x:v>10</x:v>
      </x:c>
      <x:c r="C475" s="23" t="n">
        <x:v>0.05937842965949153</x:v>
      </x:c>
      <x:c r="D475" s="23" t="n">
        <x:v>0.18339244463409524</x:v>
      </x:c>
      <x:c r="E475" s="23" t="n">
        <x:v>0.32377794940224186</x:v>
      </x:c>
      <x:c r="F475" s="23" t="n">
        <x:v>0.6027122049221497</x:v>
      </x:c>
      <x:c r="G475" s="23" t="n">
        <x:v>0.015227190171499828</x:v>
      </x:c>
      <x:c r="H475" s="23" t="n">
        <x:v>0.1540096879950636</x:v>
      </x:c>
      <x:c r="I475" s="24" t="n">
        <x:v>1991</x:v>
      </x:c>
      <x:c r="J475" s="25" t="n">
        <x:v>46211.51530107639</x:v>
      </x:c>
      <x:c r="K475" s="24" t="n">
        <x:v>8902245</x:v>
      </x:c>
      <x:c r="L475" t="str">
        <x:v>8f7e606554926462248cbcc654181861438ca768a0063f6b317223ede37d16fb</x:v>
      </x:c>
      <x:c r="M475" t="str">
        <x:v>legacy_common_sample_8902245</x:v>
      </x:c>
      <x:c r="N475" t="str">
        <x:v>factor_report/gtja191_batch/gtja_164/ic_summary.csv</x:v>
      </x:c>
    </x:row>
    <x:row r="476">
      <x:c r="A476" t="str">
        <x:v>gtja_164</x:v>
      </x:c>
      <x:c r="B476" s="22" t="n">
        <x:v>20</x:v>
      </x:c>
      <x:c r="C476" s="23" t="n">
        <x:v>0.07173398532509588</x:v>
      </x:c>
      <x:c r="D476" s="23" t="n">
        <x:v>0.18793592471919088</x:v>
      </x:c>
      <x:c r="E476" s="23" t="n">
        <x:v>0.3816938429003342</x:v>
      </x:c>
      <x:c r="F476" s="23" t="n">
        <x:v>0.6234225138818779</x:v>
      </x:c>
      <x:c r="G476" s="23" t="n">
        <x:v>0.02099955359403606</x:v>
      </x:c>
      <x:c r="H476" s="23" t="n">
        <x:v>0.20445406161880714</x:v>
      </x:c>
      <x:c r="I476" s="24" t="n">
        <x:v>1981</x:v>
      </x:c>
      <x:c r="J476" s="25" t="n">
        <x:v>46211.51530107639</x:v>
      </x:c>
      <x:c r="K476" s="24" t="n">
        <x:v>8902245</x:v>
      </x:c>
      <x:c r="L476" t="str">
        <x:v>8f7e606554926462248cbcc654181861438ca768a0063f6b317223ede37d16fb</x:v>
      </x:c>
      <x:c r="M476" t="str">
        <x:v>legacy_common_sample_8902245</x:v>
      </x:c>
      <x:c r="N476" t="str">
        <x:v>factor_report/gtja191_batch/gtja_164/ic_summary.csv</x:v>
      </x:c>
    </x:row>
    <x:row r="477">
      <x:c r="A477" t="str">
        <x:v>gtja_165</x:v>
      </x:c>
      <x:c r="B477" s="22" t="n">
        <x:v>10</x:v>
      </x:c>
      <x:c r="C477" s="23" t="n">
        <x:v>0.004761957217324623</x:v>
      </x:c>
      <x:c r="D477" s="23" t="n">
        <x:v>0.08510343411218707</x:v>
      </x:c>
      <x:c r="E477" s="23" t="n">
        <x:v>0.05595493609631784</x:v>
      </x:c>
      <x:c r="F477" s="23" t="n">
        <x:v>0.5167714884696016</x:v>
      </x:c>
      <x:c r="G477" s="23" t="n">
        <x:v>-0.0033893343377688913</x:v>
      </x:c>
      <x:c r="H477" s="23" t="n">
        <x:v>-0.05083045218790998</x:v>
      </x:c>
      <x:c r="I477" s="24" t="n">
        <x:v>1908</x:v>
      </x:c>
      <x:c r="J477" s="25" t="n">
        <x:v>46211.5176621412</x:v>
      </x:c>
      <x:c r="K477" s="24" t="n">
        <x:v>8902245</x:v>
      </x:c>
      <x:c r="L477" t="str">
        <x:v>8f7e606554926462248cbcc654181861438ca768a0063f6b317223ede37d16fb</x:v>
      </x:c>
      <x:c r="M477" t="str">
        <x:v>legacy_common_sample_8902245</x:v>
      </x:c>
      <x:c r="N477" t="str">
        <x:v>factor_report/gtja191_batch/gtja_165/ic_summary.csv</x:v>
      </x:c>
    </x:row>
    <x:row r="478">
      <x:c r="A478" t="str">
        <x:v>gtja_165</x:v>
      </x:c>
      <x:c r="B478" s="22" t="n">
        <x:v>20</x:v>
      </x:c>
      <x:c r="C478" s="23" t="n">
        <x:v>0.005974237224172743</x:v>
      </x:c>
      <x:c r="D478" s="23" t="n">
        <x:v>0.08434995342638171</x:v>
      </x:c>
      <x:c r="E478" s="23" t="n">
        <x:v>0.07082679932226507</x:v>
      </x:c>
      <x:c r="F478" s="23" t="n">
        <x:v>0.5321390937829295</x:v>
      </x:c>
      <x:c r="G478" s="23" t="n">
        <x:v>-0.0034879275889864187</x:v>
      </x:c>
      <x:c r="H478" s="23" t="n">
        <x:v>-0.05392751823506181</x:v>
      </x:c>
      <x:c r="I478" s="24" t="n">
        <x:v>1898</x:v>
      </x:c>
      <x:c r="J478" s="25" t="n">
        <x:v>46211.5176621412</x:v>
      </x:c>
      <x:c r="K478" s="24" t="n">
        <x:v>8902245</x:v>
      </x:c>
      <x:c r="L478" t="str">
        <x:v>8f7e606554926462248cbcc654181861438ca768a0063f6b317223ede37d16fb</x:v>
      </x:c>
      <x:c r="M478" t="str">
        <x:v>legacy_common_sample_8902245</x:v>
      </x:c>
      <x:c r="N478" t="str">
        <x:v>factor_report/gtja191_batch/gtja_165/ic_summary.csv</x:v>
      </x:c>
    </x:row>
    <x:row r="479">
      <x:c r="A479" t="str">
        <x:v>gtja_166</x:v>
      </x:c>
      <x:c r="B479" s="22" t="n">
        <x:v>10</x:v>
      </x:c>
      <x:c r="C479" s="23" t="n">
        <x:v>0.030843813362062756</x:v>
      </x:c>
      <x:c r="D479" s="23" t="n">
        <x:v>0.08696498295327573</x:v>
      </x:c>
      <x:c r="E479" s="23" t="n">
        <x:v>0.3546693429312166</x:v>
      </x:c>
      <x:c r="F479" s="23" t="n">
        <x:v>0.6368658965344048</x:v>
      </x:c>
      <x:c r="G479" s="23" t="n">
        <x:v>0.01677278711383993</x:v>
      </x:c>
      <x:c r="H479" s="23" t="n">
        <x:v>0.23576858070709814</x:v>
      </x:c>
      <x:c r="I479" s="24" t="n">
        <x:v>1991</x:v>
      </x:c>
      <x:c r="J479" s="25" t="n">
        <x:v>46211.52024034722</x:v>
      </x:c>
      <x:c r="K479" s="24" t="n">
        <x:v>8902245</x:v>
      </x:c>
      <x:c r="L479" t="str">
        <x:v>8f7e606554926462248cbcc654181861438ca768a0063f6b317223ede37d16fb</x:v>
      </x:c>
      <x:c r="M479" t="str">
        <x:v>legacy_common_sample_8902245</x:v>
      </x:c>
      <x:c r="N479" t="str">
        <x:v>factor_report/gtja191_batch/gtja_166/ic_summary.csv</x:v>
      </x:c>
    </x:row>
    <x:row r="480">
      <x:c r="A480" t="str">
        <x:v>gtja_166</x:v>
      </x:c>
      <x:c r="B480" s="22" t="n">
        <x:v>20</x:v>
      </x:c>
      <x:c r="C480" s="23" t="n">
        <x:v>0.031560567818774</x:v>
      </x:c>
      <x:c r="D480" s="23" t="n">
        <x:v>0.09028592668954233</x:v>
      </x:c>
      <x:c r="E480" s="23" t="n">
        <x:v>0.34956242878580995</x:v>
      </x:c>
      <x:c r="F480" s="23" t="n">
        <x:v>0.6395759717314488</x:v>
      </x:c>
      <x:c r="G480" s="23" t="n">
        <x:v>0.01687771058154601</x:v>
      </x:c>
      <x:c r="H480" s="23" t="n">
        <x:v>0.22760005606886174</x:v>
      </x:c>
      <x:c r="I480" s="24" t="n">
        <x:v>1981</x:v>
      </x:c>
      <x:c r="J480" s="25" t="n">
        <x:v>46211.52024034722</x:v>
      </x:c>
      <x:c r="K480" s="24" t="n">
        <x:v>8902245</x:v>
      </x:c>
      <x:c r="L480" t="str">
        <x:v>8f7e606554926462248cbcc654181861438ca768a0063f6b317223ede37d16fb</x:v>
      </x:c>
      <x:c r="M480" t="str">
        <x:v>legacy_common_sample_8902245</x:v>
      </x:c>
      <x:c r="N480" t="str">
        <x:v>factor_report/gtja191_batch/gtja_166/ic_summary.csv</x:v>
      </x:c>
    </x:row>
    <x:row r="481">
      <x:c r="A481" t="str">
        <x:v>gtja_167</x:v>
      </x:c>
      <x:c r="B481" s="22" t="n">
        <x:v>1</x:v>
      </x:c>
      <x:c r="C481" s="23" t="n">
        <x:v>-0.043729670941198354</x:v>
      </x:c>
      <x:c r="D481" s="23" t="n">
        <x:v>0.17407929196414548</x:v>
      </x:c>
      <x:c r="E481" s="23" t="n">
        <x:v>-0.25120547336672994</x:v>
      </x:c>
      <x:c r="F481" s="23" t="n">
        <x:v>0.402</x:v>
      </x:c>
      <x:c r="G481" s="23" t="n">
        <x:v>-0.010245247295683754</x:v>
      </x:c>
      <x:c r="H481" s="23" t="n">
        <x:v>-0.09454545554111446</x:v>
      </x:c>
      <x:c r="I481" s="24" t="n">
        <x:v>2000</x:v>
      </x:c>
      <x:c r="J481" s="25" t="n">
        <x:v>46210.888780636575</x:v>
      </x:c>
      <x:c r="K481" s="24" t="n">
        <x:v>8902245</x:v>
      </x:c>
      <x:c r="L481" t="str">
        <x:v>40355b29bce094aef0e99358bdfd4011b92e72a54440a67760de4afae4883c33</x:v>
      </x:c>
      <x:c r="M481" t="str">
        <x:v>legacy_common_sample_8902245</x:v>
      </x:c>
      <x:c r="N481" t="str">
        <x:v>factor_report/gtja191_batch/gtja_167/ic_summary.csv</x:v>
      </x:c>
    </x:row>
    <x:row r="482">
      <x:c r="A482" t="str">
        <x:v>gtja_167</x:v>
      </x:c>
      <x:c r="B482" s="22" t="n">
        <x:v>5</x:v>
      </x:c>
      <x:c r="C482" s="23" t="n">
        <x:v>-0.06424370984943072</x:v>
      </x:c>
      <x:c r="D482" s="23" t="n">
        <x:v>0.17534525394503353</x:v>
      </x:c>
      <x:c r="E482" s="23" t="n">
        <x:v>-0.366384081713267</x:v>
      </x:c>
      <x:c r="F482" s="23" t="n">
        <x:v>0.3807615230460922</x:v>
      </x:c>
      <x:c r="G482" s="23" t="n">
        <x:v>-0.021587589667776852</x:v>
      </x:c>
      <x:c r="H482" s="23" t="n">
        <x:v>-0.20012435398679915</x:v>
      </x:c>
      <x:c r="I482" s="24" t="n">
        <x:v>1996</x:v>
      </x:c>
      <x:c r="J482" s="25" t="n">
        <x:v>46210.888780636575</x:v>
      </x:c>
      <x:c r="K482" s="24" t="n">
        <x:v>8902245</x:v>
      </x:c>
      <x:c r="L482" t="str">
        <x:v>40355b29bce094aef0e99358bdfd4011b92e72a54440a67760de4afae4883c33</x:v>
      </x:c>
      <x:c r="M482" t="str">
        <x:v>legacy_common_sample_8902245</x:v>
      </x:c>
      <x:c r="N482" t="str">
        <x:v>factor_report/gtja191_batch/gtja_167/ic_summary.csv</x:v>
      </x:c>
    </x:row>
    <x:row r="483">
      <x:c r="A483" t="str">
        <x:v>gtja_167</x:v>
      </x:c>
      <x:c r="B483" s="22" t="n">
        <x:v>10</x:v>
      </x:c>
      <x:c r="C483" s="23" t="n">
        <x:v>-0.07656174607108787</x:v>
      </x:c>
      <x:c r="D483" s="23" t="n">
        <x:v>0.1806564724880464</x:v>
      </x:c>
      <x:c r="E483" s="23" t="n">
        <x:v>-0.4237974151529709</x:v>
      </x:c>
      <x:c r="F483" s="23" t="n">
        <x:v>0.35760924158714213</x:v>
      </x:c>
      <x:c r="G483" s="23" t="n">
        <x:v>-0.027599714324323975</x:v>
      </x:c>
      <x:c r="H483" s="23" t="n">
        <x:v>-0.24740230400004312</x:v>
      </x:c>
      <x:c r="I483" s="24" t="n">
        <x:v>1991</x:v>
      </x:c>
      <x:c r="J483" s="25" t="n">
        <x:v>46210.888780636575</x:v>
      </x:c>
      <x:c r="K483" s="24" t="n">
        <x:v>8902245</x:v>
      </x:c>
      <x:c r="L483" t="str">
        <x:v>40355b29bce094aef0e99358bdfd4011b92e72a54440a67760de4afae4883c33</x:v>
      </x:c>
      <x:c r="M483" t="str">
        <x:v>legacy_common_sample_8902245</x:v>
      </x:c>
      <x:c r="N483" t="str">
        <x:v>factor_report/gtja191_batch/gtja_167/ic_summary.csv</x:v>
      </x:c>
    </x:row>
    <x:row r="484">
      <x:c r="A484" t="str">
        <x:v>gtja_167</x:v>
      </x:c>
      <x:c r="B484" s="22" t="n">
        <x:v>20</x:v>
      </x:c>
      <x:c r="C484" s="23" t="n">
        <x:v>-0.09096780095381629</x:v>
      </x:c>
      <x:c r="D484" s="23" t="n">
        <x:v>0.18836487208923902</x:v>
      </x:c>
      <x:c r="E484" s="23" t="n">
        <x:v>-0.48293399902461503</x:v>
      </x:c>
      <x:c r="F484" s="23" t="n">
        <x:v>0.3341746592629985</x:v>
      </x:c>
      <x:c r="G484" s="23" t="n">
        <x:v>-0.033358734743939716</x:v>
      </x:c>
      <x:c r="H484" s="23" t="n">
        <x:v>-0.2819590966796674</x:v>
      </x:c>
      <x:c r="I484" s="24" t="n">
        <x:v>1981</x:v>
      </x:c>
      <x:c r="J484" s="25" t="n">
        <x:v>46210.888780636575</x:v>
      </x:c>
      <x:c r="K484" s="24" t="n">
        <x:v>8902245</x:v>
      </x:c>
      <x:c r="L484" t="str">
        <x:v>40355b29bce094aef0e99358bdfd4011b92e72a54440a67760de4afae4883c33</x:v>
      </x:c>
      <x:c r="M484" t="str">
        <x:v>legacy_common_sample_8902245</x:v>
      </x:c>
      <x:c r="N484" t="str">
        <x:v>factor_report/gtja191_batch/gtja_167/ic_summary.csv</x:v>
      </x:c>
    </x:row>
    <x:row r="485">
      <x:c r="A485" t="str">
        <x:v>gtja_168</x:v>
      </x:c>
      <x:c r="B485" s="22" t="n">
        <x:v>10</x:v>
      </x:c>
      <x:c r="C485" s="23" t="n">
        <x:v>0.02736438952349721</x:v>
      </x:c>
      <x:c r="D485" s="23" t="n">
        <x:v>0.08383360621500861</x:v>
      </x:c>
      <x:c r="E485" s="23" t="n">
        <x:v>0.3264131266560999</x:v>
      </x:c>
      <x:c r="F485" s="23" t="n">
        <x:v>0.6438975389251632</x:v>
      </x:c>
      <x:c r="G485" s="23" t="n">
        <x:v>0.03313636369940044</x:v>
      </x:c>
      <x:c r="H485" s="23" t="n">
        <x:v>0.47772590429988915</x:v>
      </x:c>
      <x:c r="I485" s="24" t="n">
        <x:v>1991</x:v>
      </x:c>
      <x:c r="J485" s="25" t="n">
        <x:v>46211.52286168982</x:v>
      </x:c>
      <x:c r="K485" s="24" t="n">
        <x:v>8902245</x:v>
      </x:c>
      <x:c r="L485" t="str">
        <x:v>8f7e606554926462248cbcc654181861438ca768a0063f6b317223ede37d16fb</x:v>
      </x:c>
      <x:c r="M485" t="str">
        <x:v>legacy_common_sample_8902245</x:v>
      </x:c>
      <x:c r="N485" t="str">
        <x:v>factor_report/gtja191_batch/gtja_168/ic_summary.csv</x:v>
      </x:c>
    </x:row>
    <x:row r="486">
      <x:c r="A486" t="str">
        <x:v>gtja_168</x:v>
      </x:c>
      <x:c r="B486" s="22" t="n">
        <x:v>20</x:v>
      </x:c>
      <x:c r="C486" s="23" t="n">
        <x:v>0.027973862548659086</x:v>
      </x:c>
      <x:c r="D486" s="23" t="n">
        <x:v>0.08046810068219426</x:v>
      </x:c>
      <x:c r="E486" s="23" t="n">
        <x:v>0.34763915528640105</x:v>
      </x:c>
      <x:c r="F486" s="23" t="n">
        <x:v>0.6400807672892479</x:v>
      </x:c>
      <x:c r="G486" s="23" t="n">
        <x:v>0.03196551747138004</x:v>
      </x:c>
      <x:c r="H486" s="23" t="n">
        <x:v>0.50488849264425</x:v>
      </x:c>
      <x:c r="I486" s="24" t="n">
        <x:v>1981</x:v>
      </x:c>
      <x:c r="J486" s="25" t="n">
        <x:v>46211.52286168982</x:v>
      </x:c>
      <x:c r="K486" s="24" t="n">
        <x:v>8902245</x:v>
      </x:c>
      <x:c r="L486" t="str">
        <x:v>8f7e606554926462248cbcc654181861438ca768a0063f6b317223ede37d16fb</x:v>
      </x:c>
      <x:c r="M486" t="str">
        <x:v>legacy_common_sample_8902245</x:v>
      </x:c>
      <x:c r="N486" t="str">
        <x:v>factor_report/gtja191_batch/gtja_168/ic_summary.csv</x:v>
      </x:c>
    </x:row>
    <x:row r="487">
      <x:c r="A487" t="str">
        <x:v>gtja_169</x:v>
      </x:c>
      <x:c r="B487" s="22" t="n">
        <x:v>1</x:v>
      </x:c>
      <x:c r="C487" s="23" t="n">
        <x:v>-0.019095546005785394</x:v>
      </x:c>
      <x:c r="D487" s="23" t="n">
        <x:v>0.12432931948453992</x:v>
      </x:c>
      <x:c r="E487" s="23" t="n">
        <x:v>-0.1535884382296477</x:v>
      </x:c>
      <x:c r="F487" s="23" t="n">
        <x:v>0.43</x:v>
      </x:c>
      <x:c r="G487" s="23" t="n">
        <x:v>-0.0049060465225575604</x:v>
      </x:c>
      <x:c r="H487" s="23" t="n">
        <x:v>-0.0637503648828582</x:v>
      </x:c>
      <x:c r="I487" s="24" t="n">
        <x:v>2000</x:v>
      </x:c>
      <x:c r="J487" s="25" t="n">
        <x:v>46210.89785068287</x:v>
      </x:c>
      <x:c r="K487" s="24" t="n">
        <x:v>8902245</x:v>
      </x:c>
      <x:c r="L487" t="str">
        <x:v>40355b29bce094aef0e99358bdfd4011b92e72a54440a67760de4afae4883c33</x:v>
      </x:c>
      <x:c r="M487" t="str">
        <x:v>legacy_common_sample_8902245</x:v>
      </x:c>
      <x:c r="N487" t="str">
        <x:v>factor_report/gtja191_batch/gtja_169/ic_summary.csv</x:v>
      </x:c>
    </x:row>
    <x:row r="488">
      <x:c r="A488" t="str">
        <x:v>gtja_169</x:v>
      </x:c>
      <x:c r="B488" s="22" t="n">
        <x:v>5</x:v>
      </x:c>
      <x:c r="C488" s="23" t="n">
        <x:v>-0.029981264926010935</x:v>
      </x:c>
      <x:c r="D488" s="23" t="n">
        <x:v>0.1234401233512225</x:v>
      </x:c>
      <x:c r="E488" s="23" t="n">
        <x:v>-0.2428810350481071</x:v>
      </x:c>
      <x:c r="F488" s="23" t="n">
        <x:v>0.3967935871743487</x:v>
      </x:c>
      <x:c r="G488" s="23" t="n">
        <x:v>-0.010097874283100116</x:v>
      </x:c>
      <x:c r="H488" s="23" t="n">
        <x:v>-0.13218989539176046</x:v>
      </x:c>
      <x:c r="I488" s="24" t="n">
        <x:v>1996</x:v>
      </x:c>
      <x:c r="J488" s="25" t="n">
        <x:v>46210.89785068287</x:v>
      </x:c>
      <x:c r="K488" s="24" t="n">
        <x:v>8902245</x:v>
      </x:c>
      <x:c r="L488" t="str">
        <x:v>40355b29bce094aef0e99358bdfd4011b92e72a54440a67760de4afae4883c33</x:v>
      </x:c>
      <x:c r="M488" t="str">
        <x:v>legacy_common_sample_8902245</x:v>
      </x:c>
      <x:c r="N488" t="str">
        <x:v>factor_report/gtja191_batch/gtja_169/ic_summary.csv</x:v>
      </x:c>
    </x:row>
    <x:row r="489">
      <x:c r="A489" t="str">
        <x:v>gtja_169</x:v>
      </x:c>
      <x:c r="B489" s="22" t="n">
        <x:v>10</x:v>
      </x:c>
      <x:c r="C489" s="23" t="n">
        <x:v>-0.03531465236762509</x:v>
      </x:c>
      <x:c r="D489" s="23" t="n">
        <x:v>0.12099802504427162</x:v>
      </x:c>
      <x:c r="E489" s="23" t="n">
        <x:v>-0.2918613948839571</x:v>
      </x:c>
      <x:c r="F489" s="23" t="n">
        <x:v>0.38824711200401807</x:v>
      </x:c>
      <x:c r="G489" s="23" t="n">
        <x:v>-0.012268271408027236</x:v>
      </x:c>
      <x:c r="H489" s="23" t="n">
        <x:v>-0.16450321861663025</x:v>
      </x:c>
      <x:c r="I489" s="24" t="n">
        <x:v>1991</x:v>
      </x:c>
      <x:c r="J489" s="25" t="n">
        <x:v>46210.89785068287</x:v>
      </x:c>
      <x:c r="K489" s="24" t="n">
        <x:v>8902245</x:v>
      </x:c>
      <x:c r="L489" t="str">
        <x:v>40355b29bce094aef0e99358bdfd4011b92e72a54440a67760de4afae4883c33</x:v>
      </x:c>
      <x:c r="M489" t="str">
        <x:v>legacy_common_sample_8902245</x:v>
      </x:c>
      <x:c r="N489" t="str">
        <x:v>factor_report/gtja191_batch/gtja_169/ic_summary.csv</x:v>
      </x:c>
    </x:row>
    <x:row r="490">
      <x:c r="A490" t="str">
        <x:v>gtja_169</x:v>
      </x:c>
      <x:c r="B490" s="22" t="n">
        <x:v>20</x:v>
      </x:c>
      <x:c r="C490" s="23" t="n">
        <x:v>-0.03854590185149994</x:v>
      </x:c>
      <x:c r="D490" s="23" t="n">
        <x:v>0.12520568048083566</x:v>
      </x:c>
      <x:c r="E490" s="23" t="n">
        <x:v>-0.3078606474040919</x:v>
      </x:c>
      <x:c r="F490" s="23" t="n">
        <x:v>0.3685007571933367</x:v>
      </x:c>
      <x:c r="G490" s="23" t="n">
        <x:v>-0.011776841827623752</x:v>
      </x:c>
      <x:c r="H490" s="23" t="n">
        <x:v>-0.1549460489122689</x:v>
      </x:c>
      <x:c r="I490" s="24" t="n">
        <x:v>1981</x:v>
      </x:c>
      <x:c r="J490" s="25" t="n">
        <x:v>46210.89785068287</x:v>
      </x:c>
      <x:c r="K490" s="24" t="n">
        <x:v>8902245</x:v>
      </x:c>
      <x:c r="L490" t="str">
        <x:v>40355b29bce094aef0e99358bdfd4011b92e72a54440a67760de4afae4883c33</x:v>
      </x:c>
      <x:c r="M490" t="str">
        <x:v>legacy_common_sample_8902245</x:v>
      </x:c>
      <x:c r="N490" t="str">
        <x:v>factor_report/gtja191_batch/gtja_169/ic_summary.csv</x:v>
      </x:c>
    </x:row>
    <x:row r="491">
      <x:c r="A491" t="str">
        <x:v>gtja_170</x:v>
      </x:c>
      <x:c r="B491" s="22" t="n">
        <x:v>10</x:v>
      </x:c>
      <x:c r="C491" s="23" t="n">
        <x:v>0.006814785039770921</x:v>
      </x:c>
      <x:c r="D491" s="23" t="n">
        <x:v>0.1202017890590247</x:v>
      </x:c>
      <x:c r="E491" s="23" t="n">
        <x:v>0.056694539183809844</x:v>
      </x:c>
      <x:c r="F491" s="23" t="n">
        <x:v>0.4992466097438473</x:v>
      </x:c>
      <x:c r="G491" s="23" t="n">
        <x:v>0.005596994118297488</x:v>
      </x:c>
      <x:c r="H491" s="23" t="n">
        <x:v>0.06018226419048142</x:v>
      </x:c>
      <x:c r="I491" s="24" t="n">
        <x:v>1991</x:v>
      </x:c>
      <x:c r="J491" s="25" t="n">
        <x:v>46211.52554471065</x:v>
      </x:c>
      <x:c r="K491" s="24" t="n">
        <x:v>8902245</x:v>
      </x:c>
      <x:c r="L491" t="str">
        <x:v>8f7e606554926462248cbcc654181861438ca768a0063f6b317223ede37d16fb</x:v>
      </x:c>
      <x:c r="M491" t="str">
        <x:v>legacy_common_sample_8902245</x:v>
      </x:c>
      <x:c r="N491" t="str">
        <x:v>factor_report/gtja191_batch/gtja_170/ic_summary.csv</x:v>
      </x:c>
    </x:row>
    <x:row r="492">
      <x:c r="A492" t="str">
        <x:v>gtja_170</x:v>
      </x:c>
      <x:c r="B492" s="22" t="n">
        <x:v>20</x:v>
      </x:c>
      <x:c r="C492" s="23" t="n">
        <x:v>0.010736159541389215</x:v>
      </x:c>
      <x:c r="D492" s="23" t="n">
        <x:v>0.1159345468536043</x:v>
      </x:c>
      <x:c r="E492" s="23" t="n">
        <x:v>0.09260535218157398</x:v>
      </x:c>
      <x:c r="F492" s="23" t="n">
        <x:v>0.5249873801110551</x:v>
      </x:c>
      <x:c r="G492" s="23" t="n">
        <x:v>0.009564159353710217</x:v>
      </x:c>
      <x:c r="H492" s="23" t="n">
        <x:v>0.10533699480081367</x:v>
      </x:c>
      <x:c r="I492" s="24" t="n">
        <x:v>1981</x:v>
      </x:c>
      <x:c r="J492" s="25" t="n">
        <x:v>46211.52554471065</x:v>
      </x:c>
      <x:c r="K492" s="24" t="n">
        <x:v>8902245</x:v>
      </x:c>
      <x:c r="L492" t="str">
        <x:v>8f7e606554926462248cbcc654181861438ca768a0063f6b317223ede37d16fb</x:v>
      </x:c>
      <x:c r="M492" t="str">
        <x:v>legacy_common_sample_8902245</x:v>
      </x:c>
      <x:c r="N492" t="str">
        <x:v>factor_report/gtja191_batch/gtja_170/ic_summary.csv</x:v>
      </x:c>
    </x:row>
    <x:row r="493">
      <x:c r="A493" t="str">
        <x:v>gtja_171</x:v>
      </x:c>
      <x:c r="B493" s="22" t="n">
        <x:v>10</x:v>
      </x:c>
      <x:c r="C493" s="23" t="n">
        <x:v>-0.0015023745819483184</x:v>
      </x:c>
      <x:c r="D493" s="23" t="n">
        <x:v>0.0979458021620016</x:v>
      </x:c>
      <x:c r="E493" s="23" t="n">
        <x:v>-0.01533883585396955</x:v>
      </x:c>
      <x:c r="F493" s="23" t="n">
        <x:v>0.47965846308387744</x:v>
      </x:c>
      <x:c r="G493" s="23" t="n">
        <x:v>0.008874583085112828</x:v>
      </x:c>
      <x:c r="H493" s="23" t="n">
        <x:v>0.19638867069616261</x:v>
      </x:c>
      <x:c r="I493" s="24" t="n">
        <x:v>1991</x:v>
      </x:c>
      <x:c r="J493" s="25" t="n">
        <x:v>46211.52808474537</x:v>
      </x:c>
      <x:c r="K493" s="24" t="n">
        <x:v>8902245</x:v>
      </x:c>
      <x:c r="L493" t="str">
        <x:v>8f7e606554926462248cbcc654181861438ca768a0063f6b317223ede37d16fb</x:v>
      </x:c>
      <x:c r="M493" t="str">
        <x:v>legacy_common_sample_8902245</x:v>
      </x:c>
      <x:c r="N493" t="str">
        <x:v>factor_report/gtja191_batch/gtja_171/ic_summary.csv</x:v>
      </x:c>
    </x:row>
    <x:row r="494">
      <x:c r="A494" t="str">
        <x:v>gtja_171</x:v>
      </x:c>
      <x:c r="B494" s="22" t="n">
        <x:v>20</x:v>
      </x:c>
      <x:c r="C494" s="23" t="n">
        <x:v>-0.0014913989789205086</x:v>
      </x:c>
      <x:c r="D494" s="23" t="n">
        <x:v>0.09372969700325982</x:v>
      </x:c>
      <x:c r="E494" s="23" t="n">
        <x:v>-0.015911701697580855</x:v>
      </x:c>
      <x:c r="F494" s="23" t="n">
        <x:v>0.48662291771832406</x:v>
      </x:c>
      <x:c r="G494" s="23" t="n">
        <x:v>0.00861631624807976</x:v>
      </x:c>
      <x:c r="H494" s="23" t="n">
        <x:v>0.19954552754835292</x:v>
      </x:c>
      <x:c r="I494" s="24" t="n">
        <x:v>1981</x:v>
      </x:c>
      <x:c r="J494" s="25" t="n">
        <x:v>46211.52808474537</x:v>
      </x:c>
      <x:c r="K494" s="24" t="n">
        <x:v>8902245</x:v>
      </x:c>
      <x:c r="L494" t="str">
        <x:v>8f7e606554926462248cbcc654181861438ca768a0063f6b317223ede37d16fb</x:v>
      </x:c>
      <x:c r="M494" t="str">
        <x:v>legacy_common_sample_8902245</x:v>
      </x:c>
      <x:c r="N494" t="str">
        <x:v>factor_report/gtja191_batch/gtja_171/ic_summary.csv</x:v>
      </x:c>
    </x:row>
    <x:row r="495">
      <x:c r="A495" t="str">
        <x:v>gtja_172</x:v>
      </x:c>
      <x:c r="B495" s="22" t="n">
        <x:v>10</x:v>
      </x:c>
      <x:c r="C495" s="23" t="n">
        <x:v>-0.0028721415964441267</x:v>
      </x:c>
      <x:c r="D495" s="23" t="n">
        <x:v>0.08067057032116376</x:v>
      </x:c>
      <x:c r="E495" s="23" t="n">
        <x:v>-0.03560333818156516</x:v>
      </x:c>
      <x:c r="F495" s="23" t="n">
        <x:v>0.4630838774485183</x:v>
      </x:c>
      <x:c r="G495" s="23" t="n">
        <x:v>-0.00044559110151065764</x:v>
      </x:c>
      <x:c r="H495" s="23" t="n">
        <x:v>-0.006544591933648579</x:v>
      </x:c>
      <x:c r="I495" s="24" t="n">
        <x:v>1991</x:v>
      </x:c>
      <x:c r="J495" s="25" t="n">
        <x:v>46211.5309509838</x:v>
      </x:c>
      <x:c r="K495" s="24" t="n">
        <x:v>8902245</x:v>
      </x:c>
      <x:c r="L495" t="str">
        <x:v>8f7e606554926462248cbcc654181861438ca768a0063f6b317223ede37d16fb</x:v>
      </x:c>
      <x:c r="M495" t="str">
        <x:v>legacy_common_sample_8902245</x:v>
      </x:c>
      <x:c r="N495" t="str">
        <x:v>factor_report/gtja191_batch/gtja_172/ic_summary.csv</x:v>
      </x:c>
    </x:row>
    <x:row r="496">
      <x:c r="A496" t="str">
        <x:v>gtja_172</x:v>
      </x:c>
      <x:c r="B496" s="22" t="n">
        <x:v>20</x:v>
      </x:c>
      <x:c r="C496" s="23" t="n">
        <x:v>-0.00048523091950950875</x:v>
      </x:c>
      <x:c r="D496" s="23" t="n">
        <x:v>0.08369551266032782</x:v>
      </x:c>
      <x:c r="E496" s="23" t="n">
        <x:v>-0.005797573897166785</x:v>
      </x:c>
      <x:c r="F496" s="23" t="n">
        <x:v>0.4719838465421504</x:v>
      </x:c>
      <x:c r="G496" s="23" t="n">
        <x:v>0.0032261457900436895</x:v>
      </x:c>
      <x:c r="H496" s="23" t="n">
        <x:v>0.04565078425490042</x:v>
      </x:c>
      <x:c r="I496" s="24" t="n">
        <x:v>1981</x:v>
      </x:c>
      <x:c r="J496" s="25" t="n">
        <x:v>46211.5309509838</x:v>
      </x:c>
      <x:c r="K496" s="24" t="n">
        <x:v>8902245</x:v>
      </x:c>
      <x:c r="L496" t="str">
        <x:v>8f7e606554926462248cbcc654181861438ca768a0063f6b317223ede37d16fb</x:v>
      </x:c>
      <x:c r="M496" t="str">
        <x:v>legacy_common_sample_8902245</x:v>
      </x:c>
      <x:c r="N496" t="str">
        <x:v>factor_report/gtja191_batch/gtja_172/ic_summary.csv</x:v>
      </x:c>
    </x:row>
    <x:row r="497">
      <x:c r="A497" t="str">
        <x:v>gtja_173</x:v>
      </x:c>
      <x:c r="B497" s="22" t="n">
        <x:v>1</x:v>
      </x:c>
      <x:c r="C497" s="23" t="n">
        <x:v>-0.021278486728351535</x:v>
      </x:c>
      <x:c r="D497" s="23" t="n">
        <x:v>0.1674400942772943</x:v>
      </x:c>
      <x:c r="E497" s="23" t="n">
        <x:v>-0.12708119175513985</x:v>
      </x:c>
      <x:c r="F497" s="23" t="n">
        <x:v>0.45</x:v>
      </x:c>
      <x:c r="G497" s="23" t="n">
        <x:v>-0.004286733186243646</x:v>
      </x:c>
      <x:c r="H497" s="23" t="n">
        <x:v>-0.048803109428575984</x:v>
      </x:c>
      <x:c r="I497" s="24" t="n">
        <x:v>2000</x:v>
      </x:c>
      <x:c r="J497" s="25" t="n">
        <x:v>46210.91649931713</x:v>
      </x:c>
      <x:c r="K497" s="24" t="n">
        <x:v>8902245</x:v>
      </x:c>
      <x:c r="L497" t="str">
        <x:v>40355b29bce094aef0e99358bdfd4011b92e72a54440a67760de4afae4883c33</x:v>
      </x:c>
      <x:c r="M497" t="str">
        <x:v>legacy_common_sample_8902245</x:v>
      </x:c>
      <x:c r="N497" t="str">
        <x:v>factor_report/gtja191_batch/gtja_173/ic_summary.csv</x:v>
      </x:c>
    </x:row>
    <x:row r="498">
      <x:c r="A498" t="str">
        <x:v>gtja_173</x:v>
      </x:c>
      <x:c r="B498" s="22" t="n">
        <x:v>5</x:v>
      </x:c>
      <x:c r="C498" s="23" t="n">
        <x:v>-0.033439889745327314</x:v>
      </x:c>
      <x:c r="D498" s="23" t="n">
        <x:v>0.1754474138054183</x:v>
      </x:c>
      <x:c r="E498" s="23" t="n">
        <x:v>-0.19059779235283658</x:v>
      </x:c>
      <x:c r="F498" s="23" t="n">
        <x:v>0.46292585170340683</x:v>
      </x:c>
      <x:c r="G498" s="23" t="n">
        <x:v>-0.008761905692747585</x:v>
      </x:c>
      <x:c r="H498" s="23" t="n">
        <x:v>-0.09715006219533893</x:v>
      </x:c>
      <x:c r="I498" s="24" t="n">
        <x:v>1996</x:v>
      </x:c>
      <x:c r="J498" s="25" t="n">
        <x:v>46210.91649931713</x:v>
      </x:c>
      <x:c r="K498" s="24" t="n">
        <x:v>8902245</x:v>
      </x:c>
      <x:c r="L498" t="str">
        <x:v>40355b29bce094aef0e99358bdfd4011b92e72a54440a67760de4afae4883c33</x:v>
      </x:c>
      <x:c r="M498" t="str">
        <x:v>legacy_common_sample_8902245</x:v>
      </x:c>
      <x:c r="N498" t="str">
        <x:v>factor_report/gtja191_batch/gtja_173/ic_summary.csv</x:v>
      </x:c>
    </x:row>
    <x:row r="499">
      <x:c r="A499" t="str">
        <x:v>gtja_173</x:v>
      </x:c>
      <x:c r="B499" s="22" t="n">
        <x:v>10</x:v>
      </x:c>
      <x:c r="C499" s="23" t="n">
        <x:v>-0.04325381637287457</x:v>
      </x:c>
      <x:c r="D499" s="23" t="n">
        <x:v>0.18323903446816028</x:v>
      </x:c>
      <x:c r="E499" s="23" t="n">
        <x:v>-0.236051322243735</x:v>
      </x:c>
      <x:c r="F499" s="23" t="n">
        <x:v>0.4339527875439478</x:v>
      </x:c>
      <x:c r="G499" s="23" t="n">
        <x:v>-0.012017363443812084</x:v>
      </x:c>
      <x:c r="H499" s="23" t="n">
        <x:v>-0.12756805940960642</x:v>
      </x:c>
      <x:c r="I499" s="24" t="n">
        <x:v>1991</x:v>
      </x:c>
      <x:c r="J499" s="25" t="n">
        <x:v>46210.91649931713</x:v>
      </x:c>
      <x:c r="K499" s="24" t="n">
        <x:v>8902245</x:v>
      </x:c>
      <x:c r="L499" t="str">
        <x:v>40355b29bce094aef0e99358bdfd4011b92e72a54440a67760de4afae4883c33</x:v>
      </x:c>
      <x:c r="M499" t="str">
        <x:v>legacy_common_sample_8902245</x:v>
      </x:c>
      <x:c r="N499" t="str">
        <x:v>factor_report/gtja191_batch/gtja_173/ic_summary.csv</x:v>
      </x:c>
    </x:row>
    <x:row r="500">
      <x:c r="A500" t="str">
        <x:v>gtja_173</x:v>
      </x:c>
      <x:c r="B500" s="22" t="n">
        <x:v>20</x:v>
      </x:c>
      <x:c r="C500" s="23" t="n">
        <x:v>-0.05594958936404615</x:v>
      </x:c>
      <x:c r="D500" s="23" t="n">
        <x:v>0.1865803304529382</x:v>
      </x:c>
      <x:c r="E500" s="23" t="n">
        <x:v>-0.2998686368934184</x:v>
      </x:c>
      <x:c r="F500" s="23" t="n">
        <x:v>0.4164563351842504</x:v>
      </x:c>
      <x:c r="G500" s="23" t="n">
        <x:v>-0.016606189853636717</x:v>
      </x:c>
      <x:c r="H500" s="23" t="n">
        <x:v>-0.16993880496329708</x:v>
      </x:c>
      <x:c r="I500" s="24" t="n">
        <x:v>1981</x:v>
      </x:c>
      <x:c r="J500" s="25" t="n">
        <x:v>46210.91649931713</x:v>
      </x:c>
      <x:c r="K500" s="24" t="n">
        <x:v>8902245</x:v>
      </x:c>
      <x:c r="L500" t="str">
        <x:v>40355b29bce094aef0e99358bdfd4011b92e72a54440a67760de4afae4883c33</x:v>
      </x:c>
      <x:c r="M500" t="str">
        <x:v>legacy_common_sample_8902245</x:v>
      </x:c>
      <x:c r="N500" t="str">
        <x:v>factor_report/gtja191_batch/gtja_173/ic_summary.csv</x:v>
      </x:c>
    </x:row>
    <x:row r="501">
      <x:c r="A501" t="str">
        <x:v>gtja_174</x:v>
      </x:c>
      <x:c r="B501" s="22" t="n">
        <x:v>1</x:v>
      </x:c>
      <x:c r="C501" s="23" t="n">
        <x:v>-0.02791735957948747</x:v>
      </x:c>
      <x:c r="D501" s="23" t="n">
        <x:v>0.1863135956841658</x:v>
      </x:c>
      <x:c r="E501" s="23" t="n">
        <x:v>-0.14984069990690474</x:v>
      </x:c>
      <x:c r="F501" s="23" t="n">
        <x:v>0.4355</x:v>
      </x:c>
      <x:c r="G501" s="23" t="n">
        <x:v>-0.003669004553180412</x:v>
      </x:c>
      <x:c r="H501" s="23" t="n">
        <x:v>-0.03324533352081508</x:v>
      </x:c>
      <x:c r="I501" s="24" t="n">
        <x:v>2000</x:v>
      </x:c>
      <x:c r="J501" s="25" t="n">
        <x:v>46210.92118445602</x:v>
      </x:c>
      <x:c r="K501" s="24" t="n">
        <x:v>8902245</x:v>
      </x:c>
      <x:c r="L501" t="str">
        <x:v>40355b29bce094aef0e99358bdfd4011b92e72a54440a67760de4afae4883c33</x:v>
      </x:c>
      <x:c r="M501" t="str">
        <x:v>legacy_common_sample_8902245</x:v>
      </x:c>
      <x:c r="N501" t="str">
        <x:v>factor_report/gtja191_batch/gtja_174/ic_summary.csv</x:v>
      </x:c>
    </x:row>
    <x:row r="502">
      <x:c r="A502" t="str">
        <x:v>gtja_174</x:v>
      </x:c>
      <x:c r="B502" s="22" t="n">
        <x:v>5</x:v>
      </x:c>
      <x:c r="C502" s="23" t="n">
        <x:v>-0.04182333979945225</x:v>
      </x:c>
      <x:c r="D502" s="23" t="n">
        <x:v>0.18958019341650842</x:v>
      </x:c>
      <x:c r="E502" s="23" t="n">
        <x:v>-0.2206102813048946</x:v>
      </x:c>
      <x:c r="F502" s="23" t="n">
        <x:v>0.437374749498998</x:v>
      </x:c>
      <x:c r="G502" s="23" t="n">
        <x:v>-0.009793690478449841</x:v>
      </x:c>
      <x:c r="H502" s="23" t="n">
        <x:v>-0.08732302979296032</x:v>
      </x:c>
      <x:c r="I502" s="24" t="n">
        <x:v>1996</x:v>
      </x:c>
      <x:c r="J502" s="25" t="n">
        <x:v>46210.92118445602</x:v>
      </x:c>
      <x:c r="K502" s="24" t="n">
        <x:v>8902245</x:v>
      </x:c>
      <x:c r="L502" t="str">
        <x:v>40355b29bce094aef0e99358bdfd4011b92e72a54440a67760de4afae4883c33</x:v>
      </x:c>
      <x:c r="M502" t="str">
        <x:v>legacy_common_sample_8902245</x:v>
      </x:c>
      <x:c r="N502" t="str">
        <x:v>factor_report/gtja191_batch/gtja_174/ic_summary.csv</x:v>
      </x:c>
    </x:row>
    <x:row r="503">
      <x:c r="A503" t="str">
        <x:v>gtja_174</x:v>
      </x:c>
      <x:c r="B503" s="22" t="n">
        <x:v>10</x:v>
      </x:c>
      <x:c r="C503" s="23" t="n">
        <x:v>-0.05213777627165509</x:v>
      </x:c>
      <x:c r="D503" s="23" t="n">
        <x:v>0.19446770880498002</x:v>
      </x:c>
      <x:c r="E503" s="23" t="n">
        <x:v>-0.2681050576059439</x:v>
      </x:c>
      <x:c r="F503" s="23" t="n">
        <x:v>0.41637368156705173</x:v>
      </x:c>
      <x:c r="G503" s="23" t="n">
        <x:v>-0.013777827805586281</x:v>
      </x:c>
      <x:c r="H503" s="23" t="n">
        <x:v>-0.11842131435359517</x:v>
      </x:c>
      <x:c r="I503" s="24" t="n">
        <x:v>1991</x:v>
      </x:c>
      <x:c r="J503" s="25" t="n">
        <x:v>46210.92118445602</x:v>
      </x:c>
      <x:c r="K503" s="24" t="n">
        <x:v>8902245</x:v>
      </x:c>
      <x:c r="L503" t="str">
        <x:v>40355b29bce094aef0e99358bdfd4011b92e72a54440a67760de4afae4883c33</x:v>
      </x:c>
      <x:c r="M503" t="str">
        <x:v>legacy_common_sample_8902245</x:v>
      </x:c>
      <x:c r="N503" t="str">
        <x:v>factor_report/gtja191_batch/gtja_174/ic_summary.csv</x:v>
      </x:c>
    </x:row>
    <x:row r="504">
      <x:c r="A504" t="str">
        <x:v>gtja_174</x:v>
      </x:c>
      <x:c r="B504" s="22" t="n">
        <x:v>20</x:v>
      </x:c>
      <x:c r="C504" s="23" t="n">
        <x:v>-0.0671005193785548</x:v>
      </x:c>
      <x:c r="D504" s="23" t="n">
        <x:v>0.1978973692421543</x:v>
      </x:c>
      <x:c r="E504" s="23" t="n">
        <x:v>-0.3390672631754301</x:v>
      </x:c>
      <x:c r="F504" s="23" t="n">
        <x:v>0.3871781928319031</x:v>
      </x:c>
      <x:c r="G504" s="23" t="n">
        <x:v>-0.02033816585298569</x:v>
      </x:c>
      <x:c r="H504" s="23" t="n">
        <x:v>-0.16817035889749726</x:v>
      </x:c>
      <x:c r="I504" s="24" t="n">
        <x:v>1981</x:v>
      </x:c>
      <x:c r="J504" s="25" t="n">
        <x:v>46210.92118445602</x:v>
      </x:c>
      <x:c r="K504" s="24" t="n">
        <x:v>8902245</x:v>
      </x:c>
      <x:c r="L504" t="str">
        <x:v>40355b29bce094aef0e99358bdfd4011b92e72a54440a67760de4afae4883c33</x:v>
      </x:c>
      <x:c r="M504" t="str">
        <x:v>legacy_common_sample_8902245</x:v>
      </x:c>
      <x:c r="N504" t="str">
        <x:v>factor_report/gtja191_batch/gtja_174/ic_summary.csv</x:v>
      </x:c>
    </x:row>
    <x:row r="505">
      <x:c r="A505" t="str">
        <x:v>gtja_175</x:v>
      </x:c>
      <x:c r="B505" s="22" t="n">
        <x:v>1</x:v>
      </x:c>
      <x:c r="C505" s="23" t="n">
        <x:v>-0.04022078430442937</x:v>
      </x:c>
      <x:c r="D505" s="23" t="n">
        <x:v>0.18180958226160174</x:v>
      </x:c>
      <x:c r="E505" s="23" t="n">
        <x:v>-0.22122477706679172</x:v>
      </x:c>
      <x:c r="F505" s="23" t="n">
        <x:v>0.417</x:v>
      </x:c>
      <x:c r="G505" s="23" t="n">
        <x:v>-0.007850136118410603</x:v>
      </x:c>
      <x:c r="H505" s="23" t="n">
        <x:v>-0.06965039825477384</x:v>
      </x:c>
      <x:c r="I505" s="24" t="n">
        <x:v>2000</x:v>
      </x:c>
      <x:c r="J505" s="25" t="n">
        <x:v>46210.925217731485</x:v>
      </x:c>
      <x:c r="K505" s="24" t="n">
        <x:v>8902245</x:v>
      </x:c>
      <x:c r="L505" t="str">
        <x:v>40355b29bce094aef0e99358bdfd4011b92e72a54440a67760de4afae4883c33</x:v>
      </x:c>
      <x:c r="M505" t="str">
        <x:v>legacy_common_sample_8902245</x:v>
      </x:c>
      <x:c r="N505" t="str">
        <x:v>factor_report/gtja191_batch/gtja_175/ic_summary.csv</x:v>
      </x:c>
    </x:row>
    <x:row r="506">
      <x:c r="A506" t="str">
        <x:v>gtja_175</x:v>
      </x:c>
      <x:c r="B506" s="22" t="n">
        <x:v>5</x:v>
      </x:c>
      <x:c r="C506" s="23" t="n">
        <x:v>-0.058075668845902644</x:v>
      </x:c>
      <x:c r="D506" s="23" t="n">
        <x:v>0.18528352093487885</x:v>
      </x:c>
      <x:c r="E506" s="23" t="n">
        <x:v>-0.3134421698857631</x:v>
      </x:c>
      <x:c r="F506" s="23" t="n">
        <x:v>0.4003006012024048</x:v>
      </x:c>
      <x:c r="G506" s="23" t="n">
        <x:v>-0.01665040409173456</x:v>
      </x:c>
      <x:c r="H506" s="23" t="n">
        <x:v>-0.14608354456891723</x:v>
      </x:c>
      <x:c r="I506" s="24" t="n">
        <x:v>1996</x:v>
      </x:c>
      <x:c r="J506" s="25" t="n">
        <x:v>46210.925217731485</x:v>
      </x:c>
      <x:c r="K506" s="24" t="n">
        <x:v>8902245</x:v>
      </x:c>
      <x:c r="L506" t="str">
        <x:v>40355b29bce094aef0e99358bdfd4011b92e72a54440a67760de4afae4883c33</x:v>
      </x:c>
      <x:c r="M506" t="str">
        <x:v>legacy_common_sample_8902245</x:v>
      </x:c>
      <x:c r="N506" t="str">
        <x:v>factor_report/gtja191_batch/gtja_175/ic_summary.csv</x:v>
      </x:c>
    </x:row>
    <x:row r="507">
      <x:c r="A507" t="str">
        <x:v>gtja_175</x:v>
      </x:c>
      <x:c r="B507" s="22" t="n">
        <x:v>10</x:v>
      </x:c>
      <x:c r="C507" s="23" t="n">
        <x:v>-0.06974166759422153</x:v>
      </x:c>
      <x:c r="D507" s="23" t="n">
        <x:v>0.19172470275958414</x:v>
      </x:c>
      <x:c r="E507" s="23" t="n">
        <x:v>-0.3637594247918854</x:v>
      </x:c>
      <x:c r="F507" s="23" t="n">
        <x:v>0.38623807132094423</x:v>
      </x:c>
      <x:c r="G507" s="23" t="n">
        <x:v>-0.021775359758837418</x:v>
      </x:c>
      <x:c r="H507" s="23" t="n">
        <x:v>-0.18496244406773937</x:v>
      </x:c>
      <x:c r="I507" s="24" t="n">
        <x:v>1991</x:v>
      </x:c>
      <x:c r="J507" s="25" t="n">
        <x:v>46210.925217731485</x:v>
      </x:c>
      <x:c r="K507" s="24" t="n">
        <x:v>8902245</x:v>
      </x:c>
      <x:c r="L507" t="str">
        <x:v>40355b29bce094aef0e99358bdfd4011b92e72a54440a67760de4afae4883c33</x:v>
      </x:c>
      <x:c r="M507" t="str">
        <x:v>legacy_common_sample_8902245</x:v>
      </x:c>
      <x:c r="N507" t="str">
        <x:v>factor_report/gtja191_batch/gtja_175/ic_summary.csv</x:v>
      </x:c>
    </x:row>
    <x:row r="508">
      <x:c r="A508" t="str">
        <x:v>gtja_175</x:v>
      </x:c>
      <x:c r="B508" s="22" t="n">
        <x:v>20</x:v>
      </x:c>
      <x:c r="C508" s="23" t="n">
        <x:v>-0.08375038278283142</x:v>
      </x:c>
      <x:c r="D508" s="23" t="n">
        <x:v>0.19712506240832867</x:v>
      </x:c>
      <x:c r="E508" s="23" t="n">
        <x:v>-0.4248591313536239</x:v>
      </x:c>
      <x:c r="F508" s="23" t="n">
        <x:v>0.3674911660777385</x:v>
      </x:c>
      <x:c r="G508" s="23" t="n">
        <x:v>-0.02718753607111106</x:v>
      </x:c>
      <x:c r="H508" s="23" t="n">
        <x:v>-0.22084087758164703</x:v>
      </x:c>
      <x:c r="I508" s="24" t="n">
        <x:v>1981</x:v>
      </x:c>
      <x:c r="J508" s="25" t="n">
        <x:v>46210.925217731485</x:v>
      </x:c>
      <x:c r="K508" s="24" t="n">
        <x:v>8902245</x:v>
      </x:c>
      <x:c r="L508" t="str">
        <x:v>40355b29bce094aef0e99358bdfd4011b92e72a54440a67760de4afae4883c33</x:v>
      </x:c>
      <x:c r="M508" t="str">
        <x:v>legacy_common_sample_8902245</x:v>
      </x:c>
      <x:c r="N508" t="str">
        <x:v>factor_report/gtja191_batch/gtja_175/ic_summary.csv</x:v>
      </x:c>
    </x:row>
    <x:row r="509">
      <x:c r="A509" t="str">
        <x:v>gtja_176</x:v>
      </x:c>
      <x:c r="B509" s="22" t="n">
        <x:v>1</x:v>
      </x:c>
      <x:c r="C509" s="23" t="n">
        <x:v>-0.024133419582179818</x:v>
      </x:c>
      <x:c r="D509" s="23" t="n">
        <x:v>0.05368903981017534</x:v>
      </x:c>
      <x:c r="E509" s="23" t="n">
        <x:v>-0.4495036541444343</x:v>
      </x:c>
      <x:c r="F509" s="23" t="n">
        <x:v>0.32</x:v>
      </x:c>
      <x:c r="G509" s="23" t="n">
        <x:v>-0.005729394983489028</x:v>
      </x:c>
      <x:c r="H509" s="23" t="n">
        <x:v>-0.12543924069010007</x:v>
      </x:c>
      <x:c r="I509" s="24" t="n">
        <x:v>2000</x:v>
      </x:c>
      <x:c r="J509" s="25" t="n">
        <x:v>46210.92925570602</x:v>
      </x:c>
      <x:c r="K509" s="24" t="n">
        <x:v>8902245</x:v>
      </x:c>
      <x:c r="L509" t="str">
        <x:v>40355b29bce094aef0e99358bdfd4011b92e72a54440a67760de4afae4883c33</x:v>
      </x:c>
      <x:c r="M509" t="str">
        <x:v>legacy_common_sample_8902245</x:v>
      </x:c>
      <x:c r="N509" t="str">
        <x:v>factor_report/gtja191_batch/gtja_176/ic_summary.csv</x:v>
      </x:c>
    </x:row>
    <x:row r="510">
      <x:c r="A510" t="str">
        <x:v>gtja_176</x:v>
      </x:c>
      <x:c r="B510" s="22" t="n">
        <x:v>5</x:v>
      </x:c>
      <x:c r="C510" s="23" t="n">
        <x:v>-0.030987803007717876</x:v>
      </x:c>
      <x:c r="D510" s="23" t="n">
        <x:v>0.051167337377863865</x:v>
      </x:c>
      <x:c r="E510" s="23" t="n">
        <x:v>-0.6056168758377467</x:v>
      </x:c>
      <x:c r="F510" s="23" t="n">
        <x:v>0.26452905811623245</x:v>
      </x:c>
      <x:c r="G510" s="23" t="n">
        <x:v>-0.010646708424519192</x:v>
      </x:c>
      <x:c r="H510" s="23" t="n">
        <x:v>-0.24316744141752575</x:v>
      </x:c>
      <x:c r="I510" s="24" t="n">
        <x:v>1996</x:v>
      </x:c>
      <x:c r="J510" s="25" t="n">
        <x:v>46210.92925570602</x:v>
      </x:c>
      <x:c r="K510" s="24" t="n">
        <x:v>8902245</x:v>
      </x:c>
      <x:c r="L510" t="str">
        <x:v>40355b29bce094aef0e99358bdfd4011b92e72a54440a67760de4afae4883c33</x:v>
      </x:c>
      <x:c r="M510" t="str">
        <x:v>legacy_common_sample_8902245</x:v>
      </x:c>
      <x:c r="N510" t="str">
        <x:v>factor_report/gtja191_batch/gtja_176/ic_summary.csv</x:v>
      </x:c>
    </x:row>
    <x:row r="511">
      <x:c r="A511" t="str">
        <x:v>gtja_176</x:v>
      </x:c>
      <x:c r="B511" s="22" t="n">
        <x:v>10</x:v>
      </x:c>
      <x:c r="C511" s="23" t="n">
        <x:v>-0.035213922106757604</x:v>
      </x:c>
      <x:c r="D511" s="23" t="n">
        <x:v>0.052146497362368406</x:v>
      </x:c>
      <x:c r="E511" s="23" t="n">
        <x:v>-0.6752883489384616</x:v>
      </x:c>
      <x:c r="F511" s="23" t="n">
        <x:v>0.23254645906579607</x:v>
      </x:c>
      <x:c r="G511" s="23" t="n">
        <x:v>-0.013671968433248019</x:v>
      </x:c>
      <x:c r="H511" s="23" t="n">
        <x:v>-0.3091957753012549</x:v>
      </x:c>
      <x:c r="I511" s="24" t="n">
        <x:v>1991</x:v>
      </x:c>
      <x:c r="J511" s="25" t="n">
        <x:v>46210.92925570602</x:v>
      </x:c>
      <x:c r="K511" s="24" t="n">
        <x:v>8902245</x:v>
      </x:c>
      <x:c r="L511" t="str">
        <x:v>40355b29bce094aef0e99358bdfd4011b92e72a54440a67760de4afae4883c33</x:v>
      </x:c>
      <x:c r="M511" t="str">
        <x:v>legacy_common_sample_8902245</x:v>
      </x:c>
      <x:c r="N511" t="str">
        <x:v>factor_report/gtja191_batch/gtja_176/ic_summary.csv</x:v>
      </x:c>
    </x:row>
    <x:row r="512">
      <x:c r="A512" t="str">
        <x:v>gtja_176</x:v>
      </x:c>
      <x:c r="B512" s="22" t="n">
        <x:v>20</x:v>
      </x:c>
      <x:c r="C512" s="23" t="n">
        <x:v>-0.039441726766842995</x:v>
      </x:c>
      <x:c r="D512" s="23" t="n">
        <x:v>0.04936834272163876</x:v>
      </x:c>
      <x:c r="E512" s="23" t="n">
        <x:v>-0.7989275027771024</x:v>
      </x:c>
      <x:c r="F512" s="23" t="n">
        <x:v>0.20797576981322563</x:v>
      </x:c>
      <x:c r="G512" s="23" t="n">
        <x:v>-0.018569389397674618</x:v>
      </x:c>
      <x:c r="H512" s="23" t="n">
        <x:v>-0.4365202473996748</x:v>
      </x:c>
      <x:c r="I512" s="24" t="n">
        <x:v>1981</x:v>
      </x:c>
      <x:c r="J512" s="25" t="n">
        <x:v>46210.92925570602</x:v>
      </x:c>
      <x:c r="K512" s="24" t="n">
        <x:v>8902245</x:v>
      </x:c>
      <x:c r="L512" t="str">
        <x:v>40355b29bce094aef0e99358bdfd4011b92e72a54440a67760de4afae4883c33</x:v>
      </x:c>
      <x:c r="M512" t="str">
        <x:v>legacy_common_sample_8902245</x:v>
      </x:c>
      <x:c r="N512" t="str">
        <x:v>factor_report/gtja191_batch/gtja_176/ic_summary.csv</x:v>
      </x:c>
    </x:row>
    <x:row r="513">
      <x:c r="A513" t="str">
        <x:v>gtja_177</x:v>
      </x:c>
      <x:c r="B513" s="22" t="n">
        <x:v>1</x:v>
      </x:c>
      <x:c r="C513" s="23" t="n">
        <x:v>-0.025157689246815995</x:v>
      </x:c>
      <x:c r="D513" s="23" t="n">
        <x:v>0.11006671475413533</x:v>
      </x:c>
      <x:c r="E513" s="23" t="n">
        <x:v>-0.2285676401172934</x:v>
      </x:c>
      <x:c r="F513" s="23" t="n">
        <x:v>0.395</x:v>
      </x:c>
      <x:c r="G513" s="23" t="n">
        <x:v>-0.008746127511925085</x:v>
      </x:c>
      <x:c r="H513" s="23" t="n">
        <x:v>-0.08791900450858085</x:v>
      </x:c>
      <x:c r="I513" s="24" t="n">
        <x:v>2000</x:v>
      </x:c>
      <x:c r="J513" s="25" t="n">
        <x:v>46210.93332200232</x:v>
      </x:c>
      <x:c r="K513" s="24" t="n">
        <x:v>8902245</x:v>
      </x:c>
      <x:c r="L513" t="str">
        <x:v>40355b29bce094aef0e99358bdfd4011b92e72a54440a67760de4afae4883c33</x:v>
      </x:c>
      <x:c r="M513" t="str">
        <x:v>legacy_common_sample_8902245</x:v>
      </x:c>
      <x:c r="N513" t="str">
        <x:v>factor_report/gtja191_batch/gtja_177/ic_summary.csv</x:v>
      </x:c>
    </x:row>
    <x:row r="514">
      <x:c r="A514" t="str">
        <x:v>gtja_177</x:v>
      </x:c>
      <x:c r="B514" s="22" t="n">
        <x:v>5</x:v>
      </x:c>
      <x:c r="C514" s="23" t="n">
        <x:v>-0.032231683722138145</x:v>
      </x:c>
      <x:c r="D514" s="23" t="n">
        <x:v>0.10321207654549351</x:v>
      </x:c>
      <x:c r="E514" s="23" t="n">
        <x:v>-0.31228597273625397</x:v>
      </x:c>
      <x:c r="F514" s="23" t="n">
        <x:v>0.3712424849699399</x:v>
      </x:c>
      <x:c r="G514" s="23" t="n">
        <x:v>-0.016321348650792333</x:v>
      </x:c>
      <x:c r="H514" s="23" t="n">
        <x:v>-0.17829409865860676</x:v>
      </x:c>
      <x:c r="I514" s="24" t="n">
        <x:v>1996</x:v>
      </x:c>
      <x:c r="J514" s="25" t="n">
        <x:v>46210.93332200232</x:v>
      </x:c>
      <x:c r="K514" s="24" t="n">
        <x:v>8902245</x:v>
      </x:c>
      <x:c r="L514" t="str">
        <x:v>40355b29bce094aef0e99358bdfd4011b92e72a54440a67760de4afae4883c33</x:v>
      </x:c>
      <x:c r="M514" t="str">
        <x:v>legacy_common_sample_8902245</x:v>
      </x:c>
      <x:c r="N514" t="str">
        <x:v>factor_report/gtja191_batch/gtja_177/ic_summary.csv</x:v>
      </x:c>
    </x:row>
    <x:row r="515">
      <x:c r="A515" t="str">
        <x:v>gtja_177</x:v>
      </x:c>
      <x:c r="B515" s="22" t="n">
        <x:v>10</x:v>
      </x:c>
      <x:c r="C515" s="23" t="n">
        <x:v>-0.036733152768811825</x:v>
      </x:c>
      <x:c r="D515" s="23" t="n">
        <x:v>0.10002325138444372</x:v>
      </x:c>
      <x:c r="E515" s="23" t="n">
        <x:v>-0.3672461378767458</x:v>
      </x:c>
      <x:c r="F515" s="23" t="n">
        <x:v>0.34555499748869917</x:v>
      </x:c>
      <x:c r="G515" s="23" t="n">
        <x:v>-0.020202266396632317</x:v>
      </x:c>
      <x:c r="H515" s="23" t="n">
        <x:v>-0.2276377701098514</x:v>
      </x:c>
      <x:c r="I515" s="24" t="n">
        <x:v>1991</x:v>
      </x:c>
      <x:c r="J515" s="25" t="n">
        <x:v>46210.93332200232</x:v>
      </x:c>
      <x:c r="K515" s="24" t="n">
        <x:v>8902245</x:v>
      </x:c>
      <x:c r="L515" t="str">
        <x:v>40355b29bce094aef0e99358bdfd4011b92e72a54440a67760de4afae4883c33</x:v>
      </x:c>
      <x:c r="M515" t="str">
        <x:v>legacy_common_sample_8902245</x:v>
      </x:c>
      <x:c r="N515" t="str">
        <x:v>factor_report/gtja191_batch/gtja_177/ic_summary.csv</x:v>
      </x:c>
    </x:row>
    <x:row r="516">
      <x:c r="A516" t="str">
        <x:v>gtja_177</x:v>
      </x:c>
      <x:c r="B516" s="22" t="n">
        <x:v>20</x:v>
      </x:c>
      <x:c r="C516" s="23" t="n">
        <x:v>-0.04136338386476683</x:v>
      </x:c>
      <x:c r="D516" s="23" t="n">
        <x:v>0.10039328048995054</x:v>
      </x:c>
      <x:c r="E516" s="23" t="n">
        <x:v>-0.4120134700539778</x:v>
      </x:c>
      <x:c r="F516" s="23" t="n">
        <x:v>0.3462897526501767</x:v>
      </x:c>
      <x:c r="G516" s="23" t="n">
        <x:v>-0.02326012765743274</x:v>
      </x:c>
      <x:c r="H516" s="23" t="n">
        <x:v>-0.26305853224281206</x:v>
      </x:c>
      <x:c r="I516" s="24" t="n">
        <x:v>1981</x:v>
      </x:c>
      <x:c r="J516" s="25" t="n">
        <x:v>46210.93332200232</x:v>
      </x:c>
      <x:c r="K516" s="24" t="n">
        <x:v>8902245</x:v>
      </x:c>
      <x:c r="L516" t="str">
        <x:v>40355b29bce094aef0e99358bdfd4011b92e72a54440a67760de4afae4883c33</x:v>
      </x:c>
      <x:c r="M516" t="str">
        <x:v>legacy_common_sample_8902245</x:v>
      </x:c>
      <x:c r="N516" t="str">
        <x:v>factor_report/gtja191_batch/gtja_177/ic_summary.csv</x:v>
      </x:c>
    </x:row>
    <x:row r="517">
      <x:c r="A517" t="str">
        <x:v>gtja_178</x:v>
      </x:c>
      <x:c r="B517" s="22" t="n">
        <x:v>10</x:v>
      </x:c>
      <x:c r="C517" s="23" t="n">
        <x:v>-0.011486471822643162</x:v>
      </x:c>
      <x:c r="D517" s="23" t="n">
        <x:v>0.10400808814059855</x:v>
      </x:c>
      <x:c r="E517" s="23" t="n">
        <x:v>-0.11043825560100387</x:v>
      </x:c>
      <x:c r="F517" s="23" t="n">
        <x:v>0.45102963335007534</x:v>
      </x:c>
      <x:c r="G517" s="23" t="n">
        <x:v>-0.013020184450874736</x:v>
      </x:c>
      <x:c r="H517" s="23" t="n">
        <x:v>-0.22844296977079642</x:v>
      </x:c>
      <x:c r="I517" s="24" t="n">
        <x:v>1991</x:v>
      </x:c>
      <x:c r="J517" s="25" t="n">
        <x:v>46211.5335721875</x:v>
      </x:c>
      <x:c r="K517" s="24" t="n">
        <x:v>8902245</x:v>
      </x:c>
      <x:c r="L517" t="str">
        <x:v>8f7e606554926462248cbcc654181861438ca768a0063f6b317223ede37d16fb</x:v>
      </x:c>
      <x:c r="M517" t="str">
        <x:v>legacy_common_sample_8902245</x:v>
      </x:c>
      <x:c r="N517" t="str">
        <x:v>factor_report/gtja191_batch/gtja_178/ic_summary.csv</x:v>
      </x:c>
    </x:row>
    <x:row r="518">
      <x:c r="A518" t="str">
        <x:v>gtja_178</x:v>
      </x:c>
      <x:c r="B518" s="22" t="n">
        <x:v>20</x:v>
      </x:c>
      <x:c r="C518" s="23" t="n">
        <x:v>-0.011558780832637798</x:v>
      </x:c>
      <x:c r="D518" s="23" t="n">
        <x:v>0.10272819585594392</x:v>
      </x:c>
      <x:c r="E518" s="23" t="n">
        <x:v>-0.11251809433942278</x:v>
      </x:c>
      <x:c r="F518" s="23" t="n">
        <x:v>0.45229681978798586</x:v>
      </x:c>
      <x:c r="G518" s="23" t="n">
        <x:v>-0.014190544156942268</x:v>
      </x:c>
      <x:c r="H518" s="23" t="n">
        <x:v>-0.26531491871266716</x:v>
      </x:c>
      <x:c r="I518" s="24" t="n">
        <x:v>1981</x:v>
      </x:c>
      <x:c r="J518" s="25" t="n">
        <x:v>46211.5335721875</x:v>
      </x:c>
      <x:c r="K518" s="24" t="n">
        <x:v>8902245</x:v>
      </x:c>
      <x:c r="L518" t="str">
        <x:v>8f7e606554926462248cbcc654181861438ca768a0063f6b317223ede37d16fb</x:v>
      </x:c>
      <x:c r="M518" t="str">
        <x:v>legacy_common_sample_8902245</x:v>
      </x:c>
      <x:c r="N518" t="str">
        <x:v>factor_report/gtja191_batch/gtja_178/ic_summary.csv</x:v>
      </x:c>
    </x:row>
    <x:row r="519">
      <x:c r="A519" t="str">
        <x:v>gtja_179</x:v>
      </x:c>
      <x:c r="B519" s="22" t="n">
        <x:v>1</x:v>
      </x:c>
      <x:c r="C519" s="23" t="n">
        <x:v>-0.025089057116048225</x:v>
      </x:c>
      <x:c r="D519" s="23" t="n">
        <x:v>0.06365497793423676</x:v>
      </x:c>
      <x:c r="E519" s="23" t="n">
        <x:v>-0.3941413213899506</x:v>
      </x:c>
      <x:c r="F519" s="23" t="n">
        <x:v>0.3283283283283283</x:v>
      </x:c>
      <x:c r="G519" s="23" t="n">
        <x:v>-0.012311934116564907</x:v>
      </x:c>
      <x:c r="H519" s="23" t="n">
        <x:v>-0.19824047012804016</x:v>
      </x:c>
      <x:c r="I519" s="24" t="n">
        <x:v>1998</x:v>
      </x:c>
      <x:c r="J519" s="25" t="n">
        <x:v>46210.941301631945</x:v>
      </x:c>
      <x:c r="K519" s="24" t="n">
        <x:v>8902245</x:v>
      </x:c>
      <x:c r="L519" t="str">
        <x:v>40355b29bce094aef0e99358bdfd4011b92e72a54440a67760de4afae4883c33</x:v>
      </x:c>
      <x:c r="M519" t="str">
        <x:v>legacy_common_sample_8902245</x:v>
      </x:c>
      <x:c r="N519" t="str">
        <x:v>factor_report/gtja191_batch/gtja_179/ic_summary.csv</x:v>
      </x:c>
    </x:row>
    <x:row r="520">
      <x:c r="A520" t="str">
        <x:v>gtja_179</x:v>
      </x:c>
      <x:c r="B520" s="22" t="n">
        <x:v>5</x:v>
      </x:c>
      <x:c r="C520" s="23" t="n">
        <x:v>-0.03259132189627406</x:v>
      </x:c>
      <x:c r="D520" s="23" t="n">
        <x:v>0.06245861936286806</x:v>
      </x:c>
      <x:c r="E520" s="23" t="n">
        <x:v>-0.5218066333955783</x:v>
      </x:c>
      <x:c r="F520" s="23" t="n">
        <x:v>0.27833500501504516</x:v>
      </x:c>
      <x:c r="G520" s="23" t="n">
        <x:v>-0.020376322863388287</x:v>
      </x:c>
      <x:c r="H520" s="23" t="n">
        <x:v>-0.34948546641607026</x:v>
      </x:c>
      <x:c r="I520" s="24" t="n">
        <x:v>1994</x:v>
      </x:c>
      <x:c r="J520" s="25" t="n">
        <x:v>46210.941301631945</x:v>
      </x:c>
      <x:c r="K520" s="24" t="n">
        <x:v>8902245</x:v>
      </x:c>
      <x:c r="L520" t="str">
        <x:v>40355b29bce094aef0e99358bdfd4011b92e72a54440a67760de4afae4883c33</x:v>
      </x:c>
      <x:c r="M520" t="str">
        <x:v>legacy_common_sample_8902245</x:v>
      </x:c>
      <x:c r="N520" t="str">
        <x:v>factor_report/gtja191_batch/gtja_179/ic_summary.csv</x:v>
      </x:c>
    </x:row>
    <x:row r="521">
      <x:c r="A521" t="str">
        <x:v>gtja_179</x:v>
      </x:c>
      <x:c r="B521" s="22" t="n">
        <x:v>10</x:v>
      </x:c>
      <x:c r="C521" s="23" t="n">
        <x:v>-0.0363942798172005</x:v>
      </x:c>
      <x:c r="D521" s="23" t="n">
        <x:v>0.06120507896136871</x:v>
      </x:c>
      <x:c r="E521" s="23" t="n">
        <x:v>-0.5946284268364683</x:v>
      </x:c>
      <x:c r="F521" s="23" t="n">
        <x:v>0.26143790849673204</x:v>
      </x:c>
      <x:c r="G521" s="23" t="n">
        <x:v>-0.023884530546318856</x:v>
      </x:c>
      <x:c r="H521" s="23" t="n">
        <x:v>-0.42820688424746745</x:v>
      </x:c>
      <x:c r="I521" s="24" t="n">
        <x:v>1989</x:v>
      </x:c>
      <x:c r="J521" s="25" t="n">
        <x:v>46210.941301631945</x:v>
      </x:c>
      <x:c r="K521" s="24" t="n">
        <x:v>8902245</x:v>
      </x:c>
      <x:c r="L521" t="str">
        <x:v>40355b29bce094aef0e99358bdfd4011b92e72a54440a67760de4afae4883c33</x:v>
      </x:c>
      <x:c r="M521" t="str">
        <x:v>legacy_common_sample_8902245</x:v>
      </x:c>
      <x:c r="N521" t="str">
        <x:v>factor_report/gtja191_batch/gtja_179/ic_summary.csv</x:v>
      </x:c>
    </x:row>
    <x:row r="522">
      <x:c r="A522" t="str">
        <x:v>gtja_179</x:v>
      </x:c>
      <x:c r="B522" s="22" t="n">
        <x:v>20</x:v>
      </x:c>
      <x:c r="C522" s="23" t="n">
        <x:v>-0.04046567729271906</x:v>
      </x:c>
      <x:c r="D522" s="23" t="n">
        <x:v>0.059247047686089876</x:v>
      </x:c>
      <x:c r="E522" s="23" t="n">
        <x:v>-0.682999050131905</x:v>
      </x:c>
      <x:c r="F522" s="23" t="n">
        <x:v>0.22839818089944416</x:v>
      </x:c>
      <x:c r="G522" s="23" t="n">
        <x:v>-0.027334511466920466</x:v>
      </x:c>
      <x:c r="H522" s="23" t="n">
        <x:v>-0.5077180930273403</x:v>
      </x:c>
      <x:c r="I522" s="24" t="n">
        <x:v>1979</x:v>
      </x:c>
      <x:c r="J522" s="25" t="n">
        <x:v>46210.941301631945</x:v>
      </x:c>
      <x:c r="K522" s="24" t="n">
        <x:v>8902245</x:v>
      </x:c>
      <x:c r="L522" t="str">
        <x:v>40355b29bce094aef0e99358bdfd4011b92e72a54440a67760de4afae4883c33</x:v>
      </x:c>
      <x:c r="M522" t="str">
        <x:v>legacy_common_sample_8902245</x:v>
      </x:c>
      <x:c r="N522" t="str">
        <x:v>factor_report/gtja191_batch/gtja_179/ic_summary.csv</x:v>
      </x:c>
    </x:row>
    <x:row r="523">
      <x:c r="A523" t="str">
        <x:v>gtja_180</x:v>
      </x:c>
      <x:c r="B523" s="22" t="n">
        <x:v>10</x:v>
      </x:c>
      <x:c r="C523" s="23" t="n">
        <x:v>0.007859838396532771</x:v>
      </x:c>
      <x:c r="D523" s="23" t="n">
        <x:v>0.07507463235858297</x:v>
      </x:c>
      <x:c r="E523" s="23" t="n">
        <x:v>0.10469366481864881</x:v>
      </x:c>
      <x:c r="F523" s="23" t="n">
        <x:v>0.5479658463083877</x:v>
      </x:c>
      <x:c r="G523" s="23" t="n">
        <x:v>0.011623747901690396</x:v>
      </x:c>
      <x:c r="H523" s="23" t="n">
        <x:v>0.20512634404637659</x:v>
      </x:c>
      <x:c r="I523" s="24" t="n">
        <x:v>1991</x:v>
      </x:c>
      <x:c r="J523" s="25" t="n">
        <x:v>46211.53854369213</x:v>
      </x:c>
      <x:c r="K523" s="24" t="n">
        <x:v>8902245</x:v>
      </x:c>
      <x:c r="L523" t="str">
        <x:v>8f7e606554926462248cbcc654181861438ca768a0063f6b317223ede37d16fb</x:v>
      </x:c>
      <x:c r="M523" t="str">
        <x:v>legacy_common_sample_8902245</x:v>
      </x:c>
      <x:c r="N523" t="str">
        <x:v>factor_report/gtja191_batch/gtja_180/ic_summary.csv</x:v>
      </x:c>
    </x:row>
    <x:row r="524">
      <x:c r="A524" t="str">
        <x:v>gtja_180</x:v>
      </x:c>
      <x:c r="B524" s="22" t="n">
        <x:v>20</x:v>
      </x:c>
      <x:c r="C524" s="23" t="n">
        <x:v>0.011468082114046265</x:v>
      </x:c>
      <x:c r="D524" s="23" t="n">
        <x:v>0.07368641640340497</x:v>
      </x:c>
      <x:c r="E524" s="23" t="n">
        <x:v>0.1556335980740724</x:v>
      </x:c>
      <x:c r="F524" s="23" t="n">
        <x:v>0.5729429581019687</x:v>
      </x:c>
      <x:c r="G524" s="23" t="n">
        <x:v>0.015343773388232779</x:v>
      </x:c>
      <x:c r="H524" s="23" t="n">
        <x:v>0.2670312305736583</x:v>
      </x:c>
      <x:c r="I524" s="24" t="n">
        <x:v>1981</x:v>
      </x:c>
      <x:c r="J524" s="25" t="n">
        <x:v>46211.53854369213</x:v>
      </x:c>
      <x:c r="K524" s="24" t="n">
        <x:v>8902245</x:v>
      </x:c>
      <x:c r="L524" t="str">
        <x:v>8f7e606554926462248cbcc654181861438ca768a0063f6b317223ede37d16fb</x:v>
      </x:c>
      <x:c r="M524" t="str">
        <x:v>legacy_common_sample_8902245</x:v>
      </x:c>
      <x:c r="N524" t="str">
        <x:v>factor_report/gtja191_batch/gtja_180/ic_summary.csv</x:v>
      </x:c>
    </x:row>
    <x:row r="525">
      <x:c r="A525" t="str">
        <x:v>gtja_183</x:v>
      </x:c>
      <x:c r="B525" s="22" t="n">
        <x:v>10</x:v>
      </x:c>
      <x:c r="C525" s="23" t="n">
        <x:v>0.01674646395746224</x:v>
      </x:c>
      <x:c r="D525" s="23" t="n">
        <x:v>0.08637433289463878</x:v>
      </x:c>
      <x:c r="E525" s="23" t="n">
        <x:v>0.1938824115479992</x:v>
      </x:c>
      <x:c r="F525" s="23" t="n">
        <x:v>0.5994949494949495</x:v>
      </x:c>
      <x:c r="G525" s="23" t="n">
        <x:v>0.002409611103857615</x:v>
      </x:c>
      <x:c r="H525" s="23" t="n">
        <x:v>0.03522229341478491</x:v>
      </x:c>
      <x:c r="I525" s="24" t="n">
        <x:v>1980</x:v>
      </x:c>
      <x:c r="J525" s="25" t="n">
        <x:v>46211.5411328125</x:v>
      </x:c>
      <x:c r="K525" s="24" t="n">
        <x:v>8902245</x:v>
      </x:c>
      <x:c r="L525" t="str">
        <x:v>8f7e606554926462248cbcc654181861438ca768a0063f6b317223ede37d16fb</x:v>
      </x:c>
      <x:c r="M525" t="str">
        <x:v>legacy_common_sample_8902245</x:v>
      </x:c>
      <x:c r="N525" t="str">
        <x:v>factor_report/gtja191_batch/gtja_183/ic_summary.csv</x:v>
      </x:c>
    </x:row>
    <x:row r="526">
      <x:c r="A526" t="str">
        <x:v>gtja_183</x:v>
      </x:c>
      <x:c r="B526" s="22" t="n">
        <x:v>20</x:v>
      </x:c>
      <x:c r="C526" s="23" t="n">
        <x:v>0.01964685471091268</x:v>
      </x:c>
      <x:c r="D526" s="23" t="n">
        <x:v>0.08211819556773677</x:v>
      </x:c>
      <x:c r="E526" s="23" t="n">
        <x:v>0.23925093062604616</x:v>
      </x:c>
      <x:c r="F526" s="23" t="n">
        <x:v>0.6035532994923858</x:v>
      </x:c>
      <x:c r="G526" s="23" t="n">
        <x:v>0.002510143862127624</x:v>
      </x:c>
      <x:c r="H526" s="23" t="n">
        <x:v>0.03790285931905488</x:v>
      </x:c>
      <x:c r="I526" s="24" t="n">
        <x:v>1970</x:v>
      </x:c>
      <x:c r="J526" s="25" t="n">
        <x:v>46211.5411328125</x:v>
      </x:c>
      <x:c r="K526" s="24" t="n">
        <x:v>8902245</x:v>
      </x:c>
      <x:c r="L526" t="str">
        <x:v>8f7e606554926462248cbcc654181861438ca768a0063f6b317223ede37d16fb</x:v>
      </x:c>
      <x:c r="M526" t="str">
        <x:v>legacy_common_sample_8902245</x:v>
      </x:c>
      <x:c r="N526" t="str">
        <x:v>factor_report/gtja191_batch/gtja_183/ic_summary.csv</x:v>
      </x:c>
    </x:row>
    <x:row r="527">
      <x:c r="A527" t="str">
        <x:v>gtja_184</x:v>
      </x:c>
      <x:c r="B527" s="22" t="n">
        <x:v>10</x:v>
      </x:c>
      <x:c r="C527" s="23" t="n">
        <x:v>0.02710165719105542</x:v>
      </x:c>
      <x:c r="D527" s="23" t="n">
        <x:v>0.10365133916922002</x:v>
      </x:c>
      <x:c r="E527" s="23" t="n">
        <x:v>0.26146943597911027</x:v>
      </x:c>
      <x:c r="F527" s="23" t="n">
        <x:v>0.6122228231476474</x:v>
      </x:c>
      <x:c r="G527" s="23" t="n">
        <x:v>0.016970638076864275</x:v>
      </x:c>
      <x:c r="H527" s="23" t="n">
        <x:v>0.19049194970414374</x:v>
      </x:c>
      <x:c r="I527" s="24" t="n">
        <x:v>1849</x:v>
      </x:c>
      <x:c r="J527" s="25" t="n">
        <x:v>46211.54342018518</x:v>
      </x:c>
      <x:c r="K527" s="24" t="n">
        <x:v>8902245</x:v>
      </x:c>
      <x:c r="L527" t="str">
        <x:v>8f7e606554926462248cbcc654181861438ca768a0063f6b317223ede37d16fb</x:v>
      </x:c>
      <x:c r="M527" t="str">
        <x:v>legacy_common_sample_8902245</x:v>
      </x:c>
      <x:c r="N527" t="str">
        <x:v>factor_report/gtja191_batch/gtja_184/ic_summary.csv</x:v>
      </x:c>
    </x:row>
    <x:row r="528">
      <x:c r="A528" t="str">
        <x:v>gtja_184</x:v>
      </x:c>
      <x:c r="B528" s="22" t="n">
        <x:v>20</x:v>
      </x:c>
      <x:c r="C528" s="23" t="n">
        <x:v>0.03304714221422142</x:v>
      </x:c>
      <x:c r="D528" s="23" t="n">
        <x:v>0.1029528743334474</x:v>
      </x:c>
      <x:c r="E528" s="23" t="n">
        <x:v>0.32099290503718403</x:v>
      </x:c>
      <x:c r="F528" s="23" t="n">
        <x:v>0.6400217509516042</x:v>
      </x:c>
      <x:c r="G528" s="23" t="n">
        <x:v>0.020498136470244108</x:v>
      </x:c>
      <x:c r="H528" s="23" t="n">
        <x:v>0.23196249532308652</x:v>
      </x:c>
      <x:c r="I528" s="24" t="n">
        <x:v>1839</x:v>
      </x:c>
      <x:c r="J528" s="25" t="n">
        <x:v>46211.54342018518</x:v>
      </x:c>
      <x:c r="K528" s="24" t="n">
        <x:v>8902245</x:v>
      </x:c>
      <x:c r="L528" t="str">
        <x:v>8f7e606554926462248cbcc654181861438ca768a0063f6b317223ede37d16fb</x:v>
      </x:c>
      <x:c r="M528" t="str">
        <x:v>legacy_common_sample_8902245</x:v>
      </x:c>
      <x:c r="N528" t="str">
        <x:v>factor_report/gtja191_batch/gtja_184/ic_summary.csv</x:v>
      </x:c>
    </x:row>
    <x:row r="529">
      <x:c r="A529" t="str">
        <x:v>gtja_185</x:v>
      </x:c>
      <x:c r="B529" s="22" t="n">
        <x:v>10</x:v>
      </x:c>
      <x:c r="C529" s="23" t="n">
        <x:v>0.03876024836720656</x:v>
      </x:c>
      <x:c r="D529" s="23" t="n">
        <x:v>0.10360042939084213</x:v>
      </x:c>
      <x:c r="E529" s="23" t="n">
        <x:v>0.37413212083301284</x:v>
      </x:c>
      <x:c r="F529" s="23" t="n">
        <x:v>0.6880964339527875</x:v>
      </x:c>
      <x:c r="G529" s="23" t="n">
        <x:v>0.012780237431474672</x:v>
      </x:c>
      <x:c r="H529" s="23" t="n">
        <x:v>0.14585634294395994</x:v>
      </x:c>
      <x:c r="I529" s="24" t="n">
        <x:v>1991</x:v>
      </x:c>
      <x:c r="J529" s="25" t="n">
        <x:v>46211.545996712965</x:v>
      </x:c>
      <x:c r="K529" s="24" t="n">
        <x:v>8902245</x:v>
      </x:c>
      <x:c r="L529" t="str">
        <x:v>8f7e606554926462248cbcc654181861438ca768a0063f6b317223ede37d16fb</x:v>
      </x:c>
      <x:c r="M529" t="str">
        <x:v>legacy_common_sample_8902245</x:v>
      </x:c>
      <x:c r="N529" t="str">
        <x:v>factor_report/gtja191_batch/gtja_185/ic_summary.csv</x:v>
      </x:c>
    </x:row>
    <x:row r="530">
      <x:c r="A530" t="str">
        <x:v>gtja_185</x:v>
      </x:c>
      <x:c r="B530" s="22" t="n">
        <x:v>20</x:v>
      </x:c>
      <x:c r="C530" s="23" t="n">
        <x:v>0.04305487070574985</x:v>
      </x:c>
      <x:c r="D530" s="23" t="n">
        <x:v>0.10316897199019846</x:v>
      </x:c>
      <x:c r="E530" s="23" t="n">
        <x:v>0.4173238317218113</x:v>
      </x:c>
      <x:c r="F530" s="23" t="n">
        <x:v>0.6910651186269561</x:v>
      </x:c>
      <x:c r="G530" s="23" t="n">
        <x:v>0.015731237187731232</x:v>
      </x:c>
      <x:c r="H530" s="23" t="n">
        <x:v>0.18033721229877472</x:v>
      </x:c>
      <x:c r="I530" s="24" t="n">
        <x:v>1981</x:v>
      </x:c>
      <x:c r="J530" s="25" t="n">
        <x:v>46211.545996712965</x:v>
      </x:c>
      <x:c r="K530" s="24" t="n">
        <x:v>8902245</x:v>
      </x:c>
      <x:c r="L530" t="str">
        <x:v>8f7e606554926462248cbcc654181861438ca768a0063f6b317223ede37d16fb</x:v>
      </x:c>
      <x:c r="M530" t="str">
        <x:v>legacy_common_sample_8902245</x:v>
      </x:c>
      <x:c r="N530" t="str">
        <x:v>factor_report/gtja191_batch/gtja_185/ic_summary.csv</x:v>
      </x:c>
    </x:row>
    <x:row r="531">
      <x:c r="A531" t="str">
        <x:v>gtja_186</x:v>
      </x:c>
      <x:c r="B531" s="22" t="n">
        <x:v>10</x:v>
      </x:c>
      <x:c r="C531" s="23" t="n">
        <x:v>-0.0023580811704866154</x:v>
      </x:c>
      <x:c r="D531" s="23" t="n">
        <x:v>0.08103642870233961</x:v>
      </x:c>
      <x:c r="E531" s="23" t="n">
        <x:v>-0.02909902630517249</x:v>
      </x:c>
      <x:c r="F531" s="23" t="n">
        <x:v>0.4635861376192868</x:v>
      </x:c>
      <x:c r="G531" s="23" t="n">
        <x:v>0.0017179931596794109</x:v>
      </x:c>
      <x:c r="H531" s="23" t="n">
        <x:v>0.02527763616109617</x:v>
      </x:c>
      <x:c r="I531" s="24" t="n">
        <x:v>1991</x:v>
      </x:c>
      <x:c r="J531" s="25" t="n">
        <x:v>46211.5485016088</x:v>
      </x:c>
      <x:c r="K531" s="24" t="n">
        <x:v>8902245</x:v>
      </x:c>
      <x:c r="L531" t="str">
        <x:v>8f7e606554926462248cbcc654181861438ca768a0063f6b317223ede37d16fb</x:v>
      </x:c>
      <x:c r="M531" t="str">
        <x:v>legacy_common_sample_8902245</x:v>
      </x:c>
      <x:c r="N531" t="str">
        <x:v>factor_report/gtja191_batch/gtja_186/ic_summary.csv</x:v>
      </x:c>
    </x:row>
    <x:row r="532">
      <x:c r="A532" t="str">
        <x:v>gtja_186</x:v>
      </x:c>
      <x:c r="B532" s="22" t="n">
        <x:v>20</x:v>
      </x:c>
      <x:c r="C532" s="23" t="n">
        <x:v>-0.0002276851864431226</x:v>
      </x:c>
      <x:c r="D532" s="23" t="n">
        <x:v>0.08267717695048045</x:v>
      </x:c>
      <x:c r="E532" s="23" t="n">
        <x:v>-0.0027539061545303464</x:v>
      </x:c>
      <x:c r="F532" s="23" t="n">
        <x:v>0.46138313982836954</x:v>
      </x:c>
      <x:c r="G532" s="23" t="n">
        <x:v>0.004681967008378103</x:v>
      </x:c>
      <x:c r="H532" s="23" t="n">
        <x:v>0.06641347946937208</x:v>
      </x:c>
      <x:c r="I532" s="24" t="n">
        <x:v>1981</x:v>
      </x:c>
      <x:c r="J532" s="25" t="n">
        <x:v>46211.5485016088</x:v>
      </x:c>
      <x:c r="K532" s="24" t="n">
        <x:v>8902245</x:v>
      </x:c>
      <x:c r="L532" t="str">
        <x:v>8f7e606554926462248cbcc654181861438ca768a0063f6b317223ede37d16fb</x:v>
      </x:c>
      <x:c r="M532" t="str">
        <x:v>legacy_common_sample_8902245</x:v>
      </x:c>
      <x:c r="N532" t="str">
        <x:v>factor_report/gtja191_batch/gtja_186/ic_summary.csv</x:v>
      </x:c>
    </x:row>
    <x:row r="533">
      <x:c r="A533" t="str">
        <x:v>gtja_187</x:v>
      </x:c>
      <x:c r="B533" s="22" t="n">
        <x:v>1</x:v>
      </x:c>
      <x:c r="C533" s="23" t="n">
        <x:v>-0.04001399004176851</x:v>
      </x:c>
      <x:c r="D533" s="23" t="n">
        <x:v>0.1792688518476856</x:v>
      </x:c>
      <x:c r="E533" s="23" t="n">
        <x:v>-0.22320659517452643</x:v>
      </x:c>
      <x:c r="F533" s="23" t="n">
        <x:v>0.419</x:v>
      </x:c>
      <x:c r="G533" s="23" t="n">
        <x:v>-0.00795211804903487</x:v>
      </x:c>
      <x:c r="H533" s="23" t="n">
        <x:v>-0.07163887422752271</x:v>
      </x:c>
      <x:c r="I533" s="24" t="n">
        <x:v>2000</x:v>
      </x:c>
      <x:c r="J533" s="25" t="n">
        <x:v>46210.96675238426</x:v>
      </x:c>
      <x:c r="K533" s="24" t="n">
        <x:v>8902245</x:v>
      </x:c>
      <x:c r="L533" t="str">
        <x:v>40355b29bce094aef0e99358bdfd4011b92e72a54440a67760de4afae4883c33</x:v>
      </x:c>
      <x:c r="M533" t="str">
        <x:v>legacy_common_sample_8902245</x:v>
      </x:c>
      <x:c r="N533" t="str">
        <x:v>factor_report/gtja191_batch/gtja_187/ic_summary.csv</x:v>
      </x:c>
    </x:row>
    <x:row r="534">
      <x:c r="A534" t="str">
        <x:v>gtja_187</x:v>
      </x:c>
      <x:c r="B534" s="22" t="n">
        <x:v>5</x:v>
      </x:c>
      <x:c r="C534" s="23" t="n">
        <x:v>-0.05934867361119837</x:v>
      </x:c>
      <x:c r="D534" s="23" t="n">
        <x:v>0.18108932960212376</x:v>
      </x:c>
      <x:c r="E534" s="23" t="n">
        <x:v>-0.3277314778380092</x:v>
      </x:c>
      <x:c r="F534" s="23" t="n">
        <x:v>0.39228456913827653</x:v>
      </x:c>
      <x:c r="G534" s="23" t="n">
        <x:v>-0.0174219635127603</x:v>
      </x:c>
      <x:c r="H534" s="23" t="n">
        <x:v>-0.15519641791535055</x:v>
      </x:c>
      <x:c r="I534" s="24" t="n">
        <x:v>1996</x:v>
      </x:c>
      <x:c r="J534" s="25" t="n">
        <x:v>46210.96675238426</x:v>
      </x:c>
      <x:c r="K534" s="24" t="n">
        <x:v>8902245</x:v>
      </x:c>
      <x:c r="L534" t="str">
        <x:v>40355b29bce094aef0e99358bdfd4011b92e72a54440a67760de4afae4883c33</x:v>
      </x:c>
      <x:c r="M534" t="str">
        <x:v>legacy_common_sample_8902245</x:v>
      </x:c>
      <x:c r="N534" t="str">
        <x:v>factor_report/gtja191_batch/gtja_187/ic_summary.csv</x:v>
      </x:c>
    </x:row>
    <x:row r="535">
      <x:c r="A535" t="str">
        <x:v>gtja_187</x:v>
      </x:c>
      <x:c r="B535" s="22" t="n">
        <x:v>10</x:v>
      </x:c>
      <x:c r="C535" s="23" t="n">
        <x:v>-0.07167235594661475</x:v>
      </x:c>
      <x:c r="D535" s="23" t="n">
        <x:v>0.18685390242020566</x:v>
      </x:c>
      <x:c r="E535" s="23" t="n">
        <x:v>-0.3835743060128049</x:v>
      </x:c>
      <x:c r="F535" s="23" t="n">
        <x:v>0.37267704671019586</x:v>
      </x:c>
      <x:c r="G535" s="23" t="n">
        <x:v>-0.022812143742415223</x:v>
      </x:c>
      <x:c r="H535" s="23" t="n">
        <x:v>-0.19593868881525636</x:v>
      </x:c>
      <x:c r="I535" s="24" t="n">
        <x:v>1991</x:v>
      </x:c>
      <x:c r="J535" s="25" t="n">
        <x:v>46210.96675238426</x:v>
      </x:c>
      <x:c r="K535" s="24" t="n">
        <x:v>8902245</x:v>
      </x:c>
      <x:c r="L535" t="str">
        <x:v>40355b29bce094aef0e99358bdfd4011b92e72a54440a67760de4afae4883c33</x:v>
      </x:c>
      <x:c r="M535" t="str">
        <x:v>legacy_common_sample_8902245</x:v>
      </x:c>
      <x:c r="N535" t="str">
        <x:v>factor_report/gtja191_batch/gtja_187/ic_summary.csv</x:v>
      </x:c>
    </x:row>
    <x:row r="536">
      <x:c r="A536" t="str">
        <x:v>gtja_187</x:v>
      </x:c>
      <x:c r="B536" s="22" t="n">
        <x:v>20</x:v>
      </x:c>
      <x:c r="C536" s="23" t="n">
        <x:v>-0.0865927503170856</x:v>
      </x:c>
      <x:c r="D536" s="23" t="n">
        <x:v>0.19321762261285927</x:v>
      </x:c>
      <x:c r="E536" s="23" t="n">
        <x:v>-0.44816176260789253</x:v>
      </x:c>
      <x:c r="F536" s="23" t="n">
        <x:v>0.34830893488137304</x:v>
      </x:c>
      <x:c r="G536" s="23" t="n">
        <x:v>-0.028885322178725012</x:v>
      </x:c>
      <x:c r="H536" s="23" t="n">
        <x:v>-0.2367749567213631</x:v>
      </x:c>
      <x:c r="I536" s="24" t="n">
        <x:v>1981</x:v>
      </x:c>
      <x:c r="J536" s="25" t="n">
        <x:v>46210.96675238426</x:v>
      </x:c>
      <x:c r="K536" s="24" t="n">
        <x:v>8902245</x:v>
      </x:c>
      <x:c r="L536" t="str">
        <x:v>40355b29bce094aef0e99358bdfd4011b92e72a54440a67760de4afae4883c33</x:v>
      </x:c>
      <x:c r="M536" t="str">
        <x:v>legacy_common_sample_8902245</x:v>
      </x:c>
      <x:c r="N536" t="str">
        <x:v>factor_report/gtja191_batch/gtja_187/ic_summary.csv</x:v>
      </x:c>
    </x:row>
    <x:row r="537">
      <x:c r="A537" t="str">
        <x:v>gtja_188</x:v>
      </x:c>
      <x:c r="B537" s="22" t="n">
        <x:v>10</x:v>
      </x:c>
      <x:c r="C537" s="23" t="n">
        <x:v>-0.013187674989053533</x:v>
      </x:c>
      <x:c r="D537" s="23" t="n">
        <x:v>0.07461248874333953</x:v>
      </x:c>
      <x:c r="E537" s="23" t="n">
        <x:v>-0.17674889567640598</x:v>
      </x:c>
      <x:c r="F537" s="23" t="n">
        <x:v>0.43043696634856854</x:v>
      </x:c>
      <x:c r="G537" s="23" t="n">
        <x:v>-0.015406081629872259</x:v>
      </x:c>
      <x:c r="H537" s="23" t="n">
        <x:v>-0.25321525297762476</x:v>
      </x:c>
      <x:c r="I537" s="24" t="n">
        <x:v>1991</x:v>
      </x:c>
      <x:c r="J537" s="25" t="n">
        <x:v>46211.55150134259</x:v>
      </x:c>
      <x:c r="K537" s="24" t="n">
        <x:v>8902245</x:v>
      </x:c>
      <x:c r="L537" t="str">
        <x:v>8f7e606554926462248cbcc654181861438ca768a0063f6b317223ede37d16fb</x:v>
      </x:c>
      <x:c r="M537" t="str">
        <x:v>legacy_common_sample_8902245</x:v>
      </x:c>
      <x:c r="N537" t="str">
        <x:v>factor_report/gtja191_batch/gtja_188/ic_summary.csv</x:v>
      </x:c>
    </x:row>
    <x:row r="538">
      <x:c r="A538" t="str">
        <x:v>gtja_188</x:v>
      </x:c>
      <x:c r="B538" s="22" t="n">
        <x:v>20</x:v>
      </x:c>
      <x:c r="C538" s="23" t="n">
        <x:v>-0.01434776947407209</x:v>
      </x:c>
      <x:c r="D538" s="23" t="n">
        <x:v>0.07312451200631714</x:v>
      </x:c>
      <x:c r="E538" s="23" t="n">
        <x:v>-0.19621012271278615</x:v>
      </x:c>
      <x:c r="F538" s="23" t="n">
        <x:v>0.41847551741544675</x:v>
      </x:c>
      <x:c r="G538" s="23" t="n">
        <x:v>-0.015752269720334184</x:v>
      </x:c>
      <x:c r="H538" s="23" t="n">
        <x:v>-0.2704738989597908</x:v>
      </x:c>
      <x:c r="I538" s="24" t="n">
        <x:v>1981</x:v>
      </x:c>
      <x:c r="J538" s="25" t="n">
        <x:v>46211.55150134259</x:v>
      </x:c>
      <x:c r="K538" s="24" t="n">
        <x:v>8902245</x:v>
      </x:c>
      <x:c r="L538" t="str">
        <x:v>8f7e606554926462248cbcc654181861438ca768a0063f6b317223ede37d16fb</x:v>
      </x:c>
      <x:c r="M538" t="str">
        <x:v>legacy_common_sample_8902245</x:v>
      </x:c>
      <x:c r="N538" t="str">
        <x:v>factor_report/gtja191_batch/gtja_188/ic_summary.csv</x:v>
      </x:c>
    </x:row>
    <x:row r="539">
      <x:c r="A539" t="str">
        <x:v>gtja_189</x:v>
      </x:c>
      <x:c r="B539" s="22" t="n">
        <x:v>1</x:v>
      </x:c>
      <x:c r="C539" s="23" t="n">
        <x:v>-0.03477872691911135</x:v>
      </x:c>
      <x:c r="D539" s="23" t="n">
        <x:v>0.1767087350490848</x:v>
      </x:c>
      <x:c r="E539" s="23" t="n">
        <x:v>-0.19681385252093386</x:v>
      </x:c>
      <x:c r="F539" s="23" t="n">
        <x:v>0.4235</x:v>
      </x:c>
      <x:c r="G539" s="23" t="n">
        <x:v>-0.006933794066433944</x:v>
      </x:c>
      <x:c r="H539" s="23" t="n">
        <x:v>-0.06669165941124651</x:v>
      </x:c>
      <x:c r="I539" s="24" t="n">
        <x:v>2000</x:v>
      </x:c>
      <x:c r="J539" s="25" t="n">
        <x:v>46210.9753753125</x:v>
      </x:c>
      <x:c r="K539" s="24" t="n">
        <x:v>8902245</x:v>
      </x:c>
      <x:c r="L539" t="str">
        <x:v>40355b29bce094aef0e99358bdfd4011b92e72a54440a67760de4afae4883c33</x:v>
      </x:c>
      <x:c r="M539" t="str">
        <x:v>legacy_common_sample_8902245</x:v>
      </x:c>
      <x:c r="N539" t="str">
        <x:v>factor_report/gtja191_batch/gtja_189/ic_summary.csv</x:v>
      </x:c>
    </x:row>
    <x:row r="540">
      <x:c r="A540" t="str">
        <x:v>gtja_189</x:v>
      </x:c>
      <x:c r="B540" s="22" t="n">
        <x:v>5</x:v>
      </x:c>
      <x:c r="C540" s="23" t="n">
        <x:v>-0.0510339383526854</x:v>
      </x:c>
      <x:c r="D540" s="23" t="n">
        <x:v>0.17935051995957327</x:v>
      </x:c>
      <x:c r="E540" s="23" t="n">
        <x:v>-0.2845485943625297</x:v>
      </x:c>
      <x:c r="F540" s="23" t="n">
        <x:v>0.406312625250501</x:v>
      </x:c>
      <x:c r="G540" s="23" t="n">
        <x:v>-0.01453633568425552</x:v>
      </x:c>
      <x:c r="H540" s="23" t="n">
        <x:v>-0.14031036544759617</x:v>
      </x:c>
      <x:c r="I540" s="24" t="n">
        <x:v>1996</x:v>
      </x:c>
      <x:c r="J540" s="25" t="n">
        <x:v>46210.9753753125</x:v>
      </x:c>
      <x:c r="K540" s="24" t="n">
        <x:v>8902245</x:v>
      </x:c>
      <x:c r="L540" t="str">
        <x:v>40355b29bce094aef0e99358bdfd4011b92e72a54440a67760de4afae4883c33</x:v>
      </x:c>
      <x:c r="M540" t="str">
        <x:v>legacy_common_sample_8902245</x:v>
      </x:c>
      <x:c r="N540" t="str">
        <x:v>factor_report/gtja191_batch/gtja_189/ic_summary.csv</x:v>
      </x:c>
    </x:row>
    <x:row r="541">
      <x:c r="A541" t="str">
        <x:v>gtja_189</x:v>
      </x:c>
      <x:c r="B541" s="22" t="n">
        <x:v>10</x:v>
      </x:c>
      <x:c r="C541" s="23" t="n">
        <x:v>-0.06157687027920172</x:v>
      </x:c>
      <x:c r="D541" s="23" t="n">
        <x:v>0.18497392776181817</x:v>
      </x:c>
      <x:c r="E541" s="23" t="n">
        <x:v>-0.33289486266676044</x:v>
      </x:c>
      <x:c r="F541" s="23" t="n">
        <x:v>0.39226519337016574</x:v>
      </x:c>
      <x:c r="G541" s="23" t="n">
        <x:v>-0.018868966323583366</x:v>
      </x:c>
      <x:c r="H541" s="23" t="n">
        <x:v>-0.17720192521079836</x:v>
      </x:c>
      <x:c r="I541" s="24" t="n">
        <x:v>1991</x:v>
      </x:c>
      <x:c r="J541" s="25" t="n">
        <x:v>46210.9753753125</x:v>
      </x:c>
      <x:c r="K541" s="24" t="n">
        <x:v>8902245</x:v>
      </x:c>
      <x:c r="L541" t="str">
        <x:v>40355b29bce094aef0e99358bdfd4011b92e72a54440a67760de4afae4883c33</x:v>
      </x:c>
      <x:c r="M541" t="str">
        <x:v>legacy_common_sample_8902245</x:v>
      </x:c>
      <x:c r="N541" t="str">
        <x:v>factor_report/gtja191_batch/gtja_189/ic_summary.csv</x:v>
      </x:c>
    </x:row>
    <x:row r="542">
      <x:c r="A542" t="str">
        <x:v>gtja_189</x:v>
      </x:c>
      <x:c r="B542" s="22" t="n">
        <x:v>20</x:v>
      </x:c>
      <x:c r="C542" s="23" t="n">
        <x:v>-0.07429851088196267</x:v>
      </x:c>
      <x:c r="D542" s="23" t="n">
        <x:v>0.1895750432391116</x:v>
      </x:c>
      <x:c r="E542" s="23" t="n">
        <x:v>-0.3919213711493117</x:v>
      </x:c>
      <x:c r="F542" s="23" t="n">
        <x:v>0.37607269056032305</x:v>
      </x:c>
      <x:c r="G542" s="23" t="n">
        <x:v>-0.022971417502326365</x:v>
      </x:c>
      <x:c r="H542" s="23" t="n">
        <x:v>-0.20466547423102066</x:v>
      </x:c>
      <x:c r="I542" s="24" t="n">
        <x:v>1981</x:v>
      </x:c>
      <x:c r="J542" s="25" t="n">
        <x:v>46210.9753753125</x:v>
      </x:c>
      <x:c r="K542" s="24" t="n">
        <x:v>8902245</x:v>
      </x:c>
      <x:c r="L542" t="str">
        <x:v>40355b29bce094aef0e99358bdfd4011b92e72a54440a67760de4afae4883c33</x:v>
      </x:c>
      <x:c r="M542" t="str">
        <x:v>legacy_common_sample_8902245</x:v>
      </x:c>
      <x:c r="N542" t="str">
        <x:v>factor_report/gtja191_batch/gtja_189/ic_summary.csv</x:v>
      </x:c>
    </x:row>
    <x:row r="543">
      <x:c r="A543" t="str">
        <x:v>gtja_190</x:v>
      </x:c>
      <x:c r="B543" s="22" t="n">
        <x:v>10</x:v>
      </x:c>
      <x:c r="C543" s="23" t="n">
        <x:v>0.02983995003744111</x:v>
      </x:c>
      <x:c r="D543" s="23" t="n">
        <x:v>0.07715753599318576</x:v>
      </x:c>
      <x:c r="E543" s="23" t="n">
        <x:v>0.38674057761611846</x:v>
      </x:c>
      <x:c r="F543" s="23" t="n">
        <x:v>0.6438975389251632</x:v>
      </x:c>
      <x:c r="G543" s="23" t="n">
        <x:v>0.015162626513116088</x:v>
      </x:c>
      <x:c r="H543" s="23" t="n">
        <x:v>0.23485213834266688</x:v>
      </x:c>
      <x:c r="I543" s="24" t="n">
        <x:v>1991</x:v>
      </x:c>
      <x:c r="J543" s="25" t="n">
        <x:v>46211.55394319444</x:v>
      </x:c>
      <x:c r="K543" s="24" t="n">
        <x:v>8902245</x:v>
      </x:c>
      <x:c r="L543" t="str">
        <x:v>8f7e606554926462248cbcc654181861438ca768a0063f6b317223ede37d16fb</x:v>
      </x:c>
      <x:c r="M543" t="str">
        <x:v>legacy_common_sample_8902245</x:v>
      </x:c>
      <x:c r="N543" t="str">
        <x:v>factor_report/gtja191_batch/gtja_190/ic_summary.csv</x:v>
      </x:c>
    </x:row>
    <x:row r="544">
      <x:c r="A544" t="str">
        <x:v>gtja_190</x:v>
      </x:c>
      <x:c r="B544" s="22" t="n">
        <x:v>20</x:v>
      </x:c>
      <x:c r="C544" s="23" t="n">
        <x:v>0.029581587819414487</x:v>
      </x:c>
      <x:c r="D544" s="23" t="n">
        <x:v>0.07822043890188278</x:v>
      </x:c>
      <x:c r="E544" s="23" t="n">
        <x:v>0.37818232976831906</x:v>
      </x:c>
      <x:c r="F544" s="23" t="n">
        <x:v>0.6370519939424533</x:v>
      </x:c>
      <x:c r="G544" s="23" t="n">
        <x:v>0.013980820810191657</x:v>
      </x:c>
      <x:c r="H544" s="23" t="n">
        <x:v>0.2120384039483108</x:v>
      </x:c>
      <x:c r="I544" s="24" t="n">
        <x:v>1981</x:v>
      </x:c>
      <x:c r="J544" s="25" t="n">
        <x:v>46211.55394319444</x:v>
      </x:c>
      <x:c r="K544" s="24" t="n">
        <x:v>8902245</x:v>
      </x:c>
      <x:c r="L544" t="str">
        <x:v>8f7e606554926462248cbcc654181861438ca768a0063f6b317223ede37d16fb</x:v>
      </x:c>
      <x:c r="M544" t="str">
        <x:v>legacy_common_sample_8902245</x:v>
      </x:c>
      <x:c r="N544" t="str">
        <x:v>factor_report/gtja191_batch/gtja_190/ic_summary.csv</x:v>
      </x:c>
    </x:row>
    <x:row r="545">
      <x:c r="A545" t="str">
        <x:v>gtja_191</x:v>
      </x:c>
      <x:c r="B545" s="22" t="n">
        <x:v>10</x:v>
      </x:c>
      <x:c r="C545" s="23" t="n">
        <x:v>-0.010643251959893268</x:v>
      </x:c>
      <x:c r="D545" s="23" t="n">
        <x:v>0.07719404974748015</x:v>
      </x:c>
      <x:c r="E545" s="23" t="n">
        <x:v>-0.13787658497915115</x:v>
      </x:c>
      <x:c r="F545" s="23" t="n">
        <x:v>0.4289301858362632</x:v>
      </x:c>
      <x:c r="G545" s="23" t="n">
        <x:v>-0.0038676921404643774</x:v>
      </x:c>
      <x:c r="H545" s="23" t="n">
        <x:v>-0.06101502533309568</x:v>
      </x:c>
      <x:c r="I545" s="24" t="n">
        <x:v>1991</x:v>
      </x:c>
      <x:c r="J545" s="25" t="n">
        <x:v>46211.55645755787</x:v>
      </x:c>
      <x:c r="K545" s="24" t="n">
        <x:v>8902245</x:v>
      </x:c>
      <x:c r="L545" t="str">
        <x:v>8f7e606554926462248cbcc654181861438ca768a0063f6b317223ede37d16fb</x:v>
      </x:c>
      <x:c r="M545" t="str">
        <x:v>legacy_common_sample_8902245</x:v>
      </x:c>
      <x:c r="N545" t="str">
        <x:v>factor_report/gtja191_batch/gtja_191/ic_summary.csv</x:v>
      </x:c>
    </x:row>
    <x:row r="546">
      <x:c r="A546" t="str">
        <x:v>gtja_191</x:v>
      </x:c>
      <x:c r="B546" s="22" t="n">
        <x:v>20</x:v>
      </x:c>
      <x:c r="C546" s="23" t="n">
        <x:v>-0.008723780893884016</x:v>
      </x:c>
      <x:c r="D546" s="23" t="n">
        <x:v>0.07661246806822583</x:v>
      </x:c>
      <x:c r="E546" s="23" t="n">
        <x:v>-0.11386894475342071</x:v>
      </x:c>
      <x:c r="F546" s="23" t="n">
        <x:v>0.4447248864209995</x:v>
      </x:c>
      <x:c r="G546" s="23" t="n">
        <x:v>-0.002494097662709823</x:v>
      </x:c>
      <x:c r="H546" s="23" t="n">
        <x:v>-0.0390726539717714</x:v>
      </x:c>
      <x:c r="I546" s="24" t="n">
        <x:v>1981</x:v>
      </x:c>
      <x:c r="J546" s="25" t="n">
        <x:v>46211.55645755787</x:v>
      </x:c>
      <x:c r="K546" s="24" t="n">
        <x:v>8902245</x:v>
      </x:c>
      <x:c r="L546" t="str">
        <x:v>8f7e606554926462248cbcc654181861438ca768a0063f6b317223ede37d16fb</x:v>
      </x:c>
      <x:c r="M546" t="str">
        <x:v>legacy_common_sample_8902245</x:v>
      </x:c>
      <x:c r="N546" t="str">
        <x:v>factor_report/gtja191_batch/gtja_191/ic_summary.csv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578fe8411a824f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5" hidden="0" customWidth="1"/>
    <x:col min="3" max="3" width="18" hidden="0" customWidth="1"/>
    <x:col min="4" max="4" width="18" hidden="0" customWidth="1"/>
    <x:col min="5" max="5" width="38" hidden="0" customWidth="1"/>
    <x:col min="6" max="6" width="48" hidden="0" customWidth="1"/>
  </x:cols>
  <x:sheetData>
    <x:row r="1" ht="30" customHeight="1">
      <x:c r="A1" s="3" t="str">
        <x:v>Coverage and Ranking Audit</x:v>
      </x:c>
      <x:c r="B1" s="3"/>
      <x:c r="C1" s="3"/>
      <x:c r="D1" s="3"/>
      <x:c r="E1" s="3"/>
      <x:c r="F1" s="3"/>
    </x:row>
    <x:row r="2" ht="34" customHeight="1">
      <x:c r="A2" s="7" t="str">
        <x:v>Checks for completeness, comparability, horizon coverage, and formula-driven ranking.</x:v>
      </x:c>
      <x:c r="B2" s="7"/>
      <x:c r="C2" s="7"/>
      <x:c r="D2" s="7"/>
      <x:c r="E2" s="7"/>
      <x:c r="F2" s="7"/>
    </x:row>
    <x:row r="4" ht="34" customHeight="1">
      <x:c r="A4" s="19" t="str">
        <x:v>Check</x:v>
      </x:c>
      <x:c r="B4" s="20" t="str">
        <x:v>Actual</x:v>
      </x:c>
      <x:c r="C4" s="20" t="str">
        <x:v>Expected</x:v>
      </x:c>
      <x:c r="D4" s="20" t="str">
        <x:v>Difference</x:v>
      </x:c>
      <x:c r="E4" s="20" t="str">
        <x:v>Status</x:v>
      </x:c>
      <x:c r="F4" s="21" t="str">
        <x:v>Notes</x:v>
      </x:c>
    </x:row>
    <x:row r="5" ht="30" customHeight="1">
      <x:c r="A5" s="60" t="str">
        <x:v>Expected GTJA factors</x:v>
      </x:c>
      <x:c r="B5" s="61" t="n">
        <x:v>191</x:v>
      </x:c>
      <x:c r="C5" s="61" t="n">
        <x:v>191</x:v>
      </x:c>
      <x:c r="D5" s="61" t="n">
        <x:v>0</x:v>
      </x:c>
      <x:c r="E5" s="62" t="str">
        <x:v>OK</x:v>
      </x:c>
      <x:c r="F5" s="61" t="str">
        <x:v>gtja_001 through gtja_191</x:v>
      </x:c>
    </x:row>
    <x:row r="6" ht="30" customHeight="1">
      <x:c r="A6" s="60" t="str">
        <x:v>Available summaries</x:v>
      </x:c>
      <x:c r="B6" s="61" t="n">
        <x:v>186</x:v>
      </x:c>
      <x:c r="C6" s="61" t="n">
        <x:v>191</x:v>
      </x:c>
      <x:c r="D6" s="61" t="n">
        <x:v>-5</x:v>
      </x:c>
      <x:c r="E6" s="63" t="str">
        <x:v>WARNING</x:v>
      </x:c>
      <x:c r="F6" s="61" t="str">
        <x:v>Missing: gtja_030, gtja_075, gtja_149, gtja_181, gtja_182</x:v>
      </x:c>
    </x:row>
    <x:row r="7" ht="30" customHeight="1">
      <x:c r="A7" s="60" t="str">
        <x:v>Comparable ranked factors</x:v>
      </x:c>
      <x:c r="B7" s="61" t="n">
        <x:v>182</x:v>
      </x:c>
      <x:c r="C7" s="61" t="n">
        <x:v>182</x:v>
      </x:c>
      <x:c r="D7" s="61" t="n">
        <x:v>0</x:v>
      </x:c>
      <x:c r="E7" s="62" t="str">
        <x:v>OK</x:v>
      </x:c>
      <x:c r="F7" s="61" t="str">
        <x:v>Common source_row_count=8,902,245</x:v>
      </x:c>
    </x:row>
    <x:row r="8" ht="30" customHeight="1">
      <x:c r="A8" s="60" t="str">
        <x:v>Different-source factors</x:v>
      </x:c>
      <x:c r="B8" s="61" t="n">
        <x:v>4</x:v>
      </x:c>
      <x:c r="C8" s="61" t="n">
        <x:v>4</x:v>
      </x:c>
      <x:c r="D8" s="61" t="n">
        <x:v>0</x:v>
      </x:c>
      <x:c r="E8" s="63" t="str">
        <x:v>WARNING</x:v>
      </x:c>
      <x:c r="F8" s="61" t="str">
        <x:v>Included but excluded from ranking</x:v>
      </x:c>
    </x:row>
    <x:row r="9" ht="30" customHeight="1">
      <x:c r="A9" s="60" t="str">
        <x:v>Raw rows</x:v>
      </x:c>
      <x:c r="B9" s="61" t="n">
        <x:v>542</x:v>
      </x:c>
      <x:c r="C9" s="61" t="n">
        <x:v>542</x:v>
      </x:c>
      <x:c r="D9" s="61" t="n">
        <x:v>0</x:v>
      </x:c>
      <x:c r="E9" s="62" t="str">
        <x:v>OK</x:v>
      </x:c>
      <x:c r="F9" s="61" t="str">
        <x:v>1d=85, 5d=85, 10d=186, 20d=186</x:v>
      </x:c>
    </x:row>
    <x:row r="10" ht="30" customHeight="1">
      <x:c r="A10" s="60" t="str">
        <x:v>10D comparable rows</x:v>
      </x:c>
      <x:c r="B10" s="61" t="n">
        <x:v>182</x:v>
      </x:c>
      <x:c r="C10" s="61" t="n">
        <x:v>182</x:v>
      </x:c>
      <x:c r="D10" s="61" t="n">
        <x:v>0</x:v>
      </x:c>
      <x:c r="E10" s="62" t="str">
        <x:v>OK</x:v>
      </x:c>
      <x:c r="F10" s="61" t="str">
        <x:v>Used in primary average</x:v>
      </x:c>
    </x:row>
    <x:row r="11" ht="30" customHeight="1">
      <x:c r="A11" s="60" t="str">
        <x:v>20D comparable rows</x:v>
      </x:c>
      <x:c r="B11" s="61" t="n">
        <x:v>182</x:v>
      </x:c>
      <x:c r="C11" s="61" t="n">
        <x:v>182</x:v>
      </x:c>
      <x:c r="D11" s="61" t="n">
        <x:v>0</x:v>
      </x:c>
      <x:c r="E11" s="62" t="str">
        <x:v>OK</x:v>
      </x:c>
      <x:c r="F11" s="61" t="str">
        <x:v>Used in primary average</x:v>
      </x:c>
    </x:row>
    <x:row r="12" ht="30" customHeight="1">
      <x:c r="A12" s="60" t="str">
        <x:v>Factor lag</x:v>
      </x:c>
      <x:c r="B12" s="61" t="n">
        <x:v>1</x:v>
      </x:c>
      <x:c r="C12" s="61" t="n">
        <x:v>1</x:v>
      </x:c>
      <x:c r="D12" s="61" t="n">
        <x:v>0</x:v>
      </x:c>
      <x:c r="E12" s="62" t="str">
        <x:v>OK</x:v>
      </x:c>
      <x:c r="F12" s="61" t="str">
        <x:v>All source metadata uses factor_lag_days=1</x:v>
      </x:c>
    </x:row>
    <x:row r="13" ht="30" customHeight="1">
      <x:c r="A13" s="61"/>
      <x:c r="B13" s="61"/>
      <x:c r="C13" s="61"/>
      <x:c r="D13" s="61"/>
      <x:c r="E13" s="61"/>
      <x:c r="F13" s="61"/>
    </x:row>
    <x:row r="14" ht="30" customHeight="1">
      <x:c r="A14" s="61"/>
      <x:c r="B14" s="61"/>
      <x:c r="C14" s="61"/>
      <x:c r="D14" s="61"/>
      <x:c r="E14" s="61"/>
      <x:c r="F14" s="61"/>
    </x:row>
    <x:row r="15" ht="30" customHeight="1">
      <x:c r="A15" s="19" t="str">
        <x:v>Missing Factor</x:v>
      </x:c>
      <x:c r="B15" s="20" t="str">
        <x:v>Required Context</x:v>
      </x:c>
      <x:c r="C15" s="20" t="str">
        <x:v>Status</x:v>
      </x:c>
      <x:c r="D15" s="20" t="str">
        <x:v>Source</x:v>
      </x:c>
      <x:c r="E15" s="20" t="str">
        <x:v>Action</x:v>
      </x:c>
      <x:c r="F15" s="21" t="str">
        <x:v>Notes</x:v>
      </x:c>
    </x:row>
    <x:row r="16" ht="30" customHeight="1">
      <x:c r="A16" s="61" t="str">
        <x:v>gtja_030</x:v>
      </x:c>
      <x:c r="B16" s="61" t="str">
        <x:v>mkt, smb, hml</x:v>
      </x:c>
      <x:c r="C16" s="61" t="str">
        <x:v>missing_input</x:v>
      </x:c>
      <x:c r="D16" s="61" t="str">
        <x:v>factors/gtja191.py</x:v>
      </x:c>
      <x:c r="E16" s="61" t="str">
        <x:v>Provide point-in-time context and rerun</x:v>
      </x:c>
      <x:c r="F16" s="61" t="str">
        <x:v>No ic_summary.csv found</x:v>
      </x:c>
    </x:row>
    <x:row r="17" ht="30" customHeight="1">
      <x:c r="A17" s="61" t="str">
        <x:v>gtja_075</x:v>
      </x:c>
      <x:c r="B17" s="61" t="str">
        <x:v>benchmark_open, benchmark_close</x:v>
      </x:c>
      <x:c r="C17" s="61" t="str">
        <x:v>missing_input</x:v>
      </x:c>
      <x:c r="D17" s="61" t="str">
        <x:v>factors/gtja191.py</x:v>
      </x:c>
      <x:c r="E17" s="61" t="str">
        <x:v>Provide point-in-time context and rerun</x:v>
      </x:c>
      <x:c r="F17" s="61" t="str">
        <x:v>No ic_summary.csv found</x:v>
      </x:c>
    </x:row>
    <x:row r="18" ht="30" customHeight="1">
      <x:c r="A18" s="61" t="str">
        <x:v>gtja_149</x:v>
      </x:c>
      <x:c r="B18" s="61" t="str">
        <x:v>benchmark_close</x:v>
      </x:c>
      <x:c r="C18" s="61" t="str">
        <x:v>missing_input</x:v>
      </x:c>
      <x:c r="D18" s="61" t="str">
        <x:v>factors/gtja191.py</x:v>
      </x:c>
      <x:c r="E18" s="61" t="str">
        <x:v>Provide point-in-time context and rerun</x:v>
      </x:c>
      <x:c r="F18" s="61" t="str">
        <x:v>No ic_summary.csv found</x:v>
      </x:c>
    </x:row>
    <x:row r="19" ht="30" customHeight="1">
      <x:c r="A19" s="61" t="str">
        <x:v>gtja_181</x:v>
      </x:c>
      <x:c r="B19" s="61" t="str">
        <x:v>benchmark_close</x:v>
      </x:c>
      <x:c r="C19" s="61" t="str">
        <x:v>missing_input</x:v>
      </x:c>
      <x:c r="D19" s="61" t="str">
        <x:v>factors/gtja191.py</x:v>
      </x:c>
      <x:c r="E19" s="61" t="str">
        <x:v>Provide point-in-time context and rerun</x:v>
      </x:c>
      <x:c r="F19" s="61" t="str">
        <x:v>No ic_summary.csv found</x:v>
      </x:c>
    </x:row>
    <x:row r="20" ht="30" customHeight="1">
      <x:c r="A20" s="61" t="str">
        <x:v>gtja_182</x:v>
      </x:c>
      <x:c r="B20" s="61" t="str">
        <x:v>benchmark_open, benchmark_close</x:v>
      </x:c>
      <x:c r="C20" s="61" t="str">
        <x:v>missing_input</x:v>
      </x:c>
      <x:c r="D20" s="61" t="str">
        <x:v>factors/gtja191.py</x:v>
      </x:c>
      <x:c r="E20" s="61" t="str">
        <x:v>Provide point-in-time context and rerun</x:v>
      </x:c>
      <x:c r="F20" s="61" t="str">
        <x:v>No ic_summary.csv found</x:v>
      </x:c>
    </x:row>
  </x:sheetData>
  <x:mergeCells>
    <x:mergeCell ref="A1:F1"/>
    <x:mergeCell ref="A2:F2"/>
  </x:mergeCells>
  <x:pageMargins left="0.7" right="0.7" top="0.75" bottom="0.75" header="0.3" footer="0.3"/>
</x:worksheet>
</file>